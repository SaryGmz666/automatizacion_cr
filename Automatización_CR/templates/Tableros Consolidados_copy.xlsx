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G:\Unidades compartidas\UAIR\Información y Modelos\0. Análisis\8. Automatización CR\2.-Insumos\"/>
    </mc:Choice>
  </mc:AlternateContent>
  <xr:revisionPtr revIDLastSave="0" documentId="13_ncr:1_{B6C06F56-39A6-48EF-AC67-9BF03410FC51}" xr6:coauthVersionLast="36" xr6:coauthVersionMax="36" xr10:uidLastSave="{00000000-0000-0000-0000-000000000000}"/>
  <bookViews>
    <workbookView xWindow="-96" yWindow="0" windowWidth="9780" windowHeight="10176" firstSheet="22" activeTab="26" xr2:uid="{00000000-000D-0000-FFFF-FFFF00000000}"/>
  </bookViews>
  <sheets>
    <sheet name="balance_grupo_financiero" sheetId="26" r:id="rId1"/>
    <sheet name="balance_banco_consol" sheetId="10" r:id="rId2"/>
    <sheet name="balance_banco_individual" sheetId="11" r:id="rId3"/>
    <sheet name="balance_start" sheetId="12" r:id="rId4"/>
    <sheet name="otras_fuentes" sheetId="25" r:id="rId5"/>
    <sheet name="cnbv" sheetId="14" r:id="rId6"/>
    <sheet name="icap_grupo" sheetId="16" r:id="rId7"/>
    <sheet name="icap_banco" sheetId="17" r:id="rId8"/>
    <sheet name="icap_start" sheetId="18" r:id="rId9"/>
    <sheet name="ra_banco" sheetId="19" r:id="rId10"/>
    <sheet name="ra_start" sheetId="20" r:id="rId11"/>
    <sheet name="fuentes_de_financiamiento" sheetId="15" r:id="rId12"/>
    <sheet name="ccl_sin_ponderar" sheetId="21" r:id="rId13"/>
    <sheet name="ccl_ponderado" sheetId="22" r:id="rId14"/>
    <sheet name="ccl_sin_modelos" sheetId="23" r:id="rId15"/>
    <sheet name="ccl_captacion_grupo" sheetId="37" r:id="rId16"/>
    <sheet name="CFEN_Ponderado" sheetId="2" r:id="rId17"/>
    <sheet name="CFEN_Sin_Ponderar" sheetId="3" r:id="rId18"/>
    <sheet name="iif" sheetId="28" r:id="rId19"/>
    <sheet name="contrapartes_iif" sheetId="29" r:id="rId20"/>
    <sheet name="productos_iif" sheetId="30" r:id="rId21"/>
    <sheet name="derivados_actual" sheetId="36" r:id="rId22"/>
    <sheet name="Productos_Derivados" sheetId="35" r:id="rId23"/>
    <sheet name="derivados_contrapartes" sheetId="32" r:id="rId24"/>
    <sheet name="cambios" sheetId="13" r:id="rId25"/>
    <sheet name="Var_Promedio" sheetId="33" r:id="rId26"/>
    <sheet name="activos_productivos" sheetId="38" r:id="rId27"/>
    <sheet name="Sensibilidad" sheetId="34" r:id="rId28"/>
    <sheet name="Tasa_Compra_Emi_Tit" sheetId="39" r:id="rId29"/>
    <sheet name="riesgo_no_cuantificable" sheetId="27" r:id="rId30"/>
  </sheets>
  <externalReferences>
    <externalReference r:id="rId31"/>
    <externalReference r:id="rId32"/>
  </externalReferences>
  <definedNames>
    <definedName name="_xlnm._FilterDatabase" localSheetId="0" hidden="1">balance_grupo_financiero!$A$2:$K$145</definedName>
    <definedName name="_xlnm._FilterDatabase" localSheetId="17" hidden="1">CFEN_Sin_Ponderar!$A$2:$H$100</definedName>
    <definedName name="_xlnm._FilterDatabase" localSheetId="5" hidden="1">cnbv!$A$2:$AG$55</definedName>
    <definedName name="_xlnm._FilterDatabase" localSheetId="11" hidden="1">fuentes_de_financiamiento!$A$2:$X$174</definedName>
    <definedName name="_xlnm._FilterDatabase" localSheetId="7" hidden="1">icap_banco!$A$2:$H$206</definedName>
    <definedName name="_xlnm._FilterDatabase" localSheetId="6" hidden="1">icap_grupo!$A$1:$N$181</definedName>
    <definedName name="_xlnm._FilterDatabase" localSheetId="8" hidden="1">icap_start!$A$2:$H$196</definedName>
    <definedName name="_xlnm._FilterDatabase" localSheetId="22" hidden="1">Productos_Derivados!$A$1:$H$131</definedName>
    <definedName name="_xlnm._FilterDatabase" localSheetId="9" hidden="1">ra_banco!$A$2:$Q$26</definedName>
    <definedName name="_xlnm._FilterDatabase" localSheetId="10" hidden="1">ra_start!$A$2:$G$26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53" i="14" l="1"/>
  <c r="AI52" i="14"/>
  <c r="AJ52" i="14"/>
  <c r="AK52" i="14"/>
  <c r="AI53" i="14"/>
  <c r="AK53" i="14"/>
  <c r="AG52" i="14" l="1"/>
  <c r="AH52" i="14"/>
  <c r="AG53" i="14"/>
  <c r="AH53" i="14"/>
  <c r="J10" i="38" l="1"/>
  <c r="M10" i="38"/>
  <c r="J9" i="38"/>
  <c r="M9" i="38"/>
  <c r="J7" i="38"/>
  <c r="M7" i="38"/>
  <c r="J6" i="38"/>
  <c r="M6" i="38"/>
  <c r="J3" i="38" l="1"/>
  <c r="M4" i="38"/>
  <c r="J11" i="38"/>
  <c r="J4" i="38"/>
  <c r="M3" i="38"/>
  <c r="M11" i="38"/>
  <c r="M8" i="38"/>
  <c r="J8" i="38"/>
  <c r="AI46" i="23"/>
  <c r="M5" i="38" l="1"/>
  <c r="J5" i="38"/>
  <c r="AD23" i="37"/>
  <c r="AD22" i="37"/>
  <c r="AD21" i="37"/>
  <c r="AD20" i="37"/>
  <c r="AD19" i="37"/>
  <c r="AD18" i="37"/>
  <c r="AD17" i="37"/>
  <c r="AD16" i="37"/>
  <c r="AD15" i="37"/>
  <c r="AD14" i="37"/>
  <c r="AD13" i="37"/>
  <c r="AD12" i="37"/>
  <c r="AD11" i="37"/>
  <c r="AD10" i="37"/>
  <c r="AD9" i="37"/>
  <c r="AD8" i="37"/>
  <c r="AD7" i="37"/>
  <c r="AD6" i="37"/>
  <c r="AD5" i="37"/>
  <c r="AD4" i="37"/>
  <c r="AE3" i="37"/>
  <c r="H86" i="38" l="1"/>
  <c r="I86" i="38"/>
  <c r="J86" i="38"/>
  <c r="H83" i="38"/>
  <c r="I83" i="38"/>
  <c r="J83" i="38"/>
  <c r="I80" i="38"/>
  <c r="J80" i="38"/>
  <c r="I77" i="38"/>
  <c r="J77" i="38"/>
  <c r="H74" i="38"/>
  <c r="I74" i="38"/>
  <c r="J74" i="38"/>
  <c r="H71" i="38"/>
  <c r="I71" i="38"/>
  <c r="J71" i="38"/>
  <c r="H65" i="38"/>
  <c r="I65" i="38"/>
  <c r="J65" i="38"/>
  <c r="H66" i="38"/>
  <c r="I66" i="38"/>
  <c r="J66" i="38"/>
  <c r="H67" i="38"/>
  <c r="I67" i="38"/>
  <c r="J67" i="38"/>
  <c r="H62" i="38"/>
  <c r="I62" i="38"/>
  <c r="J62" i="38"/>
  <c r="H56" i="38"/>
  <c r="I56" i="38"/>
  <c r="J56" i="38"/>
  <c r="H57" i="38"/>
  <c r="I57" i="38"/>
  <c r="J57" i="38"/>
  <c r="H58" i="38"/>
  <c r="I58" i="38"/>
  <c r="J58" i="38"/>
  <c r="H53" i="38"/>
  <c r="I53" i="38"/>
  <c r="J53" i="38"/>
  <c r="H47" i="38"/>
  <c r="I47" i="38"/>
  <c r="J47" i="38"/>
  <c r="H48" i="38"/>
  <c r="I48" i="38"/>
  <c r="J48" i="38"/>
  <c r="H49" i="38"/>
  <c r="I49" i="38"/>
  <c r="J49" i="38"/>
  <c r="H44" i="38"/>
  <c r="I44" i="38"/>
  <c r="J44" i="38"/>
  <c r="H38" i="38"/>
  <c r="I38" i="38"/>
  <c r="J38" i="38"/>
  <c r="H39" i="38"/>
  <c r="I39" i="38"/>
  <c r="J39" i="38"/>
  <c r="H40" i="38"/>
  <c r="I40" i="38"/>
  <c r="J40" i="38"/>
  <c r="H35" i="38"/>
  <c r="I35" i="38"/>
  <c r="J35" i="38"/>
  <c r="H29" i="38"/>
  <c r="I29" i="38"/>
  <c r="J29" i="38"/>
  <c r="H30" i="38"/>
  <c r="I30" i="38"/>
  <c r="J30" i="38"/>
  <c r="H31" i="38"/>
  <c r="I31" i="38"/>
  <c r="J31" i="38"/>
  <c r="H26" i="38"/>
  <c r="I26" i="38"/>
  <c r="J26" i="38"/>
  <c r="H20" i="38"/>
  <c r="I20" i="38"/>
  <c r="J20" i="38"/>
  <c r="H21" i="38"/>
  <c r="I21" i="38"/>
  <c r="J21" i="38"/>
  <c r="H22" i="38"/>
  <c r="I22" i="38"/>
  <c r="J22" i="38"/>
  <c r="H17" i="38"/>
  <c r="I17" i="38"/>
  <c r="J17" i="38"/>
  <c r="H6" i="38"/>
  <c r="I6" i="38"/>
  <c r="H7" i="38"/>
  <c r="I7" i="38"/>
  <c r="H9" i="38"/>
  <c r="I9" i="38"/>
  <c r="H10" i="38"/>
  <c r="I10" i="38"/>
  <c r="H12" i="38"/>
  <c r="I12" i="38"/>
  <c r="J12" i="38"/>
  <c r="H13" i="38"/>
  <c r="I13" i="38"/>
  <c r="J13" i="38"/>
  <c r="I3" i="38" l="1"/>
  <c r="I41" i="38"/>
  <c r="I68" i="38"/>
  <c r="I23" i="38"/>
  <c r="I50" i="38"/>
  <c r="H23" i="38"/>
  <c r="H50" i="38"/>
  <c r="H3" i="38"/>
  <c r="J59" i="38"/>
  <c r="J32" i="38"/>
  <c r="H11" i="38"/>
  <c r="J68" i="38"/>
  <c r="I11" i="38"/>
  <c r="J14" i="38"/>
  <c r="J23" i="38"/>
  <c r="J50" i="38"/>
  <c r="I14" i="38"/>
  <c r="H41" i="38"/>
  <c r="H68" i="38"/>
  <c r="H14" i="38"/>
  <c r="I8" i="38"/>
  <c r="I32" i="38"/>
  <c r="J41" i="38"/>
  <c r="I59" i="38"/>
  <c r="H8" i="38"/>
  <c r="H32" i="38"/>
  <c r="H59" i="38"/>
  <c r="I4" i="38"/>
  <c r="H4" i="38"/>
  <c r="AH48" i="23"/>
  <c r="AI48" i="23"/>
  <c r="AG48" i="23"/>
  <c r="AG47" i="23"/>
  <c r="I5" i="38" l="1"/>
  <c r="H5" i="38"/>
  <c r="AF52" i="14" l="1"/>
  <c r="D114" i="11" l="1"/>
  <c r="Z52" i="14" l="1"/>
  <c r="J13" i="21" l="1"/>
  <c r="J20" i="21"/>
  <c r="J19" i="21"/>
  <c r="D181" i="17" l="1"/>
  <c r="L21" i="36" l="1"/>
  <c r="I90" i="3" l="1"/>
  <c r="I91" i="3"/>
  <c r="I89" i="3"/>
  <c r="AF53" i="14" l="1"/>
  <c r="AE53" i="14"/>
  <c r="AE52" i="14"/>
  <c r="L28" i="21" l="1"/>
  <c r="K28" i="21"/>
  <c r="L27" i="21"/>
  <c r="K27" i="21"/>
  <c r="L20" i="21"/>
  <c r="K20" i="21"/>
  <c r="L19" i="21"/>
  <c r="K19" i="21"/>
  <c r="H79" i="38" l="1"/>
  <c r="H78" i="38"/>
  <c r="H76" i="38"/>
  <c r="H75" i="38"/>
  <c r="H77" i="38" l="1"/>
  <c r="H80" i="38"/>
  <c r="I63" i="35"/>
  <c r="I62" i="35"/>
  <c r="Z53" i="14" l="1"/>
  <c r="AA53" i="14"/>
  <c r="AA52" i="14"/>
  <c r="AB53" i="14"/>
  <c r="AB52" i="14"/>
  <c r="AC53" i="14"/>
  <c r="AC52" i="14"/>
  <c r="AD53" i="14"/>
  <c r="AD52" i="14"/>
  <c r="H184" i="18" l="1"/>
  <c r="G86" i="38" l="1"/>
  <c r="F86" i="38"/>
  <c r="E86" i="38"/>
  <c r="D86" i="38"/>
  <c r="C86" i="38"/>
  <c r="G83" i="38"/>
  <c r="F83" i="38"/>
  <c r="E83" i="38"/>
  <c r="D83" i="38"/>
  <c r="C83" i="38"/>
  <c r="G80" i="38"/>
  <c r="F80" i="38"/>
  <c r="E80" i="38"/>
  <c r="D80" i="38"/>
  <c r="C80" i="38"/>
  <c r="G77" i="38"/>
  <c r="F77" i="38"/>
  <c r="E77" i="38"/>
  <c r="D77" i="38"/>
  <c r="C77" i="38"/>
  <c r="G74" i="38"/>
  <c r="F74" i="38"/>
  <c r="E74" i="38"/>
  <c r="D74" i="38"/>
  <c r="C74" i="38"/>
  <c r="G71" i="38"/>
  <c r="F71" i="38"/>
  <c r="E71" i="38"/>
  <c r="D71" i="38"/>
  <c r="C71" i="38"/>
  <c r="G67" i="38"/>
  <c r="F67" i="38"/>
  <c r="E67" i="38"/>
  <c r="D67" i="38"/>
  <c r="C67" i="38"/>
  <c r="G66" i="38"/>
  <c r="F66" i="38"/>
  <c r="E66" i="38"/>
  <c r="D66" i="38"/>
  <c r="C66" i="38"/>
  <c r="G65" i="38"/>
  <c r="F65" i="38"/>
  <c r="E65" i="38"/>
  <c r="D65" i="38"/>
  <c r="C65" i="38"/>
  <c r="G62" i="38"/>
  <c r="F62" i="38"/>
  <c r="E62" i="38"/>
  <c r="D62" i="38"/>
  <c r="C62" i="38"/>
  <c r="G58" i="38"/>
  <c r="F58" i="38"/>
  <c r="E58" i="38"/>
  <c r="D58" i="38"/>
  <c r="C58" i="38"/>
  <c r="G57" i="38"/>
  <c r="F57" i="38"/>
  <c r="E57" i="38"/>
  <c r="D57" i="38"/>
  <c r="C57" i="38"/>
  <c r="G56" i="38"/>
  <c r="F56" i="38"/>
  <c r="E56" i="38"/>
  <c r="D56" i="38"/>
  <c r="C56" i="38"/>
  <c r="G53" i="38"/>
  <c r="F53" i="38"/>
  <c r="E53" i="38"/>
  <c r="D53" i="38"/>
  <c r="C53" i="38"/>
  <c r="G49" i="38"/>
  <c r="F49" i="38"/>
  <c r="E49" i="38"/>
  <c r="D49" i="38"/>
  <c r="C49" i="38"/>
  <c r="G48" i="38"/>
  <c r="F48" i="38"/>
  <c r="E48" i="38"/>
  <c r="D48" i="38"/>
  <c r="C48" i="38"/>
  <c r="G47" i="38"/>
  <c r="F47" i="38"/>
  <c r="E47" i="38"/>
  <c r="D47" i="38"/>
  <c r="C47" i="38"/>
  <c r="G44" i="38"/>
  <c r="F44" i="38"/>
  <c r="E44" i="38"/>
  <c r="D44" i="38"/>
  <c r="C44" i="38"/>
  <c r="G40" i="38"/>
  <c r="F40" i="38"/>
  <c r="E40" i="38"/>
  <c r="E41" i="38" s="1"/>
  <c r="D40" i="38"/>
  <c r="C40" i="38"/>
  <c r="G39" i="38"/>
  <c r="F39" i="38"/>
  <c r="E39" i="38"/>
  <c r="D39" i="38"/>
  <c r="C39" i="38"/>
  <c r="G38" i="38"/>
  <c r="F38" i="38"/>
  <c r="E38" i="38"/>
  <c r="D38" i="38"/>
  <c r="C38" i="38"/>
  <c r="G35" i="38"/>
  <c r="F35" i="38"/>
  <c r="E35" i="38"/>
  <c r="D35" i="38"/>
  <c r="C35" i="38"/>
  <c r="G31" i="38"/>
  <c r="F31" i="38"/>
  <c r="E31" i="38"/>
  <c r="D31" i="38"/>
  <c r="C31" i="38"/>
  <c r="G30" i="38"/>
  <c r="F30" i="38"/>
  <c r="E30" i="38"/>
  <c r="E32" i="38" s="1"/>
  <c r="D30" i="38"/>
  <c r="C30" i="38"/>
  <c r="G29" i="38"/>
  <c r="F29" i="38"/>
  <c r="E29" i="38"/>
  <c r="D29" i="38"/>
  <c r="C29" i="38"/>
  <c r="G26" i="38"/>
  <c r="F26" i="38"/>
  <c r="E26" i="38"/>
  <c r="D26" i="38"/>
  <c r="C26" i="38"/>
  <c r="G22" i="38"/>
  <c r="F22" i="38"/>
  <c r="E22" i="38"/>
  <c r="D22" i="38"/>
  <c r="C22" i="38"/>
  <c r="G21" i="38"/>
  <c r="F21" i="38"/>
  <c r="E21" i="38"/>
  <c r="D21" i="38"/>
  <c r="C21" i="38"/>
  <c r="G20" i="38"/>
  <c r="F20" i="38"/>
  <c r="E20" i="38"/>
  <c r="D20" i="38"/>
  <c r="C20" i="38"/>
  <c r="G17" i="38"/>
  <c r="F17" i="38"/>
  <c r="E17" i="38"/>
  <c r="D17" i="38"/>
  <c r="C17" i="38"/>
  <c r="G13" i="38"/>
  <c r="F13" i="38"/>
  <c r="E13" i="38"/>
  <c r="D13" i="38"/>
  <c r="C13" i="38"/>
  <c r="G12" i="38"/>
  <c r="F12" i="38"/>
  <c r="E12" i="38"/>
  <c r="D12" i="38"/>
  <c r="C12" i="38"/>
  <c r="G10" i="38"/>
  <c r="F10" i="38"/>
  <c r="E10" i="38"/>
  <c r="D10" i="38"/>
  <c r="C10" i="38"/>
  <c r="G9" i="38"/>
  <c r="F9" i="38"/>
  <c r="E9" i="38"/>
  <c r="D9" i="38"/>
  <c r="C9" i="38"/>
  <c r="G7" i="38"/>
  <c r="F7" i="38"/>
  <c r="E7" i="38"/>
  <c r="D7" i="38"/>
  <c r="C7" i="38"/>
  <c r="G6" i="38"/>
  <c r="F6" i="38"/>
  <c r="E6" i="38"/>
  <c r="D6" i="38"/>
  <c r="C6" i="38"/>
  <c r="C41" i="38" l="1"/>
  <c r="D41" i="38"/>
  <c r="C68" i="38"/>
  <c r="C14" i="38"/>
  <c r="D14" i="38"/>
  <c r="F14" i="38"/>
  <c r="G3" i="38"/>
  <c r="G14" i="38"/>
  <c r="C32" i="38"/>
  <c r="D4" i="38"/>
  <c r="D32" i="38"/>
  <c r="G11" i="38"/>
  <c r="F32" i="38"/>
  <c r="G50" i="38"/>
  <c r="G8" i="38"/>
  <c r="C50" i="38"/>
  <c r="D68" i="38"/>
  <c r="E14" i="38"/>
  <c r="D23" i="38"/>
  <c r="D50" i="38"/>
  <c r="E50" i="38"/>
  <c r="C11" i="38"/>
  <c r="E11" i="38"/>
  <c r="G23" i="38"/>
  <c r="F50" i="38"/>
  <c r="D59" i="38"/>
  <c r="F3" i="38"/>
  <c r="D3" i="38"/>
  <c r="F11" i="38"/>
  <c r="F41" i="38"/>
  <c r="C4" i="38"/>
  <c r="F68" i="38"/>
  <c r="G59" i="38"/>
  <c r="G68" i="38"/>
  <c r="E23" i="38"/>
  <c r="C8" i="38"/>
  <c r="G32" i="38"/>
  <c r="C59" i="38"/>
  <c r="E59" i="38"/>
  <c r="D8" i="38"/>
  <c r="D11" i="38"/>
  <c r="F59" i="38"/>
  <c r="G41" i="38"/>
  <c r="E68" i="38"/>
  <c r="F8" i="38"/>
  <c r="F23" i="38"/>
  <c r="C23" i="38"/>
  <c r="E3" i="38"/>
  <c r="C3" i="38"/>
  <c r="F4" i="38"/>
  <c r="E4" i="38"/>
  <c r="E8" i="38"/>
  <c r="G4" i="38"/>
  <c r="D5" i="38" l="1"/>
  <c r="G5" i="38"/>
  <c r="F5" i="38"/>
  <c r="C5" i="38"/>
  <c r="E5" i="38"/>
  <c r="A176" i="15"/>
  <c r="H169" i="16" l="1"/>
  <c r="G169" i="16"/>
  <c r="F169" i="16"/>
  <c r="E169" i="16"/>
  <c r="C169" i="16"/>
  <c r="C184" i="18"/>
  <c r="D184" i="18"/>
  <c r="E184" i="18"/>
  <c r="F184" i="18"/>
  <c r="G184" i="18"/>
  <c r="H193" i="17"/>
  <c r="G193" i="17"/>
  <c r="F193" i="17"/>
  <c r="E193" i="17"/>
  <c r="C193" i="17"/>
  <c r="C181" i="17" l="1"/>
  <c r="E181" i="17"/>
  <c r="F181" i="17"/>
  <c r="G181" i="17"/>
  <c r="H181" i="17"/>
  <c r="C128" i="35" l="1"/>
  <c r="C125" i="35"/>
  <c r="G55" i="35"/>
  <c r="F55" i="35"/>
  <c r="E55" i="35"/>
  <c r="D55" i="35"/>
  <c r="C55" i="35"/>
  <c r="E2" i="35"/>
  <c r="D2" i="35"/>
  <c r="N46" i="23" l="1"/>
  <c r="N37" i="23"/>
  <c r="N43" i="23" s="1"/>
  <c r="N47" i="23" l="1"/>
  <c r="C3" i="32"/>
  <c r="D3" i="32"/>
  <c r="C4" i="32"/>
  <c r="D4" i="32"/>
  <c r="C5" i="32"/>
  <c r="D5" i="32"/>
  <c r="C6" i="32"/>
  <c r="D6" i="32"/>
  <c r="C7" i="32"/>
  <c r="D7" i="32"/>
  <c r="C8" i="32"/>
  <c r="D8" i="32"/>
  <c r="C9" i="32"/>
  <c r="D9" i="32"/>
  <c r="C10" i="32"/>
  <c r="D10" i="32"/>
  <c r="C11" i="32"/>
  <c r="D11" i="32"/>
  <c r="C12" i="32"/>
  <c r="D12" i="32"/>
  <c r="C14" i="32"/>
  <c r="D14" i="32"/>
  <c r="F14" i="32"/>
  <c r="C15" i="32"/>
  <c r="D15" i="32"/>
  <c r="F15" i="32"/>
  <c r="C16" i="32"/>
  <c r="D16" i="32"/>
  <c r="F16" i="32"/>
  <c r="C17" i="32"/>
  <c r="D17" i="32"/>
  <c r="F17" i="32"/>
  <c r="C18" i="32"/>
  <c r="D18" i="32"/>
  <c r="F18" i="32"/>
  <c r="C19" i="32"/>
  <c r="D19" i="32"/>
  <c r="F19" i="32"/>
  <c r="C20" i="32"/>
  <c r="D20" i="32"/>
  <c r="F20" i="32"/>
  <c r="C21" i="32"/>
  <c r="D21" i="32"/>
  <c r="F21" i="32"/>
  <c r="C22" i="32"/>
  <c r="D22" i="32"/>
  <c r="F22" i="32"/>
  <c r="C23" i="32"/>
  <c r="D23" i="32"/>
  <c r="F23" i="32"/>
  <c r="Z37" i="23" l="1"/>
  <c r="Z43" i="23" s="1"/>
  <c r="AA43" i="23"/>
  <c r="AB43" i="23"/>
  <c r="AC43" i="23"/>
  <c r="Z46" i="23"/>
  <c r="AA46" i="23"/>
  <c r="AB46" i="23"/>
  <c r="AC46" i="23"/>
  <c r="AD46" i="23"/>
  <c r="AB47" i="23" l="1"/>
  <c r="AA47" i="23"/>
  <c r="AD47" i="23"/>
  <c r="AC47" i="23"/>
  <c r="Z47" i="23"/>
  <c r="S25" i="15" l="1"/>
  <c r="S68" i="15" s="1"/>
  <c r="T25" i="15"/>
  <c r="T68" i="15" s="1"/>
  <c r="U25" i="15"/>
  <c r="U68" i="15" s="1"/>
  <c r="V25" i="15"/>
  <c r="W25" i="15"/>
  <c r="W69" i="15" s="1"/>
  <c r="S26" i="15"/>
  <c r="S70" i="15" s="1"/>
  <c r="T26" i="15"/>
  <c r="T70" i="15" s="1"/>
  <c r="U26" i="15"/>
  <c r="U70" i="15" s="1"/>
  <c r="V26" i="15"/>
  <c r="V70" i="15" s="1"/>
  <c r="W26" i="15"/>
  <c r="W70" i="15" s="1"/>
  <c r="S37" i="15"/>
  <c r="T37" i="15"/>
  <c r="U37" i="15"/>
  <c r="V37" i="15"/>
  <c r="W37" i="15"/>
  <c r="S41" i="15"/>
  <c r="T41" i="15"/>
  <c r="U41" i="15"/>
  <c r="V41" i="15"/>
  <c r="W41" i="15"/>
  <c r="S45" i="15"/>
  <c r="T45" i="15"/>
  <c r="U45" i="15"/>
  <c r="V45" i="15"/>
  <c r="W45" i="15"/>
  <c r="S49" i="15"/>
  <c r="T49" i="15"/>
  <c r="U49" i="15"/>
  <c r="V49" i="15"/>
  <c r="W49" i="15"/>
  <c r="S53" i="15"/>
  <c r="T53" i="15"/>
  <c r="U53" i="15"/>
  <c r="V53" i="15"/>
  <c r="W53" i="15"/>
  <c r="S57" i="15"/>
  <c r="T57" i="15"/>
  <c r="U57" i="15"/>
  <c r="V57" i="15"/>
  <c r="W57" i="15"/>
  <c r="S61" i="15"/>
  <c r="T61" i="15"/>
  <c r="U61" i="15"/>
  <c r="V61" i="15"/>
  <c r="W61" i="15"/>
  <c r="U69" i="15"/>
  <c r="V69" i="15"/>
  <c r="S75" i="15"/>
  <c r="T75" i="15"/>
  <c r="U75" i="15"/>
  <c r="V75" i="15"/>
  <c r="W75" i="15"/>
  <c r="S76" i="15"/>
  <c r="T76" i="15"/>
  <c r="U76" i="15"/>
  <c r="V76" i="15"/>
  <c r="W76" i="15"/>
  <c r="S78" i="15"/>
  <c r="S131" i="15" s="1"/>
  <c r="T78" i="15"/>
  <c r="T131" i="15" s="1"/>
  <c r="U78" i="15"/>
  <c r="V78" i="15"/>
  <c r="V131" i="15" s="1"/>
  <c r="W78" i="15"/>
  <c r="S79" i="15"/>
  <c r="S132" i="15" s="1"/>
  <c r="T79" i="15"/>
  <c r="T132" i="15" s="1"/>
  <c r="U79" i="15"/>
  <c r="U132" i="15" s="1"/>
  <c r="V79" i="15"/>
  <c r="W79" i="15"/>
  <c r="W132" i="15" s="1"/>
  <c r="S81" i="15"/>
  <c r="T81" i="15"/>
  <c r="U81" i="15"/>
  <c r="V81" i="15"/>
  <c r="W81" i="15"/>
  <c r="S88" i="15"/>
  <c r="T88" i="15"/>
  <c r="U88" i="15"/>
  <c r="V88" i="15"/>
  <c r="W88" i="15"/>
  <c r="S100" i="15"/>
  <c r="T100" i="15"/>
  <c r="U100" i="15"/>
  <c r="V100" i="15"/>
  <c r="W100" i="15"/>
  <c r="S101" i="15"/>
  <c r="T101" i="15"/>
  <c r="U101" i="15"/>
  <c r="V101" i="15"/>
  <c r="W101" i="15"/>
  <c r="S102" i="15" l="1"/>
  <c r="U74" i="15"/>
  <c r="U127" i="15" s="1"/>
  <c r="T27" i="15"/>
  <c r="U102" i="15"/>
  <c r="V80" i="15"/>
  <c r="T69" i="15"/>
  <c r="T71" i="15" s="1"/>
  <c r="S69" i="15"/>
  <c r="S71" i="15" s="1"/>
  <c r="T133" i="15"/>
  <c r="S80" i="15"/>
  <c r="U129" i="15"/>
  <c r="W74" i="15"/>
  <c r="W128" i="15"/>
  <c r="V27" i="15"/>
  <c r="V71" i="15"/>
  <c r="W77" i="15"/>
  <c r="S27" i="15"/>
  <c r="T129" i="15"/>
  <c r="U80" i="15"/>
  <c r="S77" i="15"/>
  <c r="V132" i="15"/>
  <c r="V133" i="15" s="1"/>
  <c r="S129" i="15"/>
  <c r="V102" i="15"/>
  <c r="W102" i="15"/>
  <c r="T74" i="15"/>
  <c r="T127" i="15" s="1"/>
  <c r="W71" i="15"/>
  <c r="U71" i="15"/>
  <c r="T102" i="15"/>
  <c r="S74" i="15"/>
  <c r="S127" i="15" s="1"/>
  <c r="W68" i="15"/>
  <c r="W27" i="15"/>
  <c r="T80" i="15"/>
  <c r="V74" i="15"/>
  <c r="V68" i="15"/>
  <c r="U27" i="15"/>
  <c r="S133" i="15"/>
  <c r="U131" i="15"/>
  <c r="U133" i="15" s="1"/>
  <c r="V129" i="15"/>
  <c r="U128" i="15"/>
  <c r="V77" i="15"/>
  <c r="U77" i="15"/>
  <c r="W129" i="15"/>
  <c r="V128" i="15"/>
  <c r="T77" i="15"/>
  <c r="W131" i="15"/>
  <c r="W133" i="15" s="1"/>
  <c r="W80" i="15"/>
  <c r="S128" i="15" l="1"/>
  <c r="S130" i="15" s="1"/>
  <c r="T128" i="15"/>
  <c r="T130" i="15" s="1"/>
  <c r="W130" i="15"/>
  <c r="U130" i="15"/>
  <c r="W127" i="15"/>
  <c r="V127" i="15"/>
  <c r="V130" i="15"/>
  <c r="C4" i="3"/>
  <c r="E4" i="3"/>
  <c r="F4" i="3"/>
  <c r="G4" i="3"/>
  <c r="C93" i="3"/>
  <c r="C65" i="3" s="1"/>
  <c r="E93" i="3"/>
  <c r="E65" i="3" s="1"/>
  <c r="F93" i="3"/>
  <c r="F65" i="3" s="1"/>
  <c r="G93" i="3"/>
  <c r="G6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33" authorId="0" shapeId="0" xr:uid="{00000000-0006-0000-1600-000001000000}">
      <text>
        <r>
          <rPr>
            <sz val="10"/>
            <color rgb="FF000000"/>
            <rFont val="Calibri"/>
            <family val="2"/>
            <scheme val="minor"/>
          </rPr>
          <t>Se corrige registro incorrecto en catálogo de tipo de amortización
	-LUIS ALBERTO CASTILLO RODRIGUEZ</t>
        </r>
      </text>
    </comment>
  </commentList>
</comments>
</file>

<file path=xl/sharedStrings.xml><?xml version="1.0" encoding="utf-8"?>
<sst xmlns="http://schemas.openxmlformats.org/spreadsheetml/2006/main" count="5802" uniqueCount="2946">
  <si>
    <t>Otros pasivos no considerados en los renglones anteriores</t>
  </si>
  <si>
    <t>Créditos diferidos y cobros anticipados</t>
  </si>
  <si>
    <t>Acreedores diversos</t>
  </si>
  <si>
    <t>Operaciones vencidas pendientes de liquidar distintas a las operaciones de derivados (incluye compraventa de divisas, inversiones en valores, reportos)</t>
  </si>
  <si>
    <t>Participación de los trabajadores en las utilidades por pagar</t>
  </si>
  <si>
    <t>Impuestos por pagar</t>
  </si>
  <si>
    <t>Operaciones pasivas que formen parte de Operaciones Interdependientes</t>
  </si>
  <si>
    <t>Otros Pasivos no Considerados en los Renglones Anteriores</t>
  </si>
  <si>
    <t>Derivados</t>
  </si>
  <si>
    <t xml:space="preserve">Con financieras </t>
  </si>
  <si>
    <t xml:space="preserve">No financieras </t>
  </si>
  <si>
    <t>Gobierno Federal (y entidades respaldadas por éste)</t>
  </si>
  <si>
    <t>Acreedores por Reporto</t>
  </si>
  <si>
    <t>Títulos Emitidos</t>
  </si>
  <si>
    <t>Financieras</t>
  </si>
  <si>
    <t>Banca de Desarrollo</t>
  </si>
  <si>
    <t>Bancos centrales</t>
  </si>
  <si>
    <t xml:space="preserve">Prestamos </t>
  </si>
  <si>
    <t>Plazo, no financieras</t>
  </si>
  <si>
    <t>Plazo, financieras</t>
  </si>
  <si>
    <t>Plazo, gobiernos</t>
  </si>
  <si>
    <t>Vista, financieras</t>
  </si>
  <si>
    <t>Vista, no financieras</t>
  </si>
  <si>
    <t>Mayorista FED</t>
  </si>
  <si>
    <t>No cubierta</t>
  </si>
  <si>
    <t>Cubierta (No Transaccional)</t>
  </si>
  <si>
    <t>Cubierta (Transaccional)</t>
  </si>
  <si>
    <t>Depósitos Minoristas, no garantizados al 100 % por IPAB</t>
  </si>
  <si>
    <t>No transaccional ó sin propósito operacional</t>
  </si>
  <si>
    <t>Transaccional ó con propósito operacional</t>
  </si>
  <si>
    <t xml:space="preserve">Depósitos Minoristas, 100 % garantizados por IPAB </t>
  </si>
  <si>
    <t>Minorista</t>
  </si>
  <si>
    <t xml:space="preserve">Depositos </t>
  </si>
  <si>
    <t>Capital</t>
  </si>
  <si>
    <t>Financiamiento Estable Disponible</t>
  </si>
  <si>
    <t>Cartas de Crédito</t>
  </si>
  <si>
    <t>Compromisos crediticios</t>
  </si>
  <si>
    <t>Otros Activos distintos a los conceptos anteriores</t>
  </si>
  <si>
    <t>Monto de financiamiento que, de conformidad con las Políticas y Criterios, haya sido aprobado por el consejo de administración, para hacer frente al riesgo de liquidez de la Institución derivado de las operaciones de entidades o sociedades que formen parte del mismo grupo financiero, consorcio o grupo empresarial.</t>
  </si>
  <si>
    <t>Derechos de cobro</t>
  </si>
  <si>
    <t>Propiedades, mobiliario y equipo</t>
  </si>
  <si>
    <t>Bienes adjudicados</t>
  </si>
  <si>
    <t>Deudores diversos</t>
  </si>
  <si>
    <t>Operaciones vencidas pendientes de liquidar distintas a las de derivados (incluye compraventa de divisas, inversiones en valores, reportos)</t>
  </si>
  <si>
    <t>Documentos de cobro inmediato, remesas en camino y activos en corresponsales</t>
  </si>
  <si>
    <t>Materias primas básicas (commodities) comerciadas físicamente, incluyendo oro. Se excluyen las materias primas a entregar por ventas fecha valor</t>
  </si>
  <si>
    <t xml:space="preserve">Total de las deducciones al capital </t>
  </si>
  <si>
    <t>Otros Activos</t>
  </si>
  <si>
    <t>Moneda a recibir</t>
  </si>
  <si>
    <t>Títulos a recibir por compra-venta de títulos fecha valor</t>
  </si>
  <si>
    <t>Operaciones Fecha Valor</t>
  </si>
  <si>
    <t>Reportos, con Títulos Nivel 1</t>
  </si>
  <si>
    <t>Finaciamiento Garantizado</t>
  </si>
  <si>
    <t>Otros</t>
  </si>
  <si>
    <t>Entidades financieras (banca de desarrollo)</t>
  </si>
  <si>
    <t>Entidades financieras (distintas a banca de desarrollo)</t>
  </si>
  <si>
    <t>Mayorista</t>
  </si>
  <si>
    <t>Comercial</t>
  </si>
  <si>
    <t>Consumo</t>
  </si>
  <si>
    <t>Hipotecaria</t>
  </si>
  <si>
    <t>Cartera Crediticia Etapa 3</t>
  </si>
  <si>
    <t>Con restricción &gt;=1 año</t>
  </si>
  <si>
    <t>Con restricción &lt;1 año</t>
  </si>
  <si>
    <t>No financieras (ponderador riesgo crédito &gt;35%)</t>
  </si>
  <si>
    <t>No financieras (ponderador riesgo crédito &lt;=35%)</t>
  </si>
  <si>
    <t>Comercial (ponderador riesgo crédito &gt;35%)</t>
  </si>
  <si>
    <t>Consumo (ponderador riesgo crédito &gt;35%)</t>
  </si>
  <si>
    <t>Consumo ó comercial (ponderador riesgo crédito &lt;=35%)</t>
  </si>
  <si>
    <t>Hipotecas vigente (ponderador riesgo crédito &gt;35%)</t>
  </si>
  <si>
    <t>Hipotecas vigente (ponderador riesgo crédito &lt;= 35%)</t>
  </si>
  <si>
    <t>Cartera Crediticia Etapa 1 y 2</t>
  </si>
  <si>
    <t>Margen inicial</t>
  </si>
  <si>
    <t>20% de la valuación de mercado pasiva de derivados1</t>
  </si>
  <si>
    <t>Total de Activos - Total de Pasivos</t>
  </si>
  <si>
    <t>Instrumentos Financieros Derivados</t>
  </si>
  <si>
    <t>Títulos a recibir en reporto, distintos a Nivel 1</t>
  </si>
  <si>
    <t>Títulos a recibir en reporto, Nivel 2A</t>
  </si>
  <si>
    <t>Títulos a recibir en reporto, Nivel 1</t>
  </si>
  <si>
    <t>Distintos a Nivel 1, 2A y 2B</t>
  </si>
  <si>
    <t xml:space="preserve"> Títulos de Nivel 2B</t>
  </si>
  <si>
    <t xml:space="preserve"> Títulos de Nivel 2A</t>
  </si>
  <si>
    <t>Títulos Nivel 1, emitidos por Gob. Fed., IPAB, Banca de Desarrollo (pond riesgo 0%)</t>
  </si>
  <si>
    <t>Inversiones en Instrumentos Financieros</t>
  </si>
  <si>
    <t>Call Money y depósitos en otros bancos, no operacionales</t>
  </si>
  <si>
    <t>Call Money y depósitos en otros bancos, operacionales</t>
  </si>
  <si>
    <t>Otros Depósitos en Banxico</t>
  </si>
  <si>
    <t>Depositos de Regulación Monetaria</t>
  </si>
  <si>
    <t>Caja</t>
  </si>
  <si>
    <t xml:space="preserve">Efectivo y Equivalentes </t>
  </si>
  <si>
    <t>Financiamiento Estable Requerido</t>
  </si>
  <si>
    <t>CFEN</t>
  </si>
  <si>
    <t>Previo</t>
  </si>
  <si>
    <t>Definitivo</t>
  </si>
  <si>
    <t>Activos totales</t>
  </si>
  <si>
    <t>Rentas por Cobrar</t>
  </si>
  <si>
    <t>Rentas devengadas no cobradas derivadas de operaciones de arrendamiento operativo</t>
  </si>
  <si>
    <t>Otras Cuentas de Registro</t>
  </si>
  <si>
    <t>Montos Contratados en Instrumentos Derivados</t>
  </si>
  <si>
    <t>Garantías de Créditos</t>
  </si>
  <si>
    <t>Intereses devengados no cobrados derivados de cartera de credito vencida</t>
  </si>
  <si>
    <t>Colaterales Recibidos y Vendidos o entregados en garantía por la Entidad</t>
  </si>
  <si>
    <t>Colaterales Recibidos por la Institucion</t>
  </si>
  <si>
    <t>Bienes en Custodia o en Administración</t>
  </si>
  <si>
    <t>Bienes en Fideicomiso o Mandato</t>
  </si>
  <si>
    <t>Compromisos Crediticios</t>
  </si>
  <si>
    <t>Avales Otorgados</t>
  </si>
  <si>
    <t>OPERACIONES POR CUENTA PROPIA</t>
  </si>
  <si>
    <t>Operaciones de Banca de Inversión por Cuentas de Terceros (Neto)</t>
  </si>
  <si>
    <t>OPERACIONES POR CUENTA DE TERCEROS</t>
  </si>
  <si>
    <t>CUENTAS DE ORDEN</t>
  </si>
  <si>
    <t>Participación No Controladora</t>
  </si>
  <si>
    <t>Resultado por Tenencia de Activos No Monetarios</t>
  </si>
  <si>
    <t>Remediciones por Beneficios Definidos a los Empleados</t>
  </si>
  <si>
    <t>Valuación de Instrumentos Derivados de Cobertura de Flujo de Efectivo</t>
  </si>
  <si>
    <t>Valuación de Instrumentos Financieros para Comprar o Vender</t>
  </si>
  <si>
    <t>Resultado Neto</t>
  </si>
  <si>
    <t>Resultados Acumulados</t>
  </si>
  <si>
    <t>Reservas de Capital</t>
  </si>
  <si>
    <t>Capital Ganado</t>
  </si>
  <si>
    <t>Prima en Venta de Acciones</t>
  </si>
  <si>
    <t>Aportaciones en exceso al Capital</t>
  </si>
  <si>
    <t>Capital Social</t>
  </si>
  <si>
    <t>Capital Contribuido</t>
  </si>
  <si>
    <t>CAPITAL CONTABLE</t>
  </si>
  <si>
    <t>Créditos Diferidos y Cobros Anticipados</t>
  </si>
  <si>
    <t>Pasivo por Beneficios a los empleados</t>
  </si>
  <si>
    <t>Pasivos por Impuestos a la Utilidad</t>
  </si>
  <si>
    <t>Obligaciones Asociadas con el Retiro de Componentes de Propiedades, Mobiliario y Equipo</t>
  </si>
  <si>
    <t>Aportaciones para futuros aumentos de capital pendientes de formalizar por su órgano de gobierno</t>
  </si>
  <si>
    <t>Obligaciones subordinadas en circulación</t>
  </si>
  <si>
    <t>Instrumentos Financieros que Califican como Pasivo</t>
  </si>
  <si>
    <t>Pasivos Relacionados con Grupos de Activos Mantenidos para la Venta</t>
  </si>
  <si>
    <t>Acreedores Diversos y Otras Cuentas por Pagar</t>
  </si>
  <si>
    <t>Contribuciones por Pagar</t>
  </si>
  <si>
    <t>Acreedores por colaterales recibidos en efectivo</t>
  </si>
  <si>
    <t xml:space="preserve">Acreedores por cuentas de margen </t>
  </si>
  <si>
    <t>Acreedores por liquidación de Operaciones</t>
  </si>
  <si>
    <t>Otras Cuentas Por Pagar</t>
  </si>
  <si>
    <t>Pasivo por Arrendamiento</t>
  </si>
  <si>
    <t>Obligaciones en Operaciones de Bursatilización</t>
  </si>
  <si>
    <t>Ajustes de Valuación por Cobertura de Pasivos Financieros</t>
  </si>
  <si>
    <t>Con fines de cobertura</t>
  </si>
  <si>
    <t>Con fines de negociación</t>
  </si>
  <si>
    <t>Otros Colaterales Vendidos</t>
  </si>
  <si>
    <t>Préstamo de valores</t>
  </si>
  <si>
    <t>Reporto</t>
  </si>
  <si>
    <t>Colaterales Vendidos en Garantia</t>
  </si>
  <si>
    <t>Préstamo de Valores</t>
  </si>
  <si>
    <t>Largo Plazo</t>
  </si>
  <si>
    <t>Corto Plazo</t>
  </si>
  <si>
    <t>Exigibilidad inmediata</t>
  </si>
  <si>
    <t>Préstamos Interbancarios y de Otros Organismos</t>
  </si>
  <si>
    <t>Cuenta Global</t>
  </si>
  <si>
    <t>Títulos de Crédito emitidos</t>
  </si>
  <si>
    <t>Mercado de dinero</t>
  </si>
  <si>
    <t>Del público en general</t>
  </si>
  <si>
    <t>Depósitos a Plazo</t>
  </si>
  <si>
    <t>Depósitos de Exigibilidad Inmediata</t>
  </si>
  <si>
    <t>Captación</t>
  </si>
  <si>
    <t>PASIVO</t>
  </si>
  <si>
    <t>Crédito Mercantil</t>
  </si>
  <si>
    <t>Activos por Derechos de Uso de Activos Intangibles (neto)</t>
  </si>
  <si>
    <t>Activos Intangibles (neto)</t>
  </si>
  <si>
    <t>Activo por Impuestos a la Utilidad Diferidos (neto)</t>
  </si>
  <si>
    <t>Inversiones Permanentes</t>
  </si>
  <si>
    <t>Activos por Derechos de Uso de Propiedades, Mobiliario y Equipo (neto)</t>
  </si>
  <si>
    <t>Inmuebles, Mobiliario y Equipo (Neto)</t>
  </si>
  <si>
    <t>Equipo en Arrendamiento Puro (Neto)</t>
  </si>
  <si>
    <t>Pagos Anticipados y Otros Activos (neto)</t>
  </si>
  <si>
    <t>Activos de larga duración mantenidos para la venta o para distribuir a los propietarios</t>
  </si>
  <si>
    <t>Bienes Adjudicados (Neto)</t>
  </si>
  <si>
    <t>Otras Cuentas Por Cobrar (Neto)</t>
  </si>
  <si>
    <t>Beneficios por Recibir en Operaciones de Bursatilización</t>
  </si>
  <si>
    <t>Activos Virtuales</t>
  </si>
  <si>
    <t>Total Cartera de Crédito (Neto)</t>
  </si>
  <si>
    <t>Derechos de cobro adquiridos (neto)</t>
  </si>
  <si>
    <t>Derechos de Cobro</t>
  </si>
  <si>
    <t>Cartera de Crédito (Neto)</t>
  </si>
  <si>
    <t>Estimacion Preventiva para Riesgos Crediticios</t>
  </si>
  <si>
    <t>(+/-) Partidas Diferidas</t>
  </si>
  <si>
    <t>Cartera de Crédito</t>
  </si>
  <si>
    <t>Cartera de crédito valuada a valor razonable</t>
  </si>
  <si>
    <t>Remodelación o mejoramiento con garantía de la subcuenta de vivienda</t>
  </si>
  <si>
    <t>Remodelación o mejoramiento con garantía otorgada por la banca de desarrollo o   fideicomisos públicos</t>
  </si>
  <si>
    <t>Créditos adquiridos al infonavit o el fovissste</t>
  </si>
  <si>
    <t>De interés social</t>
  </si>
  <si>
    <t>Media y residencial</t>
  </si>
  <si>
    <t>Créditos a la Vivienda</t>
  </si>
  <si>
    <t>Créditos de Consumo</t>
  </si>
  <si>
    <t>Entidades Gubernamentales</t>
  </si>
  <si>
    <t>Entidades Financieras</t>
  </si>
  <si>
    <t>Actividad empresarial o comercial</t>
  </si>
  <si>
    <t>Créditos Comerciales</t>
  </si>
  <si>
    <t>Cartera de crédito con riesgo de crédito etapa 3</t>
  </si>
  <si>
    <t>Cartera de crédito con riesgo de crédito etapa 2</t>
  </si>
  <si>
    <t>Cartera de crédito con riesgo de crédito etapa 1</t>
  </si>
  <si>
    <t>Ajustes de Valuación por Cobertura de Activos Financieros</t>
  </si>
  <si>
    <t>Deudores por Reporto</t>
  </si>
  <si>
    <t>Estimación de pérdidas crediticias esperadas para inversiones en Instrumentos Financieros para cobrar principal e interés (valores)</t>
  </si>
  <si>
    <t>Instrumentos Financieros para Cobrar Principal e Interés (valores)</t>
  </si>
  <si>
    <t>Instrumentos Financieros para Cobrar o Vender</t>
  </si>
  <si>
    <t>Instrumentos Financieros Negociables</t>
  </si>
  <si>
    <t>Cuentas de Margen (Instrumentos Financieros Derivados)</t>
  </si>
  <si>
    <t>Efectivo y Equivalentes de Efectivo</t>
  </si>
  <si>
    <t>ACTIVO</t>
  </si>
  <si>
    <t>concepto</t>
  </si>
  <si>
    <t>clave</t>
  </si>
  <si>
    <t>Colaterales Recibidos por la entidad</t>
  </si>
  <si>
    <t>Mandatos</t>
  </si>
  <si>
    <t>Fideicomisos</t>
  </si>
  <si>
    <t>Activos y Pasivos  Contingentes</t>
  </si>
  <si>
    <t>Rentas por cobrar</t>
  </si>
  <si>
    <t>Rentas devengadas no cobradas de arrendamiento operativo</t>
  </si>
  <si>
    <t>Operaciones de Banca de Inversión por Cuentas de Terceros (Netos  )</t>
  </si>
  <si>
    <t>Agente Financiero del Gobierno Federal</t>
  </si>
  <si>
    <t>Participacion No Controladora</t>
  </si>
  <si>
    <t>Creditos Diferidos y Cobros Anticipados</t>
  </si>
  <si>
    <t>Acreedores por Colaterales Recibidos en Efectivo</t>
  </si>
  <si>
    <t>Acreedores por Liquidación de Operaciones</t>
  </si>
  <si>
    <t>Colaterales Vendidos o dados por Garantia</t>
  </si>
  <si>
    <t>De Largo Plazo</t>
  </si>
  <si>
    <t>De Corto Plazo</t>
  </si>
  <si>
    <t>De Exigibilidad Inmediata</t>
  </si>
  <si>
    <t>Cuenta Global de captación sin movimientos</t>
  </si>
  <si>
    <t>Títulos de crédito emitidos</t>
  </si>
  <si>
    <t>Mercado de Dinero</t>
  </si>
  <si>
    <t>Del Público en General</t>
  </si>
  <si>
    <t>Captación Tradicional</t>
  </si>
  <si>
    <t>Propiedades, Mobiliario y Equipo (neto)</t>
  </si>
  <si>
    <t>Equipo en Arrendamiento Puro (neto)</t>
  </si>
  <si>
    <t>Total de Cartera de Crédito (Neto)</t>
  </si>
  <si>
    <t>Derechos de Cobro (Neto)</t>
  </si>
  <si>
    <t>Estimación Preventiva para Riesgos Crediticios</t>
  </si>
  <si>
    <t>Otras cuentas de registro</t>
  </si>
  <si>
    <t>Intereses devengados no cobrados derivados de cartera de crédito vencida</t>
  </si>
  <si>
    <t>Resultado por  Valuacion de Inst. de Cobertura de Flujos de Efectivo</t>
  </si>
  <si>
    <t>Resultado por Valuación de Títulos Disponibles para la Venta</t>
  </si>
  <si>
    <t>Pasivos Bursátiles</t>
  </si>
  <si>
    <t>Propiedades, Mobiliario y Equipo en Arrendamiento (neto)</t>
  </si>
  <si>
    <t>CITIBANK NA NEW YORK</t>
  </si>
  <si>
    <t>33014</t>
  </si>
  <si>
    <t>STANDARD CHARTERED BANK, NEW YORK</t>
  </si>
  <si>
    <t>33013</t>
  </si>
  <si>
    <t>MORGAN STANLEY &amp; CO., LLC</t>
  </si>
  <si>
    <t>33012</t>
  </si>
  <si>
    <t>BANCO BANCREA S.A. I.B.M.</t>
  </si>
  <si>
    <t>33011</t>
  </si>
  <si>
    <t>COMMERZEBANK AG</t>
  </si>
  <si>
    <t>33010</t>
  </si>
  <si>
    <t>BANSI S.A.</t>
  </si>
  <si>
    <t>33009</t>
  </si>
  <si>
    <t>JP MORGAN CHASE BANK LONDON</t>
  </si>
  <si>
    <t>33008</t>
  </si>
  <si>
    <t>BARCLAYS BANK PLC</t>
  </si>
  <si>
    <t>33007</t>
  </si>
  <si>
    <t>GOLDMAN SACHS INTERNATIONAL</t>
  </si>
  <si>
    <t>33006</t>
  </si>
  <si>
    <t>STANDARD CHARTERED BANK LONDON</t>
  </si>
  <si>
    <t>33005</t>
  </si>
  <si>
    <t>BANCO MERCANTIL DEL NORTE S.A.</t>
  </si>
  <si>
    <t>33004</t>
  </si>
  <si>
    <t>UBS ZURICH LONDON</t>
  </si>
  <si>
    <t>33003</t>
  </si>
  <si>
    <t>VaR/Lím</t>
  </si>
  <si>
    <t>VaR</t>
  </si>
  <si>
    <t>Volumen Var</t>
  </si>
  <si>
    <t>33002</t>
  </si>
  <si>
    <t>Volumen Acum</t>
  </si>
  <si>
    <t>33001</t>
  </si>
  <si>
    <t>Volumen Mensual</t>
  </si>
  <si>
    <t>33000</t>
  </si>
  <si>
    <t>ROA****</t>
  </si>
  <si>
    <t>10210000</t>
  </si>
  <si>
    <t>ROE****</t>
  </si>
  <si>
    <t>10110000</t>
  </si>
  <si>
    <t>Financiamiento Estable Requerido**</t>
  </si>
  <si>
    <t>Financiamiento Estable Disponible**</t>
  </si>
  <si>
    <t>61120000</t>
  </si>
  <si>
    <t>CFEN***</t>
  </si>
  <si>
    <t>61020000</t>
  </si>
  <si>
    <t>Salidas Netas**</t>
  </si>
  <si>
    <t>60320000</t>
  </si>
  <si>
    <t>Activos Liquidos**</t>
  </si>
  <si>
    <t>60220000</t>
  </si>
  <si>
    <t>CCL***</t>
  </si>
  <si>
    <t>60120000</t>
  </si>
  <si>
    <t>Exposiciones Totales**</t>
  </si>
  <si>
    <t>90000210000</t>
  </si>
  <si>
    <t>RA***</t>
  </si>
  <si>
    <t>90000010000</t>
  </si>
  <si>
    <t>Activos Sujetos a Riesgo Operacional</t>
  </si>
  <si>
    <t>403024710000</t>
  </si>
  <si>
    <t>Activos Sujetos a Riesgo Mercado</t>
  </si>
  <si>
    <t>403022010000</t>
  </si>
  <si>
    <t>Activos Sujetos a Riesgo Crédito</t>
  </si>
  <si>
    <t>403023110000</t>
  </si>
  <si>
    <t>Activos Sujetos a Riesgo Total</t>
  </si>
  <si>
    <t>403024910000</t>
  </si>
  <si>
    <t>Capital Básico</t>
  </si>
  <si>
    <t>403021210000</t>
  </si>
  <si>
    <t>Capital Neto</t>
  </si>
  <si>
    <t>403021110000</t>
  </si>
  <si>
    <t>ICAP Tier 1</t>
  </si>
  <si>
    <t>402175410000</t>
  </si>
  <si>
    <t>ICAP</t>
  </si>
  <si>
    <t>402175010000</t>
  </si>
  <si>
    <t>IMORA*</t>
  </si>
  <si>
    <t>4020003310000</t>
  </si>
  <si>
    <t>IMORA</t>
  </si>
  <si>
    <t>4020003320000</t>
  </si>
  <si>
    <t>IMOR*</t>
  </si>
  <si>
    <t>4020001710000</t>
  </si>
  <si>
    <t>IMOR</t>
  </si>
  <si>
    <t>4020001720000</t>
  </si>
  <si>
    <t>Compromisos Crediticios*</t>
  </si>
  <si>
    <t>70060000100110000</t>
  </si>
  <si>
    <t>Capital Contable</t>
  </si>
  <si>
    <t>40000000000020000</t>
  </si>
  <si>
    <t>Capital Contable*</t>
  </si>
  <si>
    <t>40000000000010000</t>
  </si>
  <si>
    <t>Resultado Neto*</t>
  </si>
  <si>
    <t>43020120400510000</t>
  </si>
  <si>
    <t>Pasivos Totales</t>
  </si>
  <si>
    <t>20000000000020000</t>
  </si>
  <si>
    <t>Acreedores x Reporto</t>
  </si>
  <si>
    <t>20080000100120000</t>
  </si>
  <si>
    <t>Prestamos Interbancarios*</t>
  </si>
  <si>
    <t>20040000100110000</t>
  </si>
  <si>
    <t>Plazo</t>
  </si>
  <si>
    <t>Plazo*</t>
  </si>
  <si>
    <t>Vista</t>
  </si>
  <si>
    <t>20020010200120000</t>
  </si>
  <si>
    <t>Vista*</t>
  </si>
  <si>
    <t>20020010200110000</t>
  </si>
  <si>
    <t>Cartera</t>
  </si>
  <si>
    <t>13180010300120000</t>
  </si>
  <si>
    <t>Cartera*</t>
  </si>
  <si>
    <t>13180010300110000</t>
  </si>
  <si>
    <t>Estimación preventiva para riesgos crediticios*</t>
  </si>
  <si>
    <t>10180010300310000</t>
  </si>
  <si>
    <t>Cartera Etapa 3*</t>
  </si>
  <si>
    <t>10180010400310000</t>
  </si>
  <si>
    <t>10060000100120000</t>
  </si>
  <si>
    <t>Inversiones en Instrumentos Financieros*</t>
  </si>
  <si>
    <t>10060000100110000</t>
  </si>
  <si>
    <t>Banco de Mexico</t>
  </si>
  <si>
    <t>10020020300120000</t>
  </si>
  <si>
    <t>DRM</t>
  </si>
  <si>
    <t>10020060300420000</t>
  </si>
  <si>
    <t>10020010200120000</t>
  </si>
  <si>
    <t>Activos Totales</t>
  </si>
  <si>
    <t>10000000000020000</t>
  </si>
  <si>
    <t>Activos Totales*</t>
  </si>
  <si>
    <t>10000000000010000</t>
  </si>
  <si>
    <t>No Indistintos</t>
  </si>
  <si>
    <t>Indistintos</t>
  </si>
  <si>
    <t>Acreedores Clientes</t>
  </si>
  <si>
    <t>Acreedores Institucionales</t>
  </si>
  <si>
    <t># Clientes Parcialmente Cubiertos por IPAB</t>
  </si>
  <si>
    <t># Clientes Totalmente Cubiertos por IPAB</t>
  </si>
  <si>
    <t>2005440060</t>
  </si>
  <si>
    <t># Clientes Totales</t>
  </si>
  <si>
    <t>Saldo Principales 150 clientes</t>
  </si>
  <si>
    <t>2005240050</t>
  </si>
  <si>
    <t>Clientes Saldo &gt;$100 mdp</t>
  </si>
  <si>
    <t>2005140050</t>
  </si>
  <si>
    <t>Clientes Saldo &gt;$ 200 mdp</t>
  </si>
  <si>
    <t>2005040050</t>
  </si>
  <si>
    <t># Clientes</t>
  </si>
  <si>
    <t>2004940050</t>
  </si>
  <si>
    <t>Resto Clientes (&gt;$150 mdp)</t>
  </si>
  <si>
    <t>2004840050</t>
  </si>
  <si>
    <t>Top 20</t>
  </si>
  <si>
    <t>2004740050</t>
  </si>
  <si>
    <t>Top 10</t>
  </si>
  <si>
    <t>2004640050</t>
  </si>
  <si>
    <t>Top 5</t>
  </si>
  <si>
    <t>2004540050</t>
  </si>
  <si>
    <t>Top 2</t>
  </si>
  <si>
    <t>2004440050</t>
  </si>
  <si>
    <t>Top 1</t>
  </si>
  <si>
    <t>2004340050</t>
  </si>
  <si>
    <t>Principales Clientes</t>
  </si>
  <si>
    <t>2004240050</t>
  </si>
  <si>
    <t>Acreedores por Reporto (Indistintos)</t>
  </si>
  <si>
    <t>2004140040</t>
  </si>
  <si>
    <t>Saldo x Tasa</t>
  </si>
  <si>
    <t>2004140030</t>
  </si>
  <si>
    <t>2004140010</t>
  </si>
  <si>
    <t>2004040040</t>
  </si>
  <si>
    <t>2004040030</t>
  </si>
  <si>
    <t>2004040010</t>
  </si>
  <si>
    <t>2003940010</t>
  </si>
  <si>
    <t>Hey</t>
  </si>
  <si>
    <t>2003840010</t>
  </si>
  <si>
    <t>Banregio</t>
  </si>
  <si>
    <t>2003740010</t>
  </si>
  <si>
    <t>Fondos de Inversión</t>
  </si>
  <si>
    <t>2003640010</t>
  </si>
  <si>
    <t>Qualitas</t>
  </si>
  <si>
    <t>2003540010</t>
  </si>
  <si>
    <t>Regional</t>
  </si>
  <si>
    <t>2003440010</t>
  </si>
  <si>
    <t>Acciones Totales</t>
  </si>
  <si>
    <t>2003340010</t>
  </si>
  <si>
    <t>Capitales</t>
  </si>
  <si>
    <t>2003240010</t>
  </si>
  <si>
    <t>Banca Múltiple</t>
  </si>
  <si>
    <t>2003140010</t>
  </si>
  <si>
    <t>Banca Desarrollo</t>
  </si>
  <si>
    <t>2003040010</t>
  </si>
  <si>
    <t>Bancaria</t>
  </si>
  <si>
    <t>2002940010</t>
  </si>
  <si>
    <t>Corporativa</t>
  </si>
  <si>
    <t>2002840010</t>
  </si>
  <si>
    <t>Gubernamental</t>
  </si>
  <si>
    <t>2002740010</t>
  </si>
  <si>
    <t>Ventas en Directo</t>
  </si>
  <si>
    <t>2002640010</t>
  </si>
  <si>
    <t>Fuentes Alternativas</t>
  </si>
  <si>
    <t>2002540010</t>
  </si>
  <si>
    <t>Financiamiento Total USD</t>
  </si>
  <si>
    <t>2002443042</t>
  </si>
  <si>
    <t>Saldo x Tasa USD</t>
  </si>
  <si>
    <t>2002443032</t>
  </si>
  <si>
    <t>2002443012</t>
  </si>
  <si>
    <t>Financiamiento Total MXN</t>
  </si>
  <si>
    <t>2002443041</t>
  </si>
  <si>
    <t>Saldo x Tasa MXN</t>
  </si>
  <si>
    <t>2002443031</t>
  </si>
  <si>
    <t>2002443011</t>
  </si>
  <si>
    <t>Financiamiento Total</t>
  </si>
  <si>
    <t>182 días</t>
  </si>
  <si>
    <t>2002343040</t>
  </si>
  <si>
    <t>2002343030</t>
  </si>
  <si>
    <t>2002343010</t>
  </si>
  <si>
    <t>175 días</t>
  </si>
  <si>
    <t>2002243040</t>
  </si>
  <si>
    <t>2002243030</t>
  </si>
  <si>
    <t>2002243010</t>
  </si>
  <si>
    <t>168 días</t>
  </si>
  <si>
    <t>2002143040</t>
  </si>
  <si>
    <t>2002143030</t>
  </si>
  <si>
    <t>2002143010</t>
  </si>
  <si>
    <t>161 días</t>
  </si>
  <si>
    <t>2002043040</t>
  </si>
  <si>
    <t>2002043030</t>
  </si>
  <si>
    <t>2002043010</t>
  </si>
  <si>
    <t>91 días</t>
  </si>
  <si>
    <t>2001943040</t>
  </si>
  <si>
    <t>2001943030</t>
  </si>
  <si>
    <t>2001943010</t>
  </si>
  <si>
    <t>84 días</t>
  </si>
  <si>
    <t>2001843040</t>
  </si>
  <si>
    <t>2001843030</t>
  </si>
  <si>
    <t>2001843010</t>
  </si>
  <si>
    <t>77 días</t>
  </si>
  <si>
    <t>2001743040</t>
  </si>
  <si>
    <t>2001743030</t>
  </si>
  <si>
    <t>2001743010</t>
  </si>
  <si>
    <t>Cebures</t>
  </si>
  <si>
    <t>2001643040</t>
  </si>
  <si>
    <t>2001643030</t>
  </si>
  <si>
    <t>2001643010</t>
  </si>
  <si>
    <t>Fira USD</t>
  </si>
  <si>
    <t>2001543012</t>
  </si>
  <si>
    <t>Nafin USD</t>
  </si>
  <si>
    <t>2001443012</t>
  </si>
  <si>
    <t>Fira MXN</t>
  </si>
  <si>
    <t>2001543011</t>
  </si>
  <si>
    <t>Nafin MXN</t>
  </si>
  <si>
    <t>2001443011</t>
  </si>
  <si>
    <t>SHF MXN</t>
  </si>
  <si>
    <t>2001343011</t>
  </si>
  <si>
    <t>Largo Plazo Dólares</t>
  </si>
  <si>
    <t>2001143042</t>
  </si>
  <si>
    <t>2001143032</t>
  </si>
  <si>
    <t>2001143012</t>
  </si>
  <si>
    <t>Largo Plazo Pesos</t>
  </si>
  <si>
    <t>2001143041</t>
  </si>
  <si>
    <t>2001143031</t>
  </si>
  <si>
    <t>2001143011</t>
  </si>
  <si>
    <t>2001143010</t>
  </si>
  <si>
    <t>Corto Plazo Dólares</t>
  </si>
  <si>
    <t>2001043042</t>
  </si>
  <si>
    <t>2001043032</t>
  </si>
  <si>
    <t>2001043012</t>
  </si>
  <si>
    <t>Corto Plazo Pesos</t>
  </si>
  <si>
    <t>2001043041</t>
  </si>
  <si>
    <t>2001043031</t>
  </si>
  <si>
    <t>2001043011</t>
  </si>
  <si>
    <t>2001043010</t>
  </si>
  <si>
    <t>Interbancarios USD</t>
  </si>
  <si>
    <t>2000943042</t>
  </si>
  <si>
    <t>2000943032</t>
  </si>
  <si>
    <t>2000943012</t>
  </si>
  <si>
    <t>Interbancarios MXN</t>
  </si>
  <si>
    <t>2000943041</t>
  </si>
  <si>
    <t>2000943031</t>
  </si>
  <si>
    <t>2000943011</t>
  </si>
  <si>
    <t>Interbancarios</t>
  </si>
  <si>
    <t>2000943010</t>
  </si>
  <si>
    <t>No Cubierto IPAB</t>
  </si>
  <si>
    <t>2008243010</t>
  </si>
  <si>
    <t>Cubierto IPAB</t>
  </si>
  <si>
    <t>2008143010</t>
  </si>
  <si>
    <t>Captación Tradicional MXN</t>
  </si>
  <si>
    <t>2000843041</t>
  </si>
  <si>
    <t>2000843031</t>
  </si>
  <si>
    <t>2000843011</t>
  </si>
  <si>
    <t>2000843010</t>
  </si>
  <si>
    <t>Bandas Hey Plazo</t>
  </si>
  <si>
    <t>Saldo Hey Plazo</t>
  </si>
  <si>
    <t>Tesorería</t>
  </si>
  <si>
    <t>Pago en Ventanilla</t>
  </si>
  <si>
    <t>Mayor a 360 días</t>
  </si>
  <si>
    <t>2006123211</t>
  </si>
  <si>
    <t>271 a 360 días</t>
  </si>
  <si>
    <t>2006023211</t>
  </si>
  <si>
    <t>181 a 270 días</t>
  </si>
  <si>
    <t>2005923211</t>
  </si>
  <si>
    <t>91 a 180 días</t>
  </si>
  <si>
    <t>2005823211</t>
  </si>
  <si>
    <t>61 a 90 días</t>
  </si>
  <si>
    <t>2005723211</t>
  </si>
  <si>
    <t>31 a 60 días</t>
  </si>
  <si>
    <t>2005623211</t>
  </si>
  <si>
    <t>1 a 30 días</t>
  </si>
  <si>
    <t>2005523211</t>
  </si>
  <si>
    <t>2000643241</t>
  </si>
  <si>
    <t>2000643231</t>
  </si>
  <si>
    <t>2000643211</t>
  </si>
  <si>
    <t>2000543241</t>
  </si>
  <si>
    <t>2000543231</t>
  </si>
  <si>
    <t>2000543211</t>
  </si>
  <si>
    <t>2000443241</t>
  </si>
  <si>
    <t>2000443231</t>
  </si>
  <si>
    <t>2000443211</t>
  </si>
  <si>
    <t>2000343241</t>
  </si>
  <si>
    <t>2000343231</t>
  </si>
  <si>
    <t>2000343211</t>
  </si>
  <si>
    <t>Con Interés Dólares</t>
  </si>
  <si>
    <t>2000243142</t>
  </si>
  <si>
    <t>2000243132</t>
  </si>
  <si>
    <t>Con Intéres Dólares Valorizado</t>
  </si>
  <si>
    <t>2000243122</t>
  </si>
  <si>
    <t>2000143112</t>
  </si>
  <si>
    <t>Sin Interés Dólares</t>
  </si>
  <si>
    <t>2000143142</t>
  </si>
  <si>
    <t>2000143132</t>
  </si>
  <si>
    <t>Sin Interés Dólares Valorizado</t>
  </si>
  <si>
    <t>2000143122</t>
  </si>
  <si>
    <t>Vista USD</t>
  </si>
  <si>
    <t>2000043142</t>
  </si>
  <si>
    <t>2000043132</t>
  </si>
  <si>
    <t>Vista USD Valorizado</t>
  </si>
  <si>
    <t>2000043122</t>
  </si>
  <si>
    <t>2000043112</t>
  </si>
  <si>
    <t>Con Interés Pesos</t>
  </si>
  <si>
    <t>2000243141</t>
  </si>
  <si>
    <t>2000243131</t>
  </si>
  <si>
    <t>2000243111</t>
  </si>
  <si>
    <t>Sin Interés Pesos</t>
  </si>
  <si>
    <t>2000143141</t>
  </si>
  <si>
    <t>2000143131</t>
  </si>
  <si>
    <t>2000143111</t>
  </si>
  <si>
    <t>Vista MXN</t>
  </si>
  <si>
    <t>2000043141</t>
  </si>
  <si>
    <t>2000043131</t>
  </si>
  <si>
    <t>2000043111</t>
  </si>
  <si>
    <t>2000043010</t>
  </si>
  <si>
    <t>Garantías Liquidas y Paso y Medida</t>
  </si>
  <si>
    <t>11204</t>
  </si>
  <si>
    <t>Cartera Asociada a Garantía</t>
  </si>
  <si>
    <t>11203</t>
  </si>
  <si>
    <t>Aumento Activos Sujetos a Riesgo (PRD)</t>
  </si>
  <si>
    <t>11202</t>
  </si>
  <si>
    <t>Sobrante de Capital (PRD)</t>
  </si>
  <si>
    <t>11201</t>
  </si>
  <si>
    <t>Capital Liberado por Garantías</t>
  </si>
  <si>
    <t>11200</t>
  </si>
  <si>
    <t>Capital Liberado por Swaps</t>
  </si>
  <si>
    <t>11199</t>
  </si>
  <si>
    <t>Capital Liberado por MEDE</t>
  </si>
  <si>
    <t>11198</t>
  </si>
  <si>
    <t>Capital Liberado Total</t>
  </si>
  <si>
    <t>11197</t>
  </si>
  <si>
    <t>Garantías</t>
  </si>
  <si>
    <t>11208</t>
  </si>
  <si>
    <t>Swaps</t>
  </si>
  <si>
    <t>11207</t>
  </si>
  <si>
    <t>MEDE</t>
  </si>
  <si>
    <t>11206</t>
  </si>
  <si>
    <t>Mitigadores - Requerimiento</t>
  </si>
  <si>
    <t>11184</t>
  </si>
  <si>
    <t>ICAP Sin Mitigadores</t>
  </si>
  <si>
    <t>11183</t>
  </si>
  <si>
    <t>Requerimiento de Capital por Riesgo Operacional (Indicador de Negocio)</t>
  </si>
  <si>
    <t>11170</t>
  </si>
  <si>
    <t>REQUERIMIENTO DE CAPITAL SIN CONSIDERAR ARTÍCULO TERCERO TRANSITORIO.</t>
  </si>
  <si>
    <t>11169</t>
  </si>
  <si>
    <t>REQUERIMIENTO DE CAPITAL</t>
  </si>
  <si>
    <t>11168</t>
  </si>
  <si>
    <t>III.REQUERIMIENTOS DE CAPITAL POR RIESGO OPERACIONAL</t>
  </si>
  <si>
    <t>11167</t>
  </si>
  <si>
    <t>DE LOS ACREDITADOS EN OPERACIONES DE CRÉDITO DE CARTERAS</t>
  </si>
  <si>
    <t>11166</t>
  </si>
  <si>
    <t>EXPOSICIÓN AL FONDO DE INCUMPLIMIENTO EN CÁMARAS DE COMPENSACIÓN</t>
  </si>
  <si>
    <t>11165</t>
  </si>
  <si>
    <t>Ajuste por valuación crediticia en operaciones derivadas</t>
  </si>
  <si>
    <t>11164</t>
  </si>
  <si>
    <t>POR RIESGO DE CRÉDITO DE LA CONTRAPARTE EN INCUMPLIMIENTOS EN MECANISMOS DE LIBRE ENTREGA</t>
  </si>
  <si>
    <t>11163</t>
  </si>
  <si>
    <t>Por operaciones con personas relacionadas con riesgo acreditado (Art. 2 bis 17)</t>
  </si>
  <si>
    <t>11162</t>
  </si>
  <si>
    <t>Por operaciones con personas relacionadas (Con riesgo emisor, acreditado y líneas de crédito)</t>
  </si>
  <si>
    <t>11161</t>
  </si>
  <si>
    <t>Inversiones permanentes y otros activos</t>
  </si>
  <si>
    <t>11160</t>
  </si>
  <si>
    <t>De los emisores de garantías reales y personales recibidas</t>
  </si>
  <si>
    <t>11159</t>
  </si>
  <si>
    <t>Por avales y líneas de crédito otorgadas y bursatilizaciones</t>
  </si>
  <si>
    <t>11157</t>
  </si>
  <si>
    <t>De los acreditados en operaciones de crédito del Artículo 2 bis 17 (Reforma)</t>
  </si>
  <si>
    <t>11156</t>
  </si>
  <si>
    <t>DE LOS ACREDITADOS EN OPERACIONES DE CRÉDITO REESTRUCTURADAS PROGRAMA FCC</t>
  </si>
  <si>
    <t>11155</t>
  </si>
  <si>
    <t>De los acreditados en operaciones de crédito de carteras</t>
  </si>
  <si>
    <t>11154</t>
  </si>
  <si>
    <t>De los emisores de títulos de deuda en posición</t>
  </si>
  <si>
    <t>11153</t>
  </si>
  <si>
    <t>De las contrapartes relacionadas, por operaciones derivadas</t>
  </si>
  <si>
    <t>11152</t>
  </si>
  <si>
    <t>De las contrapartes no relacionadas, por operaciones derivadas</t>
  </si>
  <si>
    <t>11151</t>
  </si>
  <si>
    <t>De las contrapartes no relacionadas, por operaciones con títulos de deuda</t>
  </si>
  <si>
    <t>11150</t>
  </si>
  <si>
    <t>Requerimiento de Capital por Riesgo de Crédito</t>
  </si>
  <si>
    <t>11149</t>
  </si>
  <si>
    <t>Requerimiento de capital por impacto vega</t>
  </si>
  <si>
    <t>11148</t>
  </si>
  <si>
    <t>Requerimiento de capital por impacto gamma</t>
  </si>
  <si>
    <t>11147</t>
  </si>
  <si>
    <t>Operaciones con mercancías y sobre mercancías</t>
  </si>
  <si>
    <t>11146</t>
  </si>
  <si>
    <t>OPERACIONES CON ACCIONES Y SOBRE ACCIONES</t>
  </si>
  <si>
    <t>11145</t>
  </si>
  <si>
    <t>Posiciones en oro</t>
  </si>
  <si>
    <t>11144</t>
  </si>
  <si>
    <t>POSICIONES EN OPERACIONES REFERIDAS AL SALARIO MÍNIMO GENERAL</t>
  </si>
  <si>
    <t>11143</t>
  </si>
  <si>
    <t>Posiciones en divisas</t>
  </si>
  <si>
    <t>11142</t>
  </si>
  <si>
    <t>Operaciones en UDI´s o referidas al INPC</t>
  </si>
  <si>
    <t>11141</t>
  </si>
  <si>
    <t>Operaciones con tasa referida al salario mínimo general</t>
  </si>
  <si>
    <t>11140</t>
  </si>
  <si>
    <t>Operaciones con tasa nominal en moneda extranjera</t>
  </si>
  <si>
    <t>11139</t>
  </si>
  <si>
    <t>Operaciones con tasa real</t>
  </si>
  <si>
    <t>11138</t>
  </si>
  <si>
    <t>Operaciones con sobre tasa en moneda nacional</t>
  </si>
  <si>
    <t>11137</t>
  </si>
  <si>
    <t>Operaciones con tasa nominal en moneda nacional</t>
  </si>
  <si>
    <t>11136</t>
  </si>
  <si>
    <t>Requerimiento de Capital por Riesgo de Mercado</t>
  </si>
  <si>
    <t>11135</t>
  </si>
  <si>
    <t>Requerimiento de Capital</t>
  </si>
  <si>
    <t>11134</t>
  </si>
  <si>
    <t>ACTIVOS POR FALTANTES DE CAPITAL EN FILIALES DEL EXTERIOR</t>
  </si>
  <si>
    <t>11131</t>
  </si>
  <si>
    <t>11130</t>
  </si>
  <si>
    <t>Activos Sujetos a Riessgo Crédito</t>
  </si>
  <si>
    <t>11129</t>
  </si>
  <si>
    <t>Activos Sujetos a Riesgo de Mercado</t>
  </si>
  <si>
    <t>11128</t>
  </si>
  <si>
    <t>Activos Sujetos a Riesgo</t>
  </si>
  <si>
    <t>11127</t>
  </si>
  <si>
    <t>ACTIVOS PONDERADOS EN RIESGO</t>
  </si>
  <si>
    <t>11126</t>
  </si>
  <si>
    <t>CAPITAL NETO</t>
  </si>
  <si>
    <t>11125</t>
  </si>
  <si>
    <t>CAPITAL COMPLEMENTARIO:</t>
  </si>
  <si>
    <t>11124</t>
  </si>
  <si>
    <t>CAPITAL BÁSICO</t>
  </si>
  <si>
    <t>11123</t>
  </si>
  <si>
    <t>CAPITAL BÁSICO NO FUNDAMENTAL:</t>
  </si>
  <si>
    <t>11122</t>
  </si>
  <si>
    <t>CAPITAL FUNDAMENTAL excedente</t>
  </si>
  <si>
    <t>11121</t>
  </si>
  <si>
    <t>CAPITAL FUNDAMENTAL suplemento de capital contracíclico inciso c) del artículo 2 bis 5</t>
  </si>
  <si>
    <t>11120</t>
  </si>
  <si>
    <t>CAPITAL FUNDAMENTAL suplemento de conservación de capital inciso b) del artículo 2 bis 5</t>
  </si>
  <si>
    <t>11119</t>
  </si>
  <si>
    <t>CAPITAL FUNDAMENTAL suplemento de conservación de capital inciso a) del artículo 2 bis 5</t>
  </si>
  <si>
    <t>11118</t>
  </si>
  <si>
    <t>CAPITAL FUNDAMENTAL mínimo regulatorio</t>
  </si>
  <si>
    <t>11117</t>
  </si>
  <si>
    <t>Capital Fundamental</t>
  </si>
  <si>
    <t>11116</t>
  </si>
  <si>
    <t>Capital Complementario</t>
  </si>
  <si>
    <t>11115</t>
  </si>
  <si>
    <t>Límite de computabilidad de excedente reservas admisibles cuando las instituciones para efectos de los requerimientos de capital por riesgo de crédito cuentan con autorización para utilizar Modelos basados en calificaciones internas simultáneamente con el</t>
  </si>
  <si>
    <t>11114</t>
  </si>
  <si>
    <t>Excedente de reservas admisibles (incluye adicionales distintas a aquellas que se indican en los artículos 38 y 39) M.E y M.I</t>
  </si>
  <si>
    <t>11113</t>
  </si>
  <si>
    <t>Proporción que corresponde a Modelo Interno</t>
  </si>
  <si>
    <t>11112</t>
  </si>
  <si>
    <t>Proporción que corresponde a Modelo Estándar</t>
  </si>
  <si>
    <t>11111</t>
  </si>
  <si>
    <t>Reservas admisibles que computan como Complementario cuando las instituciones para efectos de los requerimientos de capital por riesgo de crédito cuentan con autorización para utilizar Modelos basados en calificaciones internas simultáneamente con el Méto</t>
  </si>
  <si>
    <t>11110</t>
  </si>
  <si>
    <t>Límite de computabilidad de excedente reservas admisibles bajo modelos basados en calificaciones internas</t>
  </si>
  <si>
    <t>11109</t>
  </si>
  <si>
    <t>Excedente de reservas admisibles (incluye adicionales distintas a aquellas que se indican en los artículos 38 y 39) cartera en M.I</t>
  </si>
  <si>
    <t>11108</t>
  </si>
  <si>
    <t>Reservas admisibles que computan como Complementario de operaciones bajo método interno</t>
  </si>
  <si>
    <t>11107</t>
  </si>
  <si>
    <t>Límite de computabilidad de excedente reservas admisibles bajo método estándar</t>
  </si>
  <si>
    <t>11106</t>
  </si>
  <si>
    <t>Excedente de reservas admisibles (incluye adicionales distintas a aquellas que se indican en los artículos 38 y 39) cartera en M.E.</t>
  </si>
  <si>
    <t>11105</t>
  </si>
  <si>
    <t>Reservas admisibles que computan como Complementario de operaciones bajo método estándar</t>
  </si>
  <si>
    <t>11104</t>
  </si>
  <si>
    <t>Reservas</t>
  </si>
  <si>
    <t>11103</t>
  </si>
  <si>
    <t>Límite de computabilidad conforme artículo 2 bis 7 fracción II a partir de diciembre 2017</t>
  </si>
  <si>
    <t>11102</t>
  </si>
  <si>
    <t>Instrumentos de Capital que cumplan con el anexo 1-S</t>
  </si>
  <si>
    <t>11101</t>
  </si>
  <si>
    <t>XV. INSTRUMENTOS DE CAPITAL</t>
  </si>
  <si>
    <t>11100</t>
  </si>
  <si>
    <t>Prima en venta de acciones de títulos representativos del capital social que cumplan con el anexo 1-S</t>
  </si>
  <si>
    <t>11099</t>
  </si>
  <si>
    <t>Títulos representativos del capital social que cumplan con el anexo 1-S</t>
  </si>
  <si>
    <t>11098</t>
  </si>
  <si>
    <t>XIV. TÍTULOS REPRESENTATIVOS DEL CAPITAL SOCIAL</t>
  </si>
  <si>
    <t>11097</t>
  </si>
  <si>
    <t>CAPITAL BÁSICO NO FUNDAMENTAL = XII + XIII</t>
  </si>
  <si>
    <t>11096</t>
  </si>
  <si>
    <t>Límite de computabilidad conforme artículo 2 bis 6 fracción II inciso b, a partir de diciembre 2017</t>
  </si>
  <si>
    <t>11095</t>
  </si>
  <si>
    <t>Instrumentos de Capital que cumplan con el anexo 1-R</t>
  </si>
  <si>
    <t>11094</t>
  </si>
  <si>
    <t>XIII. INSTRUMENTOS DE CAPITAL</t>
  </si>
  <si>
    <t>11093</t>
  </si>
  <si>
    <t>Prima en venta de acciones de títulos representativos del capital social que cumplan con el anexo 1-R</t>
  </si>
  <si>
    <t>11092</t>
  </si>
  <si>
    <t>Títulos representativos del capital social que cumplan con el anexo 1-R</t>
  </si>
  <si>
    <t>11091</t>
  </si>
  <si>
    <t>XII. TÍTULOS REPRESENTATIVOS DEL CAPITAL SOCIAL</t>
  </si>
  <si>
    <t>11090</t>
  </si>
  <si>
    <t>CÁLCULO DEL CAPITAL BÁSICO NO FUNDAMENTAL</t>
  </si>
  <si>
    <t>11089</t>
  </si>
  <si>
    <t>CAPITAL FUNDAMENTAL = ( I + II ) - ( III a VII) - ( VIII a XI)</t>
  </si>
  <si>
    <t>11088</t>
  </si>
  <si>
    <t>Monto de operaciones realizadas con grandes exposiciones que exceden los límites establecidos en el artículo 54 de la CUB</t>
  </si>
  <si>
    <t>11087</t>
  </si>
  <si>
    <t>XI.MONTO A DEDUCIR DE OPERACIONES REALIZADAS CON GRANDES EXPOSICIONES QUE SUPEREN EL LÍMITE ESTABLECIDO EN EL ART. 54 DE LA CUB.</t>
  </si>
  <si>
    <t>11086</t>
  </si>
  <si>
    <t>Límite de computabilidad</t>
  </si>
  <si>
    <t>11085</t>
  </si>
  <si>
    <t>Operaciones Realizadas Con Personas Relacionadas Relevantes, celebradas con posterioridad al 3 de marzo 2011</t>
  </si>
  <si>
    <t>11084</t>
  </si>
  <si>
    <t>X.MONTO A DEDUCIR DE OPERACIONES REALIZADAS CON PERSONAS RELACIONADAS RELEVANTES</t>
  </si>
  <si>
    <t>11083</t>
  </si>
  <si>
    <t>B) CAPITAL FUNDAMENTAL SIN IMPUESTOS DIFERIDOS Y CON RESULTADO POR VALUACIÓN DE INSTRUMENTOS POR COBERTURA DE FLUJOS DE EFECTIVO PARTIDAS VALUADAS A COSTO AMORTIZADO ANTES DE PERSONAS RELACIONADAS RELEVANTES</t>
  </si>
  <si>
    <t>11082</t>
  </si>
  <si>
    <t>IX.2 RESULTADO DE VALUACIÓN NEGATIVO QUE SE SUMA AL CAPITAL FUNDAMENTAL</t>
  </si>
  <si>
    <t>11081</t>
  </si>
  <si>
    <t>IX.1 RESULTADO DE VALUACIÓN POSITIVO QUE SE DEDUCE</t>
  </si>
  <si>
    <t>11080</t>
  </si>
  <si>
    <t>IX. RESULTADO POR VALUACIÓN DE INSTRUMENTOS DE COBERTURA DE FLUJOS DE EFECTIVO PARTIDAS VALUADAS A COSTO AMORTIZADO</t>
  </si>
  <si>
    <t>11079</t>
  </si>
  <si>
    <t>11078</t>
  </si>
  <si>
    <t>Otras diferencias temporales activas netas de las partidas pasivas</t>
  </si>
  <si>
    <t>11077</t>
  </si>
  <si>
    <t>VIII.2 Impuestos diferidos, partidas a favor provenientes de diferencias temporales</t>
  </si>
  <si>
    <t>11076</t>
  </si>
  <si>
    <t>Límite de computabilidad (del año que corresponda)</t>
  </si>
  <si>
    <t>11075</t>
  </si>
  <si>
    <t>Créditos Fiscales</t>
  </si>
  <si>
    <t>11074</t>
  </si>
  <si>
    <t>Pérdidas fiscales</t>
  </si>
  <si>
    <t>11073</t>
  </si>
  <si>
    <t>VIII.1 Impuestos diferidos, partidas a favor provenientes de pérdidas y créditos fiscales</t>
  </si>
  <si>
    <t>11072</t>
  </si>
  <si>
    <t>Impuestos</t>
  </si>
  <si>
    <t>11071</t>
  </si>
  <si>
    <t>Capital Fundamental Antes de Impuestos</t>
  </si>
  <si>
    <t>11070</t>
  </si>
  <si>
    <t>11069</t>
  </si>
  <si>
    <t>Crédito mercantil</t>
  </si>
  <si>
    <t>11066</t>
  </si>
  <si>
    <t>Intangibles distintos a crédito mercantil.</t>
  </si>
  <si>
    <t>11065</t>
  </si>
  <si>
    <t>Intangibles</t>
  </si>
  <si>
    <t>11064</t>
  </si>
  <si>
    <t>Créditos y demás operaciones que se realicen en contravención a las disposiciones aplicables</t>
  </si>
  <si>
    <t>11063</t>
  </si>
  <si>
    <t>Financiamiento cuyo destino directo o indirecto sea la adquisión de acciones de subsidiarias financieras de las entidades financieras integrantes del grupo.</t>
  </si>
  <si>
    <t>11062</t>
  </si>
  <si>
    <t>Aportaciones destinadas a la adquisición de acciones de la sociedad controladora del grupo financiero, de otras entidades financieras integrantes del grupo o de las filiales financieras de todas</t>
  </si>
  <si>
    <t>11061</t>
  </si>
  <si>
    <t>VI. APORTACIONES Y FINANCIAMIENTOS</t>
  </si>
  <si>
    <t>11060</t>
  </si>
  <si>
    <t>Diferencia positiva (95708 pérdidas esperadas totales - 95704 reservas admisibles totales)</t>
  </si>
  <si>
    <t>11059</t>
  </si>
  <si>
    <t>Reservas pendientes de constituirse</t>
  </si>
  <si>
    <t>11058</t>
  </si>
  <si>
    <t>Reservas constituidas con cargo a cuentas distintas de resultados o de capital</t>
  </si>
  <si>
    <t>11057</t>
  </si>
  <si>
    <t>V. RESERVAS</t>
  </si>
  <si>
    <t>11056</t>
  </si>
  <si>
    <t>Empresas denominadas como "capital de riesgo" (sólo para Bancos de Desarrollo)</t>
  </si>
  <si>
    <t>11055</t>
  </si>
  <si>
    <t>Cuya capitalización o dación en pago tenga más de 5 años de haberse efectuado</t>
  </si>
  <si>
    <t>11054</t>
  </si>
  <si>
    <t>Empresas ( cotizadas y no cotizadas) relacionadas con la institución en los términos de los artículos 73, 73 BIS y 73 BIS 1 de la L.I.C., cuya inversión no derive de capitalizaciones o daciones en pago de adeudos</t>
  </si>
  <si>
    <t>11053</t>
  </si>
  <si>
    <t>Empresas (cotizadas y no cotizadas) accionistas de la propia Institución, de la controladora del grupo financiero o de las demás entidades financieras integrantes del grupo financiero, o de las filiales financieras de todas éstas</t>
  </si>
  <si>
    <t>11052</t>
  </si>
  <si>
    <t>IV. INVERSIONES EN ENTIDADES NO FINANCIERAS</t>
  </si>
  <si>
    <t>11051</t>
  </si>
  <si>
    <t>Inversiones en valores referenciados a índices accionarios</t>
  </si>
  <si>
    <t>11050</t>
  </si>
  <si>
    <t>III.III INVERSIONES INDIRECTAS</t>
  </si>
  <si>
    <t>11049</t>
  </si>
  <si>
    <t>Utilidad o incremento en el valor de los activos respecto de los activos registrados en el balance del originador de acuerdo con el 2 Bis 56</t>
  </si>
  <si>
    <t>11048</t>
  </si>
  <si>
    <t>Beneficio sobre el remanente en operaciones de bursatilización</t>
  </si>
  <si>
    <t>11047</t>
  </si>
  <si>
    <t>Instrumentos de deuda subordinados</t>
  </si>
  <si>
    <t>11046</t>
  </si>
  <si>
    <t>III.II INVERSIONES EN OTROS INSTRUMENTOS</t>
  </si>
  <si>
    <t>11045</t>
  </si>
  <si>
    <t>Otras entidades financieras del exterior distintas a las comprendidas en los conceptos anteriores</t>
  </si>
  <si>
    <t>11044</t>
  </si>
  <si>
    <t>Otras entidades financieras del país distintas a las comprendidas en los conceptos anteriores</t>
  </si>
  <si>
    <t>11043</t>
  </si>
  <si>
    <t>Organismos Multilaterales de Desarrollo o de Fomento Internacional que cuenten con calificación crediticia asignada por alguna de las Instituciones Calificadoras al emisor, igual o mejor al grado de riesgo 2 a largo plazo</t>
  </si>
  <si>
    <t>11042</t>
  </si>
  <si>
    <t>De capitales y de objeto limitado, cotizadas, respecto de las cuales la tenencia de la Institución exceda del 15 % del capital del fondo de inversión, por la parte de tales sociedades que esté representada por títulos accionarios</t>
  </si>
  <si>
    <t>11041</t>
  </si>
  <si>
    <t>Fondos de inversión, parte relativa al capital fijo (incluye la inversión en controladoras de fondos de inversión)</t>
  </si>
  <si>
    <t>11040</t>
  </si>
  <si>
    <t>Cámaras de compensación</t>
  </si>
  <si>
    <t>11039</t>
  </si>
  <si>
    <t>Administradoras de fondos para el retiro y Sociedades de inversión especializadas de fondos para el retiro</t>
  </si>
  <si>
    <t>11038</t>
  </si>
  <si>
    <t>Sociedades Financieras de Objeto Múltiple</t>
  </si>
  <si>
    <t>11037</t>
  </si>
  <si>
    <t>Controladoras de grupos financieros</t>
  </si>
  <si>
    <t>11036</t>
  </si>
  <si>
    <t>Subsidiarias financieras sujetas a requerimiento de capital:</t>
  </si>
  <si>
    <t>11035</t>
  </si>
  <si>
    <t>Acciones propias adquiridas conforme a lo previsto en la LIC</t>
  </si>
  <si>
    <t>11034</t>
  </si>
  <si>
    <t>III.I INVERSIONES EN ENTIDADES FINANCIERAS (DIRECTAS E INDIRECTAS)</t>
  </si>
  <si>
    <t>11033</t>
  </si>
  <si>
    <t>Inversiones</t>
  </si>
  <si>
    <t>11032</t>
  </si>
  <si>
    <t>Resultado por remediciones por beneficios definidos a los empleados.</t>
  </si>
  <si>
    <t>11031</t>
  </si>
  <si>
    <t>Resultado por valuación de instrumentos de cobertura de flujos de efectivo (a partir de enero 2017)</t>
  </si>
  <si>
    <t>11030</t>
  </si>
  <si>
    <t>Resultado por valuación de instrumentos de cobertura de flujos de efectivo (hasta diciembre 2016)</t>
  </si>
  <si>
    <t>11029</t>
  </si>
  <si>
    <t>Resultado por valuacion de títulos disponibles para la venta</t>
  </si>
  <si>
    <t>11028</t>
  </si>
  <si>
    <t>11027</t>
  </si>
  <si>
    <t>Resultado de Ejercicios Anteriores</t>
  </si>
  <si>
    <t>11026</t>
  </si>
  <si>
    <t>Reservas de capital</t>
  </si>
  <si>
    <t>11025</t>
  </si>
  <si>
    <t>11024</t>
  </si>
  <si>
    <t>Aportaciones para futuros aumentos de capital formalizados por su organo de gobierno</t>
  </si>
  <si>
    <t>11023</t>
  </si>
  <si>
    <t>Prima en venta de acciones de títlulos representativos del capital que cumplan con el anexo 1-Q</t>
  </si>
  <si>
    <t>11022</t>
  </si>
  <si>
    <t>Títulos representativos de capital social que cumplan con el anexo 1-Q</t>
  </si>
  <si>
    <t>11021</t>
  </si>
  <si>
    <t>11020</t>
  </si>
  <si>
    <t>Sobrante o (faltante) de capital</t>
  </si>
  <si>
    <t>11019</t>
  </si>
  <si>
    <t>CAPITAL COMPLEMENTARIO</t>
  </si>
  <si>
    <t>11018</t>
  </si>
  <si>
    <t>11017</t>
  </si>
  <si>
    <t>11016</t>
  </si>
  <si>
    <t>REQUERIMIENTO DE CAPITAL TOTAL</t>
  </si>
  <si>
    <t>11015</t>
  </si>
  <si>
    <t>CAPITAL COMPLEMENTARIO / ACTIVOS PONDERADOS SUJETOS A RIESGO TOTALES.</t>
  </si>
  <si>
    <t>11014</t>
  </si>
  <si>
    <t>CAPITAL BÁSICO NO FUNDAMENTAL / ACTIVOS PONDERADOS SUJETOS A RIESGO TOTALES</t>
  </si>
  <si>
    <t>11013</t>
  </si>
  <si>
    <t>FALTANTE DE FILIALES / CAPITAL COMPLEMENTARIO</t>
  </si>
  <si>
    <t>11012</t>
  </si>
  <si>
    <t>FALTANTE DE FILIALES / CAPITAL BÁSICO</t>
  </si>
  <si>
    <t>11011</t>
  </si>
  <si>
    <t>REQUERIMIENTO DE CAPITAL TOTAL/CAPITAL COMPLEMENTARIO</t>
  </si>
  <si>
    <t>11010</t>
  </si>
  <si>
    <t>REQUERIMIENTO DE CAPITAL TOTAL/CAPITAL BÁSICO</t>
  </si>
  <si>
    <t>11009</t>
  </si>
  <si>
    <t>CAPITAL FUNDAMENTAL QUE CORRESPONDE A LOS SUPLEMENTOS DE CAPITAL</t>
  </si>
  <si>
    <t>11008</t>
  </si>
  <si>
    <t>CAPITAL FUNDAMENTAL (EN EXCESO AL MÍNIMO Y SUS SUPLEMENTOS) / ACTIVOS EN RIESGO TOTALES</t>
  </si>
  <si>
    <t>11007</t>
  </si>
  <si>
    <t>CAPITAL FUNDAMENTAL SIN SUPLEMENTOS DE CAPITAL / ACTIVOS EN RIESGO TOTALES</t>
  </si>
  <si>
    <t>11006</t>
  </si>
  <si>
    <t>CAPITAL FUNDAMENTAL / ACTIVOS EN RIESGO TOTALES</t>
  </si>
  <si>
    <t>11005</t>
  </si>
  <si>
    <t>CAPITAL BÁSICO / ACTIVOS EN RIESGO TOTALES</t>
  </si>
  <si>
    <t>11004</t>
  </si>
  <si>
    <t>CAPITAL BÁSICO / REQUERIMIENTO DE CAPITAL TOTAL</t>
  </si>
  <si>
    <t>11003</t>
  </si>
  <si>
    <t>CAPITAL NETO / ACTIVOS POR RIESGO DE CRÉDITO</t>
  </si>
  <si>
    <t>11002</t>
  </si>
  <si>
    <t>CAPITAL NETO / REQUERIMIENTO DE CAPITAL TOTAL</t>
  </si>
  <si>
    <t>11001</t>
  </si>
  <si>
    <t>11000</t>
  </si>
  <si>
    <t xml:space="preserve">Definitivo </t>
  </si>
  <si>
    <t>Sobrante de Capital Sin Mitigadores (PRD)</t>
  </si>
  <si>
    <t>10202</t>
  </si>
  <si>
    <t>10201</t>
  </si>
  <si>
    <t>10200</t>
  </si>
  <si>
    <t>10199</t>
  </si>
  <si>
    <t>10198</t>
  </si>
  <si>
    <t>10197</t>
  </si>
  <si>
    <t>Garantías (Banregio y Start) - Base</t>
  </si>
  <si>
    <t>10196</t>
  </si>
  <si>
    <t>Swaps (Banregio) - Base</t>
  </si>
  <si>
    <t>10195</t>
  </si>
  <si>
    <t>Capital Liberado MEDE - Base</t>
  </si>
  <si>
    <t>10194</t>
  </si>
  <si>
    <t>Reducción de ASRT - Base</t>
  </si>
  <si>
    <t>10193</t>
  </si>
  <si>
    <t>MEDE (Banregio) - Base</t>
  </si>
  <si>
    <t>10192</t>
  </si>
  <si>
    <t>10191</t>
  </si>
  <si>
    <t>10190</t>
  </si>
  <si>
    <t>Garantías (Banregio y Start) - Estándar</t>
  </si>
  <si>
    <t>10189</t>
  </si>
  <si>
    <t>Swaps (Banregio) - Estándar</t>
  </si>
  <si>
    <t>10188</t>
  </si>
  <si>
    <t>Capital Liberado MEDE - Estándar</t>
  </si>
  <si>
    <t>10187</t>
  </si>
  <si>
    <t>Reducción de ASRT - Estándar</t>
  </si>
  <si>
    <t>10186</t>
  </si>
  <si>
    <t>Morales</t>
  </si>
  <si>
    <t xml:space="preserve">Gobiernos </t>
  </si>
  <si>
    <t>Con interes</t>
  </si>
  <si>
    <t>10205</t>
  </si>
  <si>
    <t>HEY</t>
  </si>
  <si>
    <t>10204</t>
  </si>
  <si>
    <t>Sin interes</t>
  </si>
  <si>
    <t>10203</t>
  </si>
  <si>
    <t>MEDE (Banregio) - Estándar</t>
  </si>
  <si>
    <t>10185</t>
  </si>
  <si>
    <t>10184</t>
  </si>
  <si>
    <t>Total de asignación</t>
  </si>
  <si>
    <t>10182</t>
  </si>
  <si>
    <t>Requerimiento por Riesgo Operacional</t>
  </si>
  <si>
    <t>10181</t>
  </si>
  <si>
    <t>Requerimiento por Operaciones distintas a Cartera</t>
  </si>
  <si>
    <t>10180</t>
  </si>
  <si>
    <t>Mercado</t>
  </si>
  <si>
    <t>10179</t>
  </si>
  <si>
    <t>Cartera Etapa 3</t>
  </si>
  <si>
    <t>10178</t>
  </si>
  <si>
    <t>Start</t>
  </si>
  <si>
    <t>10177</t>
  </si>
  <si>
    <t>Ent. Financieras y Gubernamentales</t>
  </si>
  <si>
    <t>10176</t>
  </si>
  <si>
    <t>Vivienda</t>
  </si>
  <si>
    <t>10175</t>
  </si>
  <si>
    <t>10174</t>
  </si>
  <si>
    <t>10173</t>
  </si>
  <si>
    <t>Requerimiento por Operaciones de Cartera</t>
  </si>
  <si>
    <t>10172</t>
  </si>
  <si>
    <t>Asignación de Capital</t>
  </si>
  <si>
    <t>10171</t>
  </si>
  <si>
    <t>10170</t>
  </si>
  <si>
    <t>Requerimiento de capital sin considerar artículo tercero transitorio.</t>
  </si>
  <si>
    <t>10169</t>
  </si>
  <si>
    <t>10168</t>
  </si>
  <si>
    <t>10167</t>
  </si>
  <si>
    <t>10166</t>
  </si>
  <si>
    <t>Exposición al fondo de incumplimiento en cámaras de compensación</t>
  </si>
  <si>
    <t>10165</t>
  </si>
  <si>
    <t>10164</t>
  </si>
  <si>
    <t>Por riesgo de crédito de la contraparte en incumplimientos en mecanismos de libre entrega</t>
  </si>
  <si>
    <t>10163</t>
  </si>
  <si>
    <t>10162</t>
  </si>
  <si>
    <t>10161</t>
  </si>
  <si>
    <t>10160</t>
  </si>
  <si>
    <t>10159</t>
  </si>
  <si>
    <t>Por bursatilizaciones</t>
  </si>
  <si>
    <t>10158</t>
  </si>
  <si>
    <t>Por avales y líneas de crédito otorgadas</t>
  </si>
  <si>
    <t>10157</t>
  </si>
  <si>
    <t>10156</t>
  </si>
  <si>
    <t>De los acreditados en operaciones de crédito reestructuradas programa FCC</t>
  </si>
  <si>
    <t>10155</t>
  </si>
  <si>
    <t>10154</t>
  </si>
  <si>
    <t>10153</t>
  </si>
  <si>
    <t>10152</t>
  </si>
  <si>
    <t>10151</t>
  </si>
  <si>
    <t>10150</t>
  </si>
  <si>
    <t>10149</t>
  </si>
  <si>
    <t>10148</t>
  </si>
  <si>
    <t>10147</t>
  </si>
  <si>
    <t>10146</t>
  </si>
  <si>
    <t>10144</t>
  </si>
  <si>
    <t>10143</t>
  </si>
  <si>
    <t>10142</t>
  </si>
  <si>
    <t>10141</t>
  </si>
  <si>
    <t>10140</t>
  </si>
  <si>
    <t>10139</t>
  </si>
  <si>
    <t>10138</t>
  </si>
  <si>
    <t>10137</t>
  </si>
  <si>
    <t>10136</t>
  </si>
  <si>
    <t>10135</t>
  </si>
  <si>
    <t>10134</t>
  </si>
  <si>
    <t>10131</t>
  </si>
  <si>
    <t>10130</t>
  </si>
  <si>
    <t>10129</t>
  </si>
  <si>
    <t>10128</t>
  </si>
  <si>
    <t>10127</t>
  </si>
  <si>
    <t>10125</t>
  </si>
  <si>
    <t>10124</t>
  </si>
  <si>
    <t>10123</t>
  </si>
  <si>
    <t>10122</t>
  </si>
  <si>
    <t>Capital Fundamental excedente</t>
  </si>
  <si>
    <t>10121</t>
  </si>
  <si>
    <t>Capital Fundamental suplemento de capital contracíclico inciso c) del artículo 2 bis 5</t>
  </si>
  <si>
    <t>10120</t>
  </si>
  <si>
    <t>Capital Fundamental suplemento de conservación de capital inciso b) del artículo 2 bis 5</t>
  </si>
  <si>
    <t>10119</t>
  </si>
  <si>
    <t>Capital Fundamental suplemento de conservación de capital inciso a) del artículo 2 bis 5</t>
  </si>
  <si>
    <t>10118</t>
  </si>
  <si>
    <t>Capital Fundamental mínimo regulatorio</t>
  </si>
  <si>
    <t>10117</t>
  </si>
  <si>
    <t>10116</t>
  </si>
  <si>
    <t>10115</t>
  </si>
  <si>
    <t>10114</t>
  </si>
  <si>
    <t>10113</t>
  </si>
  <si>
    <t>10112</t>
  </si>
  <si>
    <t>10111</t>
  </si>
  <si>
    <t>10110</t>
  </si>
  <si>
    <t>10109</t>
  </si>
  <si>
    <t>10108</t>
  </si>
  <si>
    <t>10107</t>
  </si>
  <si>
    <t>10106</t>
  </si>
  <si>
    <t>10105</t>
  </si>
  <si>
    <t>10104</t>
  </si>
  <si>
    <t>10103</t>
  </si>
  <si>
    <t>10102</t>
  </si>
  <si>
    <t>10101</t>
  </si>
  <si>
    <t>10100</t>
  </si>
  <si>
    <t>10099</t>
  </si>
  <si>
    <t>10098</t>
  </si>
  <si>
    <t>10097</t>
  </si>
  <si>
    <t>10096</t>
  </si>
  <si>
    <t>10095</t>
  </si>
  <si>
    <t>10094</t>
  </si>
  <si>
    <t>10093</t>
  </si>
  <si>
    <t>10092</t>
  </si>
  <si>
    <t>10091</t>
  </si>
  <si>
    <t>10090</t>
  </si>
  <si>
    <t>10088</t>
  </si>
  <si>
    <t>10087</t>
  </si>
  <si>
    <t>10086</t>
  </si>
  <si>
    <t>10085</t>
  </si>
  <si>
    <t>10084</t>
  </si>
  <si>
    <t>10083</t>
  </si>
  <si>
    <t>10082</t>
  </si>
  <si>
    <t>10081</t>
  </si>
  <si>
    <t>10080</t>
  </si>
  <si>
    <t>10079</t>
  </si>
  <si>
    <t>10078</t>
  </si>
  <si>
    <t>10077</t>
  </si>
  <si>
    <t>10076</t>
  </si>
  <si>
    <t>10075</t>
  </si>
  <si>
    <t>10074</t>
  </si>
  <si>
    <t>10073</t>
  </si>
  <si>
    <t>10072</t>
  </si>
  <si>
    <t>10071</t>
  </si>
  <si>
    <t>10070</t>
  </si>
  <si>
    <t>10069</t>
  </si>
  <si>
    <t>De otras inversiones</t>
  </si>
  <si>
    <t>10068</t>
  </si>
  <si>
    <t>De inversiones en acciones de las que se restan para determinar el Capital Básico 1</t>
  </si>
  <si>
    <t>10067</t>
  </si>
  <si>
    <t>10066</t>
  </si>
  <si>
    <t>10065</t>
  </si>
  <si>
    <t>10064</t>
  </si>
  <si>
    <t>10063</t>
  </si>
  <si>
    <t>10062</t>
  </si>
  <si>
    <t>10061</t>
  </si>
  <si>
    <t>10060</t>
  </si>
  <si>
    <t>10059</t>
  </si>
  <si>
    <t>10058</t>
  </si>
  <si>
    <t>10057</t>
  </si>
  <si>
    <t>10056</t>
  </si>
  <si>
    <t>10055</t>
  </si>
  <si>
    <t>10054</t>
  </si>
  <si>
    <t>10053</t>
  </si>
  <si>
    <t>10052</t>
  </si>
  <si>
    <t>10051</t>
  </si>
  <si>
    <t>10050</t>
  </si>
  <si>
    <t>III.III Inversiones indirectas</t>
  </si>
  <si>
    <t>10049</t>
  </si>
  <si>
    <t>10048</t>
  </si>
  <si>
    <t>10047</t>
  </si>
  <si>
    <t>10046</t>
  </si>
  <si>
    <t>III.II Inversiones en otros instrumentos</t>
  </si>
  <si>
    <t>10045</t>
  </si>
  <si>
    <t>10044</t>
  </si>
  <si>
    <t>10043</t>
  </si>
  <si>
    <t>10042</t>
  </si>
  <si>
    <t>10041</t>
  </si>
  <si>
    <t>10040</t>
  </si>
  <si>
    <t>10039</t>
  </si>
  <si>
    <t>10038</t>
  </si>
  <si>
    <t>10037</t>
  </si>
  <si>
    <t>10036</t>
  </si>
  <si>
    <t>10035</t>
  </si>
  <si>
    <t>10034</t>
  </si>
  <si>
    <t>III.I Inversiones en entidades financieras (directas e indirectas)</t>
  </si>
  <si>
    <t>10033</t>
  </si>
  <si>
    <t>10032</t>
  </si>
  <si>
    <t>10031</t>
  </si>
  <si>
    <t>10030</t>
  </si>
  <si>
    <t>10029</t>
  </si>
  <si>
    <t>10028</t>
  </si>
  <si>
    <t>10027</t>
  </si>
  <si>
    <t>10026</t>
  </si>
  <si>
    <t>10025</t>
  </si>
  <si>
    <t>10024</t>
  </si>
  <si>
    <t>10023</t>
  </si>
  <si>
    <t>10022</t>
  </si>
  <si>
    <t>10021</t>
  </si>
  <si>
    <t>10020</t>
  </si>
  <si>
    <t>10019</t>
  </si>
  <si>
    <t>10018</t>
  </si>
  <si>
    <t>10017</t>
  </si>
  <si>
    <t>10016</t>
  </si>
  <si>
    <t>Requerimiento de Capital Total</t>
  </si>
  <si>
    <t>10015</t>
  </si>
  <si>
    <t>Capital Complementario / Activos Ponderados Sujetos a Riesgo Totales.</t>
  </si>
  <si>
    <t>10014</t>
  </si>
  <si>
    <t>Capital Básico No Fundamental / Activos Ponderados Sujetos a Riesgo Totales</t>
  </si>
  <si>
    <t>10013</t>
  </si>
  <si>
    <t>Faltante de Filiales / Capital Complementario</t>
  </si>
  <si>
    <t>10012</t>
  </si>
  <si>
    <t>Faltante de Filiales / Capital Básico</t>
  </si>
  <si>
    <t>10011</t>
  </si>
  <si>
    <t>Requerimiento de Capital Total/Capital Complementario</t>
  </si>
  <si>
    <t>10010</t>
  </si>
  <si>
    <t>Requerimiento de Capital Total/Capital Básico</t>
  </si>
  <si>
    <t>10009</t>
  </si>
  <si>
    <t>Capital Fundamental que corresponde a los Suplementos de Capital</t>
  </si>
  <si>
    <t>10008</t>
  </si>
  <si>
    <t>Capital Fundamental (En exceso al mínimo y sus Suplementos) / Activos en Riesgo Totales</t>
  </si>
  <si>
    <t>10007</t>
  </si>
  <si>
    <t>Capital Fundamental sin Suplementos de Capital / Activos en Riesgo Totales</t>
  </si>
  <si>
    <t>10006</t>
  </si>
  <si>
    <t>Capital Fundamental / Activos en Riesgo Totales</t>
  </si>
  <si>
    <t>10005</t>
  </si>
  <si>
    <t>Capital Básico / Activos en Riesgo Totales</t>
  </si>
  <si>
    <t>10004</t>
  </si>
  <si>
    <t>Capital Básico / Requerimiento de Capital Total</t>
  </si>
  <si>
    <t>10003</t>
  </si>
  <si>
    <t>Capital Neto / Activos por Riesgo de Crédito</t>
  </si>
  <si>
    <t>10002</t>
  </si>
  <si>
    <t>Capital Neto / Requerimiento de Capital Total</t>
  </si>
  <si>
    <t>10001</t>
  </si>
  <si>
    <t>10000</t>
  </si>
  <si>
    <t>Sobrante de Capital sin Mitigadores (PRD)</t>
  </si>
  <si>
    <t>12202</t>
  </si>
  <si>
    <t>12201</t>
  </si>
  <si>
    <t>12200</t>
  </si>
  <si>
    <t>Capital Liberado por Calce</t>
  </si>
  <si>
    <t>12205</t>
  </si>
  <si>
    <t>12197</t>
  </si>
  <si>
    <t>Mayor a 3 años</t>
  </si>
  <si>
    <t>12211</t>
  </si>
  <si>
    <t>Mayor a 2 años / menor a 3 años</t>
  </si>
  <si>
    <t>12210</t>
  </si>
  <si>
    <t>Menor a 2 años</t>
  </si>
  <si>
    <t>12209</t>
  </si>
  <si>
    <t>Calce</t>
  </si>
  <si>
    <t>12204</t>
  </si>
  <si>
    <t>12203</t>
  </si>
  <si>
    <t>12184</t>
  </si>
  <si>
    <t>12183</t>
  </si>
  <si>
    <t>12182</t>
  </si>
  <si>
    <t>12181</t>
  </si>
  <si>
    <t>12180</t>
  </si>
  <si>
    <t>12179</t>
  </si>
  <si>
    <t>12178</t>
  </si>
  <si>
    <t>12176</t>
  </si>
  <si>
    <t>12175</t>
  </si>
  <si>
    <t>12174</t>
  </si>
  <si>
    <t>12173</t>
  </si>
  <si>
    <t>12172</t>
  </si>
  <si>
    <t>12171</t>
  </si>
  <si>
    <t>12170</t>
  </si>
  <si>
    <t>12169</t>
  </si>
  <si>
    <t>12168</t>
  </si>
  <si>
    <t>12167</t>
  </si>
  <si>
    <t>12166</t>
  </si>
  <si>
    <t>12165</t>
  </si>
  <si>
    <t>12164</t>
  </si>
  <si>
    <t>12163</t>
  </si>
  <si>
    <t>12162</t>
  </si>
  <si>
    <t>12161</t>
  </si>
  <si>
    <t>12160</t>
  </si>
  <si>
    <t>12159</t>
  </si>
  <si>
    <t>Por Burzatilizaciones</t>
  </si>
  <si>
    <t>12158</t>
  </si>
  <si>
    <t>12157</t>
  </si>
  <si>
    <t>12156</t>
  </si>
  <si>
    <t>12155</t>
  </si>
  <si>
    <t>12154</t>
  </si>
  <si>
    <t>12153</t>
  </si>
  <si>
    <t>12152</t>
  </si>
  <si>
    <t>12151</t>
  </si>
  <si>
    <t>12150</t>
  </si>
  <si>
    <t>12149</t>
  </si>
  <si>
    <t>12148</t>
  </si>
  <si>
    <t>12147</t>
  </si>
  <si>
    <t>12146</t>
  </si>
  <si>
    <t>12145</t>
  </si>
  <si>
    <t>12144</t>
  </si>
  <si>
    <t>12143</t>
  </si>
  <si>
    <t>12142</t>
  </si>
  <si>
    <t>12141</t>
  </si>
  <si>
    <t>12140</t>
  </si>
  <si>
    <t>12139</t>
  </si>
  <si>
    <t>12138</t>
  </si>
  <si>
    <t>12137</t>
  </si>
  <si>
    <t>12136</t>
  </si>
  <si>
    <t>12135</t>
  </si>
  <si>
    <t>12134</t>
  </si>
  <si>
    <t>12131</t>
  </si>
  <si>
    <t>12130</t>
  </si>
  <si>
    <t>12129</t>
  </si>
  <si>
    <t>12128</t>
  </si>
  <si>
    <t>12127</t>
  </si>
  <si>
    <t>12126</t>
  </si>
  <si>
    <t>12125</t>
  </si>
  <si>
    <t>12124</t>
  </si>
  <si>
    <t>12123</t>
  </si>
  <si>
    <t>12122</t>
  </si>
  <si>
    <t>12121</t>
  </si>
  <si>
    <t>12120</t>
  </si>
  <si>
    <t>12119</t>
  </si>
  <si>
    <t>12118</t>
  </si>
  <si>
    <t>12117</t>
  </si>
  <si>
    <t>12116</t>
  </si>
  <si>
    <t>COMPONENTES RECONOCIDOS DEL CAPITAL NETO</t>
  </si>
  <si>
    <t>12115</t>
  </si>
  <si>
    <t>12114</t>
  </si>
  <si>
    <t>12113</t>
  </si>
  <si>
    <t>12112</t>
  </si>
  <si>
    <t>12111</t>
  </si>
  <si>
    <t>12110</t>
  </si>
  <si>
    <t>12109</t>
  </si>
  <si>
    <t>12108</t>
  </si>
  <si>
    <t>12107</t>
  </si>
  <si>
    <t>12106</t>
  </si>
  <si>
    <t>12105</t>
  </si>
  <si>
    <t>12104</t>
  </si>
  <si>
    <t>12103</t>
  </si>
  <si>
    <t>12102</t>
  </si>
  <si>
    <t>12101</t>
  </si>
  <si>
    <t>12100</t>
  </si>
  <si>
    <t>12099</t>
  </si>
  <si>
    <t>12098</t>
  </si>
  <si>
    <t>12097</t>
  </si>
  <si>
    <t>12096</t>
  </si>
  <si>
    <t>12095</t>
  </si>
  <si>
    <t>12094</t>
  </si>
  <si>
    <t>12093</t>
  </si>
  <si>
    <t>12092</t>
  </si>
  <si>
    <t>12091</t>
  </si>
  <si>
    <t>12090</t>
  </si>
  <si>
    <t>12089</t>
  </si>
  <si>
    <t>12088</t>
  </si>
  <si>
    <t>12087</t>
  </si>
  <si>
    <t>12086</t>
  </si>
  <si>
    <t>12085</t>
  </si>
  <si>
    <t>12084</t>
  </si>
  <si>
    <t>12083</t>
  </si>
  <si>
    <t>12082</t>
  </si>
  <si>
    <t>12081</t>
  </si>
  <si>
    <t>12080</t>
  </si>
  <si>
    <t>12079</t>
  </si>
  <si>
    <t>12078</t>
  </si>
  <si>
    <t>12077</t>
  </si>
  <si>
    <t>12076</t>
  </si>
  <si>
    <t>12075</t>
  </si>
  <si>
    <t>12074</t>
  </si>
  <si>
    <t>12073</t>
  </si>
  <si>
    <t>12072</t>
  </si>
  <si>
    <t>12071</t>
  </si>
  <si>
    <t>12070</t>
  </si>
  <si>
    <t>12069</t>
  </si>
  <si>
    <t>12068</t>
  </si>
  <si>
    <t>12067</t>
  </si>
  <si>
    <t>12066</t>
  </si>
  <si>
    <t>12065</t>
  </si>
  <si>
    <t>12064</t>
  </si>
  <si>
    <t>12063</t>
  </si>
  <si>
    <t>12062</t>
  </si>
  <si>
    <t>12061</t>
  </si>
  <si>
    <t>12060</t>
  </si>
  <si>
    <t>12059</t>
  </si>
  <si>
    <t>12058</t>
  </si>
  <si>
    <t>12057</t>
  </si>
  <si>
    <t>12056</t>
  </si>
  <si>
    <t>12055</t>
  </si>
  <si>
    <t>12054</t>
  </si>
  <si>
    <t>12053</t>
  </si>
  <si>
    <t>12052</t>
  </si>
  <si>
    <t>12051</t>
  </si>
  <si>
    <t>12050</t>
  </si>
  <si>
    <t>12049</t>
  </si>
  <si>
    <t>12048</t>
  </si>
  <si>
    <t>12047</t>
  </si>
  <si>
    <t>12046</t>
  </si>
  <si>
    <t>12045</t>
  </si>
  <si>
    <t>12044</t>
  </si>
  <si>
    <t>12043</t>
  </si>
  <si>
    <t>12042</t>
  </si>
  <si>
    <t>12041</t>
  </si>
  <si>
    <t>12040</t>
  </si>
  <si>
    <t>12039</t>
  </si>
  <si>
    <t>12038</t>
  </si>
  <si>
    <t>12037</t>
  </si>
  <si>
    <t>12036</t>
  </si>
  <si>
    <t>12035</t>
  </si>
  <si>
    <t>12034</t>
  </si>
  <si>
    <t>12033</t>
  </si>
  <si>
    <t>12032</t>
  </si>
  <si>
    <t>12031</t>
  </si>
  <si>
    <t>12030</t>
  </si>
  <si>
    <t>12029</t>
  </si>
  <si>
    <t>12028</t>
  </si>
  <si>
    <t>12027</t>
  </si>
  <si>
    <t>12026</t>
  </si>
  <si>
    <t>12025</t>
  </si>
  <si>
    <t>12024</t>
  </si>
  <si>
    <t>12023</t>
  </si>
  <si>
    <t>12022</t>
  </si>
  <si>
    <t>12021</t>
  </si>
  <si>
    <t>12020</t>
  </si>
  <si>
    <t>12019</t>
  </si>
  <si>
    <t>12018</t>
  </si>
  <si>
    <t>12017</t>
  </si>
  <si>
    <t>12016</t>
  </si>
  <si>
    <t>12015</t>
  </si>
  <si>
    <t>12014</t>
  </si>
  <si>
    <t>12013</t>
  </si>
  <si>
    <t>12012</t>
  </si>
  <si>
    <t>12011</t>
  </si>
  <si>
    <t>12010</t>
  </si>
  <si>
    <t>12009</t>
  </si>
  <si>
    <t>12008</t>
  </si>
  <si>
    <t>12007</t>
  </si>
  <si>
    <t>12006</t>
  </si>
  <si>
    <t>12005</t>
  </si>
  <si>
    <t>12004</t>
  </si>
  <si>
    <t>12003</t>
  </si>
  <si>
    <t>12002</t>
  </si>
  <si>
    <t>12001</t>
  </si>
  <si>
    <t>12000</t>
  </si>
  <si>
    <t>(Ajustes por conversión a equivalentes crediticios)</t>
  </si>
  <si>
    <t>15232</t>
  </si>
  <si>
    <t>Exposición fuera de balance (importe nocional bruto)</t>
  </si>
  <si>
    <t>15231</t>
  </si>
  <si>
    <t>Partidas fuera de Balance</t>
  </si>
  <si>
    <t>15230</t>
  </si>
  <si>
    <t>Exposición Riesgo de Contraparte por SFT</t>
  </si>
  <si>
    <t>15229</t>
  </si>
  <si>
    <t>Activos SFT brutos (sin reconocimiento de compensación), después de ajustes por transacciones contables por ventas</t>
  </si>
  <si>
    <t>15228</t>
  </si>
  <si>
    <t>Exposiciones por Operaciones de Financiamiento con Valores</t>
  </si>
  <si>
    <t>15227</t>
  </si>
  <si>
    <t>Importes de los factores adicionales por exposición potencial futura, asociados a todas las operaciones con instrumentos financieros derivados</t>
  </si>
  <si>
    <t>15226</t>
  </si>
  <si>
    <t>Costo actual de reemplazo asociado a todas las operaciones con instrumentos financieros derivados (neto del margen de variación en efectivo admisible)</t>
  </si>
  <si>
    <t>15225</t>
  </si>
  <si>
    <t>Exposiciones por Instrumentos Financieros Derivados</t>
  </si>
  <si>
    <t>15224</t>
  </si>
  <si>
    <t>Importes de los activos deducidos para determinar el Capital Básico</t>
  </si>
  <si>
    <t>15223</t>
  </si>
  <si>
    <t>15222</t>
  </si>
  <si>
    <t>Impuestos y PTU Diferidos (Neto)</t>
  </si>
  <si>
    <t>15221</t>
  </si>
  <si>
    <t>15220</t>
  </si>
  <si>
    <t>Propiedades, Mobiliario y Equipo (Neto)</t>
  </si>
  <si>
    <t>15219</t>
  </si>
  <si>
    <t>15218</t>
  </si>
  <si>
    <t>15217</t>
  </si>
  <si>
    <t>15216</t>
  </si>
  <si>
    <t>Inversiones en Intrumentos Financieros</t>
  </si>
  <si>
    <t>15215</t>
  </si>
  <si>
    <t>Efectivo y Equivalentes</t>
  </si>
  <si>
    <t>15214</t>
  </si>
  <si>
    <t>Exposiciones dentro Balance</t>
  </si>
  <si>
    <t>15213</t>
  </si>
  <si>
    <t>15211</t>
  </si>
  <si>
    <t>Exposición de la Razón de Apalancamiento</t>
  </si>
  <si>
    <t>15210</t>
  </si>
  <si>
    <t>Razón de Apalancamiento</t>
  </si>
  <si>
    <t>15000</t>
  </si>
  <si>
    <t>16232</t>
  </si>
  <si>
    <t>16231</t>
  </si>
  <si>
    <t>16230</t>
  </si>
  <si>
    <t>16229</t>
  </si>
  <si>
    <t>16228</t>
  </si>
  <si>
    <t>16227</t>
  </si>
  <si>
    <t>16226</t>
  </si>
  <si>
    <t>16225</t>
  </si>
  <si>
    <t>16224</t>
  </si>
  <si>
    <t>16223</t>
  </si>
  <si>
    <t>16222</t>
  </si>
  <si>
    <t>16221</t>
  </si>
  <si>
    <t>16220</t>
  </si>
  <si>
    <t>16219</t>
  </si>
  <si>
    <t>16218</t>
  </si>
  <si>
    <t>16217</t>
  </si>
  <si>
    <t>16216</t>
  </si>
  <si>
    <t>16215</t>
  </si>
  <si>
    <t>16214</t>
  </si>
  <si>
    <t>16213</t>
  </si>
  <si>
    <t>16211</t>
  </si>
  <si>
    <t>16210</t>
  </si>
  <si>
    <t>16000</t>
  </si>
  <si>
    <t>2204300070</t>
  </si>
  <si>
    <t>CCL Prom U3M</t>
  </si>
  <si>
    <t>2204200070</t>
  </si>
  <si>
    <t>CCL Individual</t>
  </si>
  <si>
    <t>2204100070</t>
  </si>
  <si>
    <t>CCL Sin Modelo</t>
  </si>
  <si>
    <t>2204000070</t>
  </si>
  <si>
    <t>Otras Entradas</t>
  </si>
  <si>
    <t>2203702070</t>
  </si>
  <si>
    <t>Títulos Fecha Valor.</t>
  </si>
  <si>
    <t>2202702070</t>
  </si>
  <si>
    <t>Divisas Fecha Valor.</t>
  </si>
  <si>
    <t>2202602070</t>
  </si>
  <si>
    <t>Derivados.</t>
  </si>
  <si>
    <t>2202502070</t>
  </si>
  <si>
    <t>Flujos de salida</t>
  </si>
  <si>
    <t>2202402070</t>
  </si>
  <si>
    <t>Plazo mayor a 30 días</t>
  </si>
  <si>
    <t>2202302070</t>
  </si>
  <si>
    <t>Plazo menor a 30 días</t>
  </si>
  <si>
    <t>2202202070</t>
  </si>
  <si>
    <t>Financiamiento colateralizado otorgado</t>
  </si>
  <si>
    <t>2202102070</t>
  </si>
  <si>
    <t>Sin propósito operacional</t>
  </si>
  <si>
    <t>2203602070</t>
  </si>
  <si>
    <t>Con propósito operacional</t>
  </si>
  <si>
    <t>2203502070</t>
  </si>
  <si>
    <t>Depósitos en entidades Financieras nacionales, extranjeras y call money</t>
  </si>
  <si>
    <t>2203402070</t>
  </si>
  <si>
    <t>Hipotecario</t>
  </si>
  <si>
    <t>2203302470</t>
  </si>
  <si>
    <t>2203202470</t>
  </si>
  <si>
    <t>2203102470</t>
  </si>
  <si>
    <t>Cartera de Crédito en Etapa 2</t>
  </si>
  <si>
    <t>2203002470</t>
  </si>
  <si>
    <t>2203302370</t>
  </si>
  <si>
    <t>2203202370</t>
  </si>
  <si>
    <t>2203102370</t>
  </si>
  <si>
    <t>Cartera de Crédito en Etapa 1 sin pagos vencidos</t>
  </si>
  <si>
    <t>2203002370</t>
  </si>
  <si>
    <t>Entradas de Efectivo</t>
  </si>
  <si>
    <t>Otras Salidas</t>
  </si>
  <si>
    <t>2202803070</t>
  </si>
  <si>
    <t>Títulos Fecha Valor</t>
  </si>
  <si>
    <t>2202703070</t>
  </si>
  <si>
    <t>Divisas Fecha Valor</t>
  </si>
  <si>
    <t>2202603070</t>
  </si>
  <si>
    <t>2202503070</t>
  </si>
  <si>
    <t>2202403070</t>
  </si>
  <si>
    <t>2202303070</t>
  </si>
  <si>
    <t>2202203070</t>
  </si>
  <si>
    <t>Financiamiento colateralizado recibido</t>
  </si>
  <si>
    <t>2202103070</t>
  </si>
  <si>
    <t>2202003070</t>
  </si>
  <si>
    <t>2201903070</t>
  </si>
  <si>
    <t>Banca Comercial</t>
  </si>
  <si>
    <t>2201803070</t>
  </si>
  <si>
    <t>Préstamos Bancarios</t>
  </si>
  <si>
    <t>2201703070</t>
  </si>
  <si>
    <t>CEBURES</t>
  </si>
  <si>
    <t>2201603070</t>
  </si>
  <si>
    <t>Mayoristas</t>
  </si>
  <si>
    <t>2201403270</t>
  </si>
  <si>
    <t>Minoristas</t>
  </si>
  <si>
    <t>2201503270</t>
  </si>
  <si>
    <t>2201003270</t>
  </si>
  <si>
    <t>2201403170</t>
  </si>
  <si>
    <t>2201503170</t>
  </si>
  <si>
    <t>2201003170</t>
  </si>
  <si>
    <t>2200903070</t>
  </si>
  <si>
    <t>Salidas de Efectivo</t>
  </si>
  <si>
    <t>2200803070</t>
  </si>
  <si>
    <t>Activos de Nivel 2A ponderados</t>
  </si>
  <si>
    <t>2200701080</t>
  </si>
  <si>
    <t>Títulos Gubernamentales</t>
  </si>
  <si>
    <t>2200601070</t>
  </si>
  <si>
    <t>Otros depósitos en Banco de México</t>
  </si>
  <si>
    <t>2200501070</t>
  </si>
  <si>
    <t>Depósitos de Regulación Monetaria</t>
  </si>
  <si>
    <t>2200401070</t>
  </si>
  <si>
    <t>2200301070</t>
  </si>
  <si>
    <t>Activos Nivel 1</t>
  </si>
  <si>
    <t>2200201070</t>
  </si>
  <si>
    <t>Activos Líquidos</t>
  </si>
  <si>
    <t>2200101070</t>
  </si>
  <si>
    <t>CCL Consolidado</t>
  </si>
  <si>
    <t>2200000070</t>
  </si>
  <si>
    <t>2104300080</t>
  </si>
  <si>
    <t>CCL Promedio U3M</t>
  </si>
  <si>
    <t>2104200080</t>
  </si>
  <si>
    <t>2104100080</t>
  </si>
  <si>
    <t>2104000080</t>
  </si>
  <si>
    <t>Salidas Netas</t>
  </si>
  <si>
    <t>2103903080</t>
  </si>
  <si>
    <t>2103702080</t>
  </si>
  <si>
    <t>2102702080</t>
  </si>
  <si>
    <t>2102602080</t>
  </si>
  <si>
    <t>2102502080</t>
  </si>
  <si>
    <t>2102402080</t>
  </si>
  <si>
    <t>2102302080</t>
  </si>
  <si>
    <t>2102202080</t>
  </si>
  <si>
    <t>2102102080</t>
  </si>
  <si>
    <t>2103602080</t>
  </si>
  <si>
    <t>2103502080</t>
  </si>
  <si>
    <t>2103402080</t>
  </si>
  <si>
    <t>2103302480</t>
  </si>
  <si>
    <t>2103202480</t>
  </si>
  <si>
    <t>2103102480</t>
  </si>
  <si>
    <t>2103002480</t>
  </si>
  <si>
    <t>2103302380</t>
  </si>
  <si>
    <t>2103202380</t>
  </si>
  <si>
    <t>2103102380</t>
  </si>
  <si>
    <t>2103002380</t>
  </si>
  <si>
    <t>2102902080</t>
  </si>
  <si>
    <t>2102803080</t>
  </si>
  <si>
    <t>2102703080</t>
  </si>
  <si>
    <t>2102603080</t>
  </si>
  <si>
    <t>2102503080</t>
  </si>
  <si>
    <t>2102403080</t>
  </si>
  <si>
    <t>2102303080</t>
  </si>
  <si>
    <t>2102203080</t>
  </si>
  <si>
    <t>2102103080</t>
  </si>
  <si>
    <t>2102003080</t>
  </si>
  <si>
    <t>2101903080</t>
  </si>
  <si>
    <t>2101803080</t>
  </si>
  <si>
    <t>2101703080</t>
  </si>
  <si>
    <t>2101603080</t>
  </si>
  <si>
    <t>Morales Minoristas</t>
  </si>
  <si>
    <t>2101503280</t>
  </si>
  <si>
    <t>Morales Mayoristas</t>
  </si>
  <si>
    <t>2101403280</t>
  </si>
  <si>
    <t>Físicas</t>
  </si>
  <si>
    <t>2101303280</t>
  </si>
  <si>
    <t>2101203280</t>
  </si>
  <si>
    <t>Gobierno</t>
  </si>
  <si>
    <t>2101103280</t>
  </si>
  <si>
    <t>2101003280</t>
  </si>
  <si>
    <t>2101503180</t>
  </si>
  <si>
    <t>2101403180</t>
  </si>
  <si>
    <t>2101303180</t>
  </si>
  <si>
    <t>2101203180</t>
  </si>
  <si>
    <t>2101103180</t>
  </si>
  <si>
    <t>2101003180</t>
  </si>
  <si>
    <t>2100903080</t>
  </si>
  <si>
    <t>2100803080</t>
  </si>
  <si>
    <t>2100701080</t>
  </si>
  <si>
    <t>2100601080</t>
  </si>
  <si>
    <t>2100501080</t>
  </si>
  <si>
    <t>2100401080</t>
  </si>
  <si>
    <t>2100301080</t>
  </si>
  <si>
    <t>2100201080</t>
  </si>
  <si>
    <t>2100101080</t>
  </si>
  <si>
    <t>2100000080</t>
  </si>
  <si>
    <t>Beneficio Financiero</t>
  </si>
  <si>
    <t>2302500000</t>
  </si>
  <si>
    <t>Activos Liquidos</t>
  </si>
  <si>
    <t>2302401000</t>
  </si>
  <si>
    <t>CCL sin Modelo</t>
  </si>
  <si>
    <t>2302300000</t>
  </si>
  <si>
    <t>Salidas Netas sin Modelos</t>
  </si>
  <si>
    <t>2302203000</t>
  </si>
  <si>
    <t>Entradas sin Modelos</t>
  </si>
  <si>
    <t>2302102000</t>
  </si>
  <si>
    <t>Entradas con Modelos</t>
  </si>
  <si>
    <t>2302002000</t>
  </si>
  <si>
    <t>Depósitos en Entidades Financieras (Sin Proposito Operacional)</t>
  </si>
  <si>
    <t>2301902000</t>
  </si>
  <si>
    <t>Salidas Sin Modelos</t>
  </si>
  <si>
    <t>2301803000</t>
  </si>
  <si>
    <t>2301603200</t>
  </si>
  <si>
    <t>Morales Mayorista</t>
  </si>
  <si>
    <t>2301503200</t>
  </si>
  <si>
    <t>2301403200</t>
  </si>
  <si>
    <t>2301303200</t>
  </si>
  <si>
    <t>2301203200</t>
  </si>
  <si>
    <t>Captación a Plazo</t>
  </si>
  <si>
    <t>2301703200</t>
  </si>
  <si>
    <t>2301603100</t>
  </si>
  <si>
    <t>2301503100</t>
  </si>
  <si>
    <t>2301403100</t>
  </si>
  <si>
    <t>2301303100</t>
  </si>
  <si>
    <t>2301203100</t>
  </si>
  <si>
    <t>Captación Vista</t>
  </si>
  <si>
    <t>2301103100</t>
  </si>
  <si>
    <t>Salidas con Modelos</t>
  </si>
  <si>
    <t>2301003000</t>
  </si>
  <si>
    <t>2300703202</t>
  </si>
  <si>
    <t>Gobiernos</t>
  </si>
  <si>
    <t>2300603202</t>
  </si>
  <si>
    <t>Fisicas</t>
  </si>
  <si>
    <t>2300503202</t>
  </si>
  <si>
    <t>2300403202</t>
  </si>
  <si>
    <t>Morales Minorista</t>
  </si>
  <si>
    <t>2300303202</t>
  </si>
  <si>
    <t>2300803202</t>
  </si>
  <si>
    <t>2300703102</t>
  </si>
  <si>
    <t>2300603102</t>
  </si>
  <si>
    <t>2300503102</t>
  </si>
  <si>
    <t>2300403102</t>
  </si>
  <si>
    <t>2300303102</t>
  </si>
  <si>
    <t>2300203102</t>
  </si>
  <si>
    <t>Dólares</t>
  </si>
  <si>
    <t>2300903002</t>
  </si>
  <si>
    <t>2300703201</t>
  </si>
  <si>
    <t>2300603201</t>
  </si>
  <si>
    <t>2300503201</t>
  </si>
  <si>
    <t>2300403201</t>
  </si>
  <si>
    <t>2300303201</t>
  </si>
  <si>
    <t>2300803201</t>
  </si>
  <si>
    <t>2300703101</t>
  </si>
  <si>
    <t>2300603101</t>
  </si>
  <si>
    <t>2300503101</t>
  </si>
  <si>
    <t>2300403101</t>
  </si>
  <si>
    <t>2300303101</t>
  </si>
  <si>
    <t>2300203101</t>
  </si>
  <si>
    <t>Pesos</t>
  </si>
  <si>
    <t>2300103001</t>
  </si>
  <si>
    <t>2300003000</t>
  </si>
  <si>
    <t>2400443202</t>
  </si>
  <si>
    <t>2400843202</t>
  </si>
  <si>
    <t>2400743102</t>
  </si>
  <si>
    <t>2400543102</t>
  </si>
  <si>
    <t>2400243102</t>
  </si>
  <si>
    <t>2400943002</t>
  </si>
  <si>
    <t>2400743201</t>
  </si>
  <si>
    <t>2400543201</t>
  </si>
  <si>
    <t>2400343201</t>
  </si>
  <si>
    <t>2400843201</t>
  </si>
  <si>
    <t>2400743101</t>
  </si>
  <si>
    <t>2400443101</t>
  </si>
  <si>
    <t>2400243101</t>
  </si>
  <si>
    <t>2400143001</t>
  </si>
  <si>
    <t>2400043000</t>
  </si>
  <si>
    <t>Bondes D (Extranjeros)</t>
  </si>
  <si>
    <t>100027</t>
  </si>
  <si>
    <t>Bondes F (Extranjeros)</t>
  </si>
  <si>
    <t>100026</t>
  </si>
  <si>
    <t>Udibonos (Extranjeros)</t>
  </si>
  <si>
    <t>100025</t>
  </si>
  <si>
    <t>Cetes (Extranjeros)</t>
  </si>
  <si>
    <t>100024</t>
  </si>
  <si>
    <t>Bonos (Extranjeros)</t>
  </si>
  <si>
    <t>100023</t>
  </si>
  <si>
    <t>Valores Adquiridos por Banxico</t>
  </si>
  <si>
    <t>100022</t>
  </si>
  <si>
    <t>Garantías Recibidas por Banxico</t>
  </si>
  <si>
    <t>100021</t>
  </si>
  <si>
    <t>Reportos con Banxico</t>
  </si>
  <si>
    <t>100020</t>
  </si>
  <si>
    <t>Aseguradoras y Afianzadoras</t>
  </si>
  <si>
    <t>100019</t>
  </si>
  <si>
    <t>Sector Bancario</t>
  </si>
  <si>
    <t>100018</t>
  </si>
  <si>
    <t>Residentes en el Extranjero</t>
  </si>
  <si>
    <t>100017</t>
  </si>
  <si>
    <t>Sociedades de Inversión</t>
  </si>
  <si>
    <t>100016</t>
  </si>
  <si>
    <t>Otros Residentes en el País</t>
  </si>
  <si>
    <t>100015</t>
  </si>
  <si>
    <t>Siefores</t>
  </si>
  <si>
    <t>100014</t>
  </si>
  <si>
    <t>Bondes D</t>
  </si>
  <si>
    <t>100013</t>
  </si>
  <si>
    <t>Cetes</t>
  </si>
  <si>
    <t>100012</t>
  </si>
  <si>
    <t>Bondes F</t>
  </si>
  <si>
    <t>100011</t>
  </si>
  <si>
    <t>Udibonos</t>
  </si>
  <si>
    <t>100010</t>
  </si>
  <si>
    <t>Bonos</t>
  </si>
  <si>
    <t>100009</t>
  </si>
  <si>
    <t>Valores Gubernamentales</t>
  </si>
  <si>
    <t>100008</t>
  </si>
  <si>
    <t>Tipo de Cambio al Cierre de Jornada</t>
  </si>
  <si>
    <t>100007</t>
  </si>
  <si>
    <t>Confianza del consumidor</t>
  </si>
  <si>
    <t>100006</t>
  </si>
  <si>
    <t>Confianza al sector empresarial</t>
  </si>
  <si>
    <t>100005</t>
  </si>
  <si>
    <t>Quincena Inflación</t>
  </si>
  <si>
    <t>100004</t>
  </si>
  <si>
    <t>Inflación (Quincenal/Mensual)*</t>
  </si>
  <si>
    <t>Mes año Tasa Objetivo</t>
  </si>
  <si>
    <t>100002</t>
  </si>
  <si>
    <t>Tasa Objetivo</t>
  </si>
  <si>
    <t>100001</t>
  </si>
  <si>
    <t>IGAE</t>
  </si>
  <si>
    <t>100000</t>
  </si>
  <si>
    <t>Bajo</t>
  </si>
  <si>
    <t>Medio</t>
  </si>
  <si>
    <t>Muy Alto</t>
  </si>
  <si>
    <t>Muy Bajo</t>
  </si>
  <si>
    <t>Riesgo del NPS Banregio en relación al Riesgo Reputacional</t>
  </si>
  <si>
    <t>Prevención de Lavado de Dinero</t>
  </si>
  <si>
    <t>70015</t>
  </si>
  <si>
    <t>Código de Conducta Institucional</t>
  </si>
  <si>
    <t>70014</t>
  </si>
  <si>
    <t>Capacitación</t>
  </si>
  <si>
    <t>70013</t>
  </si>
  <si>
    <t>Divulgación de Información</t>
  </si>
  <si>
    <t>70012</t>
  </si>
  <si>
    <t>Experiencia del usuario</t>
  </si>
  <si>
    <t>70011</t>
  </si>
  <si>
    <t>Riesgo de Reputación</t>
  </si>
  <si>
    <t>70010</t>
  </si>
  <si>
    <t>Calidad del Consejo de Administración</t>
  </si>
  <si>
    <t>70009</t>
  </si>
  <si>
    <t>Grado de Independencia del Consejo</t>
  </si>
  <si>
    <t>70008</t>
  </si>
  <si>
    <t>Perspectivas Actuales y Prospectivas</t>
  </si>
  <si>
    <t>70007</t>
  </si>
  <si>
    <t>Riesgo Estratégico</t>
  </si>
  <si>
    <t>70006</t>
  </si>
  <si>
    <t>Sistema Financiero Internacional</t>
  </si>
  <si>
    <t>70005</t>
  </si>
  <si>
    <t>Situación Económica del Hogar próximos 12 meses</t>
  </si>
  <si>
    <t>70004</t>
  </si>
  <si>
    <t>Alto</t>
  </si>
  <si>
    <t>Clima de Negocios próximos 6 meses</t>
  </si>
  <si>
    <t>70003</t>
  </si>
  <si>
    <t>Calificaciones  Créditicias</t>
  </si>
  <si>
    <t>70002</t>
  </si>
  <si>
    <t>Riesgo de Negocio</t>
  </si>
  <si>
    <t>70001</t>
  </si>
  <si>
    <t>Impacto Cualitativo total para riesgos no cuantificables</t>
  </si>
  <si>
    <t>70000</t>
  </si>
  <si>
    <t>-</t>
  </si>
  <si>
    <t>Tasa Mayor a 1 año/menor a 2 años</t>
  </si>
  <si>
    <t>Tasa Mayor a 6 meses/ menor a 1 año</t>
  </si>
  <si>
    <t>Tasa Menor a 6 meses</t>
  </si>
  <si>
    <t>Tasa Portafolio Total</t>
  </si>
  <si>
    <t>30036</t>
  </si>
  <si>
    <t>Reserva PCE</t>
  </si>
  <si>
    <t>30035</t>
  </si>
  <si>
    <t>Sensibilidad de Mercado (100pts)</t>
  </si>
  <si>
    <t>30034</t>
  </si>
  <si>
    <t>VaR de Liquidez</t>
  </si>
  <si>
    <t>30033</t>
  </si>
  <si>
    <t>VaR vs Límite</t>
  </si>
  <si>
    <t>30032</t>
  </si>
  <si>
    <t>30031</t>
  </si>
  <si>
    <t>30030</t>
  </si>
  <si>
    <t>Plazo (Max)</t>
  </si>
  <si>
    <t>30029</t>
  </si>
  <si>
    <t>Vencimiento 2 años</t>
  </si>
  <si>
    <t>30028</t>
  </si>
  <si>
    <t>Vencimiento 1 año</t>
  </si>
  <si>
    <t>30027</t>
  </si>
  <si>
    <t>Vencimiento 9 meses</t>
  </si>
  <si>
    <t>30026</t>
  </si>
  <si>
    <t>Vencimiento 6 meses</t>
  </si>
  <si>
    <t>30025</t>
  </si>
  <si>
    <t>Vencimiento 3 meses</t>
  </si>
  <si>
    <t>30024</t>
  </si>
  <si>
    <t>Vencimiento 2 meses</t>
  </si>
  <si>
    <t>30023</t>
  </si>
  <si>
    <t>Vencimiento 1 mes</t>
  </si>
  <si>
    <t>30022</t>
  </si>
  <si>
    <t>Tasa Variable</t>
  </si>
  <si>
    <t>30021</t>
  </si>
  <si>
    <t>Tasa Fija</t>
  </si>
  <si>
    <t>30020</t>
  </si>
  <si>
    <t>Gubernamentales</t>
  </si>
  <si>
    <t>30019</t>
  </si>
  <si>
    <t>30018</t>
  </si>
  <si>
    <t>30017</t>
  </si>
  <si>
    <t>Fecha valor</t>
  </si>
  <si>
    <t>30016</t>
  </si>
  <si>
    <t>Activo Liquido</t>
  </si>
  <si>
    <t>30015</t>
  </si>
  <si>
    <t>Institucional</t>
  </si>
  <si>
    <t>30014</t>
  </si>
  <si>
    <t>Tradicional</t>
  </si>
  <si>
    <t>30013</t>
  </si>
  <si>
    <t>Valuación</t>
  </si>
  <si>
    <t>30012</t>
  </si>
  <si>
    <t>No Asignado</t>
  </si>
  <si>
    <t>30011</t>
  </si>
  <si>
    <t>Asignado</t>
  </si>
  <si>
    <t>30010</t>
  </si>
  <si>
    <t>Cobrar Principal e Interés</t>
  </si>
  <si>
    <t>30009</t>
  </si>
  <si>
    <t>30008</t>
  </si>
  <si>
    <t>30007</t>
  </si>
  <si>
    <t>30006</t>
  </si>
  <si>
    <t>Cobrar o Vender</t>
  </si>
  <si>
    <t>30005</t>
  </si>
  <si>
    <t>30004</t>
  </si>
  <si>
    <t>30003</t>
  </si>
  <si>
    <t>30002</t>
  </si>
  <si>
    <t>Negociables</t>
  </si>
  <si>
    <t>30001</t>
  </si>
  <si>
    <t>VECTOR</t>
  </si>
  <si>
    <t>INVEX</t>
  </si>
  <si>
    <t>BSCTIA</t>
  </si>
  <si>
    <t>VE POR MAS</t>
  </si>
  <si>
    <t>RESERVAS OPERATIVAS</t>
  </si>
  <si>
    <t>NAFIN</t>
  </si>
  <si>
    <t>JP MORGAN</t>
  </si>
  <si>
    <t>INBURSA</t>
  </si>
  <si>
    <t>GBM</t>
  </si>
  <si>
    <t>FONDOS ACTINVER</t>
  </si>
  <si>
    <t>CIBANCO</t>
  </si>
  <si>
    <t>BMIFEL</t>
  </si>
  <si>
    <t>BINVEX</t>
  </si>
  <si>
    <t>BBASE</t>
  </si>
  <si>
    <t>BBAJIO</t>
  </si>
  <si>
    <t>BANSEFI</t>
  </si>
  <si>
    <t>BANSAN</t>
  </si>
  <si>
    <t>BANORTE</t>
  </si>
  <si>
    <t>BANOBRA</t>
  </si>
  <si>
    <t>BACOMER</t>
  </si>
  <si>
    <t>BACMEXT</t>
  </si>
  <si>
    <t>ARKA</t>
  </si>
  <si>
    <t>BONDESF SOBRETASA MENOS 1</t>
  </si>
  <si>
    <t>3009300500</t>
  </si>
  <si>
    <t>BONDESF SOBRETASA MAS 1</t>
  </si>
  <si>
    <t>3009300400</t>
  </si>
  <si>
    <t>BCA DESARROLLO SOBRETASA MENOS 1</t>
  </si>
  <si>
    <t>3010300500</t>
  </si>
  <si>
    <t>BCA DESARROLLO SOBRETASA MAS 1</t>
  </si>
  <si>
    <t>3010300400</t>
  </si>
  <si>
    <t>PAGARE BANCARIO TASA MENOS 1</t>
  </si>
  <si>
    <t>3010500300</t>
  </si>
  <si>
    <t>BONOS TASA FIJA TASA MENOS 1</t>
  </si>
  <si>
    <t>3010400000</t>
  </si>
  <si>
    <t>CETES TASA MENOS 1</t>
  </si>
  <si>
    <t>3009400300</t>
  </si>
  <si>
    <t>BONDESF TASA MENOS 1</t>
  </si>
  <si>
    <t>3009300300</t>
  </si>
  <si>
    <t>BCA DESARROLLO TASA MENOS 1</t>
  </si>
  <si>
    <t>3010300300</t>
  </si>
  <si>
    <t>PAGARE BANCARIO TASA MAS 1</t>
  </si>
  <si>
    <t>3010500200</t>
  </si>
  <si>
    <t>BONOS TASA FIJA TASA MAS 1</t>
  </si>
  <si>
    <t>CETES TASA MAS 1</t>
  </si>
  <si>
    <t>3009400200</t>
  </si>
  <si>
    <t>BONDESF TASA MAS 1</t>
  </si>
  <si>
    <t>3009300200</t>
  </si>
  <si>
    <t>BCA DESARROLLO TASA MAS 1</t>
  </si>
  <si>
    <t>3010300200</t>
  </si>
  <si>
    <t>PAGARE BANCARIO VALOR X TITULO</t>
  </si>
  <si>
    <t>3010500100</t>
  </si>
  <si>
    <t>BONOS TASA FIJA VALOR X TITULO</t>
  </si>
  <si>
    <t>CETES VALOR X TITULO</t>
  </si>
  <si>
    <t>3009400100</t>
  </si>
  <si>
    <t>BONDESF VALOR X TITULO</t>
  </si>
  <si>
    <t>3009300100</t>
  </si>
  <si>
    <t>BCA DESARROLLO VALOR X TITULO</t>
  </si>
  <si>
    <t>3010300100</t>
  </si>
  <si>
    <t>NAFR VALOR CONTABLE</t>
  </si>
  <si>
    <t>3010200000</t>
  </si>
  <si>
    <t>M VALOR CONTABLE</t>
  </si>
  <si>
    <t>3010100000</t>
  </si>
  <si>
    <t>INAFIN VALOR CONTABLE</t>
  </si>
  <si>
    <t>3010000000</t>
  </si>
  <si>
    <t>IBMORGAN VALOR CONTABLE</t>
  </si>
  <si>
    <t>3009900000</t>
  </si>
  <si>
    <t>IBANOBRA VALOR CONTABLE</t>
  </si>
  <si>
    <t>3009800000</t>
  </si>
  <si>
    <t>IBAINVEX VALOR CONTABLE</t>
  </si>
  <si>
    <t>3009700000</t>
  </si>
  <si>
    <t>IBACMEXT VALOR CONTABLE</t>
  </si>
  <si>
    <t>3009600000</t>
  </si>
  <si>
    <t>FONDO VALOR CONTABLE</t>
  </si>
  <si>
    <t>3009500000</t>
  </si>
  <si>
    <t>CETES VALOR CONTABLE</t>
  </si>
  <si>
    <t>3009400000</t>
  </si>
  <si>
    <t>BONDESF VALOR CONTABLE</t>
  </si>
  <si>
    <t>3009300000</t>
  </si>
  <si>
    <t>BANOBRA VALOR CONTABLE</t>
  </si>
  <si>
    <t>3009200000</t>
  </si>
  <si>
    <t>Cobertura Cartera Hipotecaria</t>
  </si>
  <si>
    <t>Protección de Gastos USD</t>
  </si>
  <si>
    <t>Protección de Gastos Valorizado USD</t>
  </si>
  <si>
    <t>VaR/Límite (%)</t>
  </si>
  <si>
    <t>Tasa</t>
  </si>
  <si>
    <t>Plazo (días)</t>
  </si>
  <si>
    <t>Fondeo USD</t>
  </si>
  <si>
    <t>Fondeo USD Valorizado</t>
  </si>
  <si>
    <t>3104200002</t>
  </si>
  <si>
    <t>Empresarial</t>
  </si>
  <si>
    <t>Cobertura</t>
  </si>
  <si>
    <t>Swaps USD Valorizado</t>
  </si>
  <si>
    <t>Swaps USD</t>
  </si>
  <si>
    <t>3103200002</t>
  </si>
  <si>
    <t>Opciones MXN</t>
  </si>
  <si>
    <t>Swaps MXN</t>
  </si>
  <si>
    <t>Cartera Tasa Variable a cubrir USD</t>
  </si>
  <si>
    <t>Cartera Tasa Variable a cubrir MXN</t>
  </si>
  <si>
    <t>Cartera Tasa Variable a cubrir</t>
  </si>
  <si>
    <t>3102800000</t>
  </si>
  <si>
    <t>3102700000</t>
  </si>
  <si>
    <t>3102600000</t>
  </si>
  <si>
    <t>Tasa usd (%)</t>
  </si>
  <si>
    <t>Tasa mxn (%)</t>
  </si>
  <si>
    <t>Contrapartes USD Valorizado</t>
  </si>
  <si>
    <t>Contrapartes USD</t>
  </si>
  <si>
    <t>3101400002</t>
  </si>
  <si>
    <t>Clientes USD Valorizado</t>
  </si>
  <si>
    <t>Clientes USD</t>
  </si>
  <si>
    <t>Clientes MXN</t>
  </si>
  <si>
    <t>Contrapartes MXN</t>
  </si>
  <si>
    <t>3100100001</t>
  </si>
  <si>
    <t>Intermediación - Clientes</t>
  </si>
  <si>
    <t>3100000000</t>
  </si>
  <si>
    <t>CREDIT SUISSE LLAMADA MARGEN</t>
  </si>
  <si>
    <t>3113800200</t>
  </si>
  <si>
    <t>UBS AG LLAMADA MARGEN</t>
  </si>
  <si>
    <t>3113700200</t>
  </si>
  <si>
    <t>BANK MORGAN STANLEY LLAMADA MARGEN</t>
  </si>
  <si>
    <t>3113600200</t>
  </si>
  <si>
    <t>JP MORGAN NY LLAMADA MARGEN</t>
  </si>
  <si>
    <t>3113500200</t>
  </si>
  <si>
    <t>BNP PARIBAS LLAMADA MARGEN</t>
  </si>
  <si>
    <t>3113400200</t>
  </si>
  <si>
    <t>SANTANDER LLAMADA MARGEN</t>
  </si>
  <si>
    <t>3113300200</t>
  </si>
  <si>
    <t>SCOTIABANK INVERLAT LLAMADA MARGEN</t>
  </si>
  <si>
    <t>3113200200</t>
  </si>
  <si>
    <t>BANK OF AMERICA MÉXICO LLAMADA MARGEN</t>
  </si>
  <si>
    <t>3113100200</t>
  </si>
  <si>
    <t>BANAMEX LLAMADA MARGEN</t>
  </si>
  <si>
    <t>3113000200</t>
  </si>
  <si>
    <t>BBVA MÉXICO LLAMADA MARGEN</t>
  </si>
  <si>
    <t>3112900200</t>
  </si>
  <si>
    <t>GOLDMAN SACHS LLAMADA MARGEN</t>
  </si>
  <si>
    <t>3112800200</t>
  </si>
  <si>
    <t>CREDIT SUISSE VALUACION</t>
  </si>
  <si>
    <t>3113800100</t>
  </si>
  <si>
    <t>UBS AG VALUACION</t>
  </si>
  <si>
    <t>3113700100</t>
  </si>
  <si>
    <t>BANK MORGAN STANLEY VALUACION</t>
  </si>
  <si>
    <t>3113600100</t>
  </si>
  <si>
    <t>JP MORGAN NY VALUACION</t>
  </si>
  <si>
    <t>3113500100</t>
  </si>
  <si>
    <t>BNP PARIBAS VALUACION</t>
  </si>
  <si>
    <t>3113400100</t>
  </si>
  <si>
    <t>SANTANDER VALUACION</t>
  </si>
  <si>
    <t>3113300100</t>
  </si>
  <si>
    <t>SCOTIABANK INVERLAT VALUACION</t>
  </si>
  <si>
    <t>3113200100</t>
  </si>
  <si>
    <t>BANK OF AMERICA MÉXICO VALUACION</t>
  </si>
  <si>
    <t>3113100100</t>
  </si>
  <si>
    <t>BANAMEX VALUACION</t>
  </si>
  <si>
    <t>3113000100</t>
  </si>
  <si>
    <t>BBVA MÉXICO VALUACION</t>
  </si>
  <si>
    <t>3112900100</t>
  </si>
  <si>
    <t>GOLDMAN SACHS VALUACION</t>
  </si>
  <si>
    <t>3112800100</t>
  </si>
  <si>
    <t>CREDIT SUISSE NOCIONAL</t>
  </si>
  <si>
    <t>3113800000</t>
  </si>
  <si>
    <t>UBS AG NOCIONAL</t>
  </si>
  <si>
    <t>3113700000</t>
  </si>
  <si>
    <t>BANK MORGAN STANLEY NOCIONAL</t>
  </si>
  <si>
    <t>3113600000</t>
  </si>
  <si>
    <t>JP MORGAN NY NOCIONAL</t>
  </si>
  <si>
    <t>3113500000</t>
  </si>
  <si>
    <t>BNP PARIBAS NOCIONAL</t>
  </si>
  <si>
    <t>3113400000</t>
  </si>
  <si>
    <t>SANTANDER NOCIONAL</t>
  </si>
  <si>
    <t>3113300000</t>
  </si>
  <si>
    <t>SCOTIABANK INVERLAT NOCIONAL</t>
  </si>
  <si>
    <t>3113200000</t>
  </si>
  <si>
    <t>BANK OF AMERICA MÉXICO NOCIONAL</t>
  </si>
  <si>
    <t>3113100000</t>
  </si>
  <si>
    <t>BANAMEX NOCIONAL</t>
  </si>
  <si>
    <t>3113000000</t>
  </si>
  <si>
    <t>BBVA MÉXICO NOCIONAL</t>
  </si>
  <si>
    <t>3112900000</t>
  </si>
  <si>
    <t>GOLDMAN SACHS NOCIONAL</t>
  </si>
  <si>
    <t>3112800000</t>
  </si>
  <si>
    <t>Dummy</t>
  </si>
  <si>
    <t xml:space="preserve">Dummy </t>
  </si>
  <si>
    <t>35000</t>
  </si>
  <si>
    <t>VaR Promedio Banregio</t>
  </si>
  <si>
    <t>35001</t>
  </si>
  <si>
    <t>VaR Promedio Mesa de Dinero</t>
  </si>
  <si>
    <t>35002</t>
  </si>
  <si>
    <t>VaR Promedio Metales</t>
  </si>
  <si>
    <t>35003</t>
  </si>
  <si>
    <t>VaR Promedio Mesa de Derivados</t>
  </si>
  <si>
    <t>35004</t>
  </si>
  <si>
    <t>VaR Promedio Cambios</t>
  </si>
  <si>
    <t>35005</t>
  </si>
  <si>
    <t>Consumo Promedio Banregio</t>
  </si>
  <si>
    <t>35006</t>
  </si>
  <si>
    <t>Consumo Promedio Mesa de Dinero</t>
  </si>
  <si>
    <t>35007</t>
  </si>
  <si>
    <t>Consumo Promedio Metales</t>
  </si>
  <si>
    <t>35008</t>
  </si>
  <si>
    <t>Consumo Promedio Mesa de Derivados</t>
  </si>
  <si>
    <t>35009</t>
  </si>
  <si>
    <t>Consumo Promedio Cambios</t>
  </si>
  <si>
    <t>34000</t>
  </si>
  <si>
    <t>COVID 2019 DIARIO</t>
  </si>
  <si>
    <t>34001</t>
  </si>
  <si>
    <t>COVID 2019 LIQUIDEZ</t>
  </si>
  <si>
    <t>34002</t>
  </si>
  <si>
    <t>ELECCIONES EEUU 2016 DIARIO</t>
  </si>
  <si>
    <t>34003</t>
  </si>
  <si>
    <t>ELECCIONES EEUU 2016 LIQUIDEZ</t>
  </si>
  <si>
    <t>34004</t>
  </si>
  <si>
    <t>CRISIS 2008 DIARIO</t>
  </si>
  <si>
    <t>34005</t>
  </si>
  <si>
    <t>CRISIS 2008 LIQUIDEZ</t>
  </si>
  <si>
    <t>34006</t>
  </si>
  <si>
    <t>EE.UU. SEP 2001 DIARIO</t>
  </si>
  <si>
    <t>34007</t>
  </si>
  <si>
    <t>EE.UU. SEP 2001 LIQUIDEZ</t>
  </si>
  <si>
    <t>34008</t>
  </si>
  <si>
    <t>Pérdida Esperada</t>
  </si>
  <si>
    <t>34009</t>
  </si>
  <si>
    <t>Pérdida No Esperada</t>
  </si>
  <si>
    <t>34010</t>
  </si>
  <si>
    <t>Exposición Positiva Esperada 1 Año</t>
  </si>
  <si>
    <t>34011</t>
  </si>
  <si>
    <t>Exposición Positiva Esperada Vencimiento</t>
  </si>
  <si>
    <t>34012</t>
  </si>
  <si>
    <t>Correlación Adversa</t>
  </si>
  <si>
    <t>34013</t>
  </si>
  <si>
    <t>Pérdida por Reemplazo Portafolio Total</t>
  </si>
  <si>
    <t>34014</t>
  </si>
  <si>
    <t>Pérdida Esperada por Remplazo Portafolio menor a 1 año</t>
  </si>
  <si>
    <t>IRS TIIE 28 NOCIONAL</t>
  </si>
  <si>
    <t>IRS TIIE 28 Compra - Contraparte</t>
  </si>
  <si>
    <t>IRS TIIE 28 Compra - Cliente</t>
  </si>
  <si>
    <t>IRS TIIE 28 Venta - Contraparte</t>
  </si>
  <si>
    <t>IRS TIIE 28 Venta - Cliente</t>
  </si>
  <si>
    <t>IRS TIIE 28 Cerrada - Contraparte</t>
  </si>
  <si>
    <t>Amortizable NOCIONAL</t>
  </si>
  <si>
    <t>Creciente/Decreciente NOCIONAL</t>
  </si>
  <si>
    <t>Bullet NOCIONAL</t>
  </si>
  <si>
    <t>IRS TIIE F (Amortizable) NOCIONAL</t>
  </si>
  <si>
    <t>IRS TIIE F Compra - Contraparte</t>
  </si>
  <si>
    <t>IRS TIIE F Compra - Cliente</t>
  </si>
  <si>
    <t>IRS TIIE F Venta - Contraparte</t>
  </si>
  <si>
    <t>IRS TIIE F Venta - Cliente</t>
  </si>
  <si>
    <t>IRS TIIE F Cerrada - Contraparte</t>
  </si>
  <si>
    <t>FSS TIIE 28 NOCIONAL</t>
  </si>
  <si>
    <t>FSS TIIE 28 Compra - Contraparte</t>
  </si>
  <si>
    <t>FSS TIIE 28 Compra - Cliente</t>
  </si>
  <si>
    <t>FSS TIIE 28 Venta - Contraparte</t>
  </si>
  <si>
    <t>FSS TIIE 28 Venta - Cliente</t>
  </si>
  <si>
    <t>FSS TIIE 28 Cerrada - Contraparte</t>
  </si>
  <si>
    <t>Opciones NOCIONAL</t>
  </si>
  <si>
    <t>Opciones Compra - Contraparte</t>
  </si>
  <si>
    <t>Opciones Compra - Cliente</t>
  </si>
  <si>
    <t>Opciones Venta - Contraparte</t>
  </si>
  <si>
    <t>Opciones Venta - Cliente</t>
  </si>
  <si>
    <t>Opciones Cerrada - Contraparte</t>
  </si>
  <si>
    <t>IRS SOFR  Valorizado USD NOCIONAL</t>
  </si>
  <si>
    <t>IRS SOFR ON NOCIONAL</t>
  </si>
  <si>
    <t>IRS SOFR Compra - Contraparte</t>
  </si>
  <si>
    <t>IRS SOFR Compra - Cliente</t>
  </si>
  <si>
    <t>IRS SOFR Venta - Contraparte</t>
  </si>
  <si>
    <t>IRS SOFR Venta - Cliente</t>
  </si>
  <si>
    <t>IRS SOFR Cerrada - Contraparte</t>
  </si>
  <si>
    <t>IRS Libor 30 Valorizado USD NOCIONAL</t>
  </si>
  <si>
    <t>IRS Libor 30 NOCIONAL</t>
  </si>
  <si>
    <t>IRS Libor 30 Compra - Contraparte</t>
  </si>
  <si>
    <t>IRS Libor 30 Compra - Cliente</t>
  </si>
  <si>
    <t>IRS Libor 30 Venta - Contraparte</t>
  </si>
  <si>
    <t>IRS Libor 30 Venta - Cliente</t>
  </si>
  <si>
    <t>IRS Libor 30 Cerrada - Contraparte</t>
  </si>
  <si>
    <t>Forward Valorizado USD NOCIONAL</t>
  </si>
  <si>
    <t>Forward NOCIONAL</t>
  </si>
  <si>
    <t>Forward Compra - Contraparte</t>
  </si>
  <si>
    <t>Forward Compra - Cliente</t>
  </si>
  <si>
    <t>Forward Venta - Contraparte</t>
  </si>
  <si>
    <t>Forward Venta - Cliente</t>
  </si>
  <si>
    <t>Forward Cerrada - Contraparte</t>
  </si>
  <si>
    <t>Opciones FX Valorizado USD NOCIONAL</t>
  </si>
  <si>
    <t>Opciones FX NOCIONAL</t>
  </si>
  <si>
    <t>Opciones FX Compra - Contraparte</t>
  </si>
  <si>
    <t>Opciones FX Compra - Cliente</t>
  </si>
  <si>
    <t>Opciones FX Venta - Contraparte</t>
  </si>
  <si>
    <t>Opciones FX Venta - Cliente</t>
  </si>
  <si>
    <t>Opciones FX Cerrada - Contraparte</t>
  </si>
  <si>
    <t>Valuación IRS Intermediación - Contraparte</t>
  </si>
  <si>
    <t>Valuación IRS Intermediación - Cliente</t>
  </si>
  <si>
    <t>Valuación FSS Intermediación - Contraparte</t>
  </si>
  <si>
    <t>Valuación FSS Intermediación - Cliente</t>
  </si>
  <si>
    <t>Valuación Opciones Tasa Intermediación - Contraparte</t>
  </si>
  <si>
    <t>Valuación Opciones Tasa Intermediación - Cliente</t>
  </si>
  <si>
    <t>Valuación Opciones Tipo de Cambio Intermediación - Contraparte</t>
  </si>
  <si>
    <t>Valuación Opciones Tipo de Cambio Intermediación - Cliente</t>
  </si>
  <si>
    <t>Valuación Forward Intermediación - Contraparte</t>
  </si>
  <si>
    <t>Valuación Forward Intermediación - Cliente</t>
  </si>
  <si>
    <t>IRS TIIE 28 ORIGINACION</t>
  </si>
  <si>
    <t>Amortizable ORIGINACION</t>
  </si>
  <si>
    <t>Bullet ORIGINACION</t>
  </si>
  <si>
    <t>Creciente/Decreciente ORIGINACION</t>
  </si>
  <si>
    <t>IRS TIIE F (Amortizable) ORIGINACION</t>
  </si>
  <si>
    <t>FSS TIIE 28 ORIGINACION</t>
  </si>
  <si>
    <t>Opciones ORIGINACION</t>
  </si>
  <si>
    <t>IRS SOFR  Valorizado USD ORIGINACION</t>
  </si>
  <si>
    <t>IRS SOFR ON ORIGINACION</t>
  </si>
  <si>
    <t>IRS Libor 30 Valorizado USD ORIGINACION</t>
  </si>
  <si>
    <t>IRS Libor 30 ORIGINACION</t>
  </si>
  <si>
    <t>Forward Valorizado USD ORIGINACION</t>
  </si>
  <si>
    <t>Forward ORIGINACION</t>
  </si>
  <si>
    <t>Opciones FX Valorizado USD ORIGINACION</t>
  </si>
  <si>
    <t>Opciones FX ORIGINACION</t>
  </si>
  <si>
    <t>Forward TASA MAS 1</t>
  </si>
  <si>
    <t>IRS Cobertura TASA MAS 1</t>
  </si>
  <si>
    <t>IRS TIIE TASA MAS 1</t>
  </si>
  <si>
    <t>IRS TIIE F (Amortizable) TASA MAS 1</t>
  </si>
  <si>
    <t>FSS TIIE 28 TASA MAS 1</t>
  </si>
  <si>
    <t>IRS SOFR ON  TASA MAS 1</t>
  </si>
  <si>
    <t>CCS FONDEO TASA MAS 1</t>
  </si>
  <si>
    <t>Opciones TASA MAS 1</t>
  </si>
  <si>
    <t>Forward TASA MENOS 1</t>
  </si>
  <si>
    <t>IRS Cobertura TASA MENOS 1</t>
  </si>
  <si>
    <t>IRS TIIE TASA MENOS 1</t>
  </si>
  <si>
    <t>IRS TIIE F (Amortizable) TASA MENOS 1</t>
  </si>
  <si>
    <t>FSS TIIE 28 TASA MENOS 1</t>
  </si>
  <si>
    <t>IRS SOFR ON  TASA MENOS 1</t>
  </si>
  <si>
    <t>CCS FONDEO TASA MENOS 1</t>
  </si>
  <si>
    <t>Opciones TASA MENOS 1</t>
  </si>
  <si>
    <t>Forwards TIPO CAMBIO MAS 1</t>
  </si>
  <si>
    <t>IRS SOFR ON TIPO CAMBIO MAS 1</t>
  </si>
  <si>
    <t>CCS FONDEO TIPO CAMBIO MAS 1</t>
  </si>
  <si>
    <t>Opciones FX TIPO CAMBIO MAS 1</t>
  </si>
  <si>
    <t>Forwards TIPO CAMBIO MENOS 1</t>
  </si>
  <si>
    <t>IRS SOFR ON TIPO CAMBIO MENOS 1</t>
  </si>
  <si>
    <t>CCS FONDEO TIPO CAMBIO MENOS 1</t>
  </si>
  <si>
    <t>Opciones FX TIPO CAMBIO MENOS 1</t>
  </si>
  <si>
    <t>Forward DV01 MAS 1</t>
  </si>
  <si>
    <t>IRS Cobertura DV01 MAS 1</t>
  </si>
  <si>
    <t>IRS TIIE DV01 MAS 1</t>
  </si>
  <si>
    <t>IRS TIIE F (Amortizable) DV01 MAS 1</t>
  </si>
  <si>
    <t>FSS TIIE 28 DV01 MAS 1</t>
  </si>
  <si>
    <t>IRS SOFR ON  DV01 MAS 1</t>
  </si>
  <si>
    <t>CCS FONDEO DV01 MAS 1</t>
  </si>
  <si>
    <t>Opciones DV01 MAS 1</t>
  </si>
  <si>
    <t>Forward DV01 MENOS 1</t>
  </si>
  <si>
    <t>IRS Cobertura DV01 MENOS 1</t>
  </si>
  <si>
    <t>IRS TIIE DV01 MENOS 1</t>
  </si>
  <si>
    <t>IRS TIIE F (Amortizable) DV01 MENOS 1</t>
  </si>
  <si>
    <t>FSS TIIE 28 DV01 MENOS 1</t>
  </si>
  <si>
    <t>IRS SOFR ON  DV01 MENOS 1</t>
  </si>
  <si>
    <t>CCS FONDEO DV01 MENOS 1</t>
  </si>
  <si>
    <t>Opciones DV01 MENOS 1</t>
  </si>
  <si>
    <t>3100300002</t>
  </si>
  <si>
    <t>3100500002</t>
  </si>
  <si>
    <t>3100700001</t>
  </si>
  <si>
    <t>3100800002</t>
  </si>
  <si>
    <t>3100900000</t>
  </si>
  <si>
    <t>3101000000</t>
  </si>
  <si>
    <t>3101100000</t>
  </si>
  <si>
    <t>3101200000</t>
  </si>
  <si>
    <t>3101300001</t>
  </si>
  <si>
    <t>3101500001</t>
  </si>
  <si>
    <t>3101600001</t>
  </si>
  <si>
    <t>3101800002</t>
  </si>
  <si>
    <t>3102000000</t>
  </si>
  <si>
    <t>3102100000</t>
  </si>
  <si>
    <t>3102200000</t>
  </si>
  <si>
    <t>3102300000</t>
  </si>
  <si>
    <t>3102400000</t>
  </si>
  <si>
    <t>3102500000</t>
  </si>
  <si>
    <t>3103100002</t>
  </si>
  <si>
    <t>3103300002</t>
  </si>
  <si>
    <t>3103400002</t>
  </si>
  <si>
    <t>3103500002</t>
  </si>
  <si>
    <t>3103800002</t>
  </si>
  <si>
    <t>3104000002</t>
  </si>
  <si>
    <t>3104100002</t>
  </si>
  <si>
    <t>Definitvo</t>
  </si>
  <si>
    <t>Cebures &lt;= 30 dias</t>
  </si>
  <si>
    <t>Cebures &gt; 30 dias</t>
  </si>
  <si>
    <t>VALMEX</t>
  </si>
  <si>
    <t>2050042010</t>
  </si>
  <si>
    <t>2050042030</t>
  </si>
  <si>
    <t>Monto_x_Tasa</t>
  </si>
  <si>
    <t>2050042040</t>
  </si>
  <si>
    <t>Tasa Ponderada</t>
  </si>
  <si>
    <t>2050142011</t>
  </si>
  <si>
    <t>Cartera MXN</t>
  </si>
  <si>
    <t>2050142031</t>
  </si>
  <si>
    <t>2050142041</t>
  </si>
  <si>
    <t>2050242012</t>
  </si>
  <si>
    <t>Cartera USD</t>
  </si>
  <si>
    <t>2050242032</t>
  </si>
  <si>
    <t>2050242042</t>
  </si>
  <si>
    <t>2050342010</t>
  </si>
  <si>
    <t>Auto</t>
  </si>
  <si>
    <t>2050342030</t>
  </si>
  <si>
    <t>2050342040</t>
  </si>
  <si>
    <t>2050442011</t>
  </si>
  <si>
    <t>Auto MXN</t>
  </si>
  <si>
    <t>2050442031</t>
  </si>
  <si>
    <t>2050442041</t>
  </si>
  <si>
    <t>2050542012</t>
  </si>
  <si>
    <t>Auto USD</t>
  </si>
  <si>
    <t>2050542032</t>
  </si>
  <si>
    <t>2050542042</t>
  </si>
  <si>
    <t>2050642010</t>
  </si>
  <si>
    <t>2050642030</t>
  </si>
  <si>
    <t>2050642040</t>
  </si>
  <si>
    <t>2050742011</t>
  </si>
  <si>
    <t>Comercial MXN</t>
  </si>
  <si>
    <t>2050742031</t>
  </si>
  <si>
    <t>2050742041</t>
  </si>
  <si>
    <t>2050842012</t>
  </si>
  <si>
    <t>Comercial USD</t>
  </si>
  <si>
    <t>2050842032</t>
  </si>
  <si>
    <t>2050842042</t>
  </si>
  <si>
    <t>2050942010</t>
  </si>
  <si>
    <t>2050942030</t>
  </si>
  <si>
    <t>2050942040</t>
  </si>
  <si>
    <t>2051042011</t>
  </si>
  <si>
    <t>Consumo MXN</t>
  </si>
  <si>
    <t>2051042031</t>
  </si>
  <si>
    <t>2051042041</t>
  </si>
  <si>
    <t>2051142012</t>
  </si>
  <si>
    <t>Consumo USD</t>
  </si>
  <si>
    <t>2051142032</t>
  </si>
  <si>
    <t>2051142042</t>
  </si>
  <si>
    <t>2051242010</t>
  </si>
  <si>
    <t>2051242030</t>
  </si>
  <si>
    <t>2051242040</t>
  </si>
  <si>
    <t>2051342011</t>
  </si>
  <si>
    <t>Hipotecario MXN</t>
  </si>
  <si>
    <t>2051342031</t>
  </si>
  <si>
    <t>2051342041</t>
  </si>
  <si>
    <t>2051442012</t>
  </si>
  <si>
    <t>Hipotecario USD</t>
  </si>
  <si>
    <t>2051442032</t>
  </si>
  <si>
    <t>2051442042</t>
  </si>
  <si>
    <t>2051542010</t>
  </si>
  <si>
    <t>2051542030</t>
  </si>
  <si>
    <t>2051542040</t>
  </si>
  <si>
    <t>2051642011</t>
  </si>
  <si>
    <t>Start MXN</t>
  </si>
  <si>
    <t>2051642031</t>
  </si>
  <si>
    <t>2051642041</t>
  </si>
  <si>
    <t>2051742012</t>
  </si>
  <si>
    <t>Start USD</t>
  </si>
  <si>
    <t>2051742032</t>
  </si>
  <si>
    <t>2051742042</t>
  </si>
  <si>
    <t>2051842010</t>
  </si>
  <si>
    <t>Variable</t>
  </si>
  <si>
    <t>2051842030</t>
  </si>
  <si>
    <t>2051842040</t>
  </si>
  <si>
    <t>2051942011</t>
  </si>
  <si>
    <t>Variable MXN</t>
  </si>
  <si>
    <t>2051942031</t>
  </si>
  <si>
    <t>2051942041</t>
  </si>
  <si>
    <t>2052042012</t>
  </si>
  <si>
    <t>Variable USD</t>
  </si>
  <si>
    <t>2052042032</t>
  </si>
  <si>
    <t>2052042042</t>
  </si>
  <si>
    <t>2052142010</t>
  </si>
  <si>
    <t>2052142030</t>
  </si>
  <si>
    <t>2052142040</t>
  </si>
  <si>
    <t>Inversiones Tasa Fija</t>
  </si>
  <si>
    <t>Inversiones Tasa Variable</t>
  </si>
  <si>
    <t>Acreedores Tasa Fija</t>
  </si>
  <si>
    <t>Acreedores Tasa Variable</t>
  </si>
  <si>
    <t>Interbancarios Tasa Fija</t>
  </si>
  <si>
    <t>Interbancarios Tasa Variable</t>
  </si>
  <si>
    <t>TDA</t>
  </si>
  <si>
    <t>TDA*</t>
  </si>
  <si>
    <t>emision</t>
  </si>
  <si>
    <t>mes</t>
  </si>
  <si>
    <t>plazo</t>
  </si>
  <si>
    <t>tipo_tasa</t>
  </si>
  <si>
    <t>clasificacion</t>
  </si>
  <si>
    <t>fecha_max</t>
  </si>
  <si>
    <t>saldo</t>
  </si>
  <si>
    <t>saldo_x_tasa</t>
  </si>
  <si>
    <t>tasa_pond</t>
  </si>
  <si>
    <t>2. Menor a 18 meses</t>
  </si>
  <si>
    <t>Fija</t>
  </si>
  <si>
    <t>1. Menor a 1 anio</t>
  </si>
  <si>
    <t>3. Mayor a 18 meses</t>
  </si>
  <si>
    <t>BI 251016</t>
  </si>
  <si>
    <t>BI 251030</t>
  </si>
  <si>
    <t>BI 251113</t>
  </si>
  <si>
    <t>BI 251211</t>
  </si>
  <si>
    <t>BI 251224</t>
  </si>
  <si>
    <t>BI 260108</t>
  </si>
  <si>
    <t>BI 260205</t>
  </si>
  <si>
    <t>BI 260219</t>
  </si>
  <si>
    <t>BI 260305</t>
  </si>
  <si>
    <t>BI 260416</t>
  </si>
  <si>
    <t>BI 260611</t>
  </si>
  <si>
    <t>BI 260806</t>
  </si>
  <si>
    <t>BI 261001</t>
  </si>
  <si>
    <t>BI 261126</t>
  </si>
  <si>
    <t>BI 270121</t>
  </si>
  <si>
    <t>BI 270318</t>
  </si>
  <si>
    <t>BONDESF 251204</t>
  </si>
  <si>
    <t>BONDESF 260604</t>
  </si>
  <si>
    <t>BONDESF 261001</t>
  </si>
  <si>
    <t>Banca Multiple</t>
  </si>
  <si>
    <t>IBAINVEX 260213</t>
  </si>
  <si>
    <t>IBAINVEX 260320</t>
  </si>
  <si>
    <t>NAFR 251121</t>
  </si>
  <si>
    <t>NAFR 260511</t>
  </si>
  <si>
    <t>Sin interés</t>
  </si>
  <si>
    <t>Con interés</t>
  </si>
  <si>
    <t xml:space="preserve">Morales Mayoristas </t>
  </si>
  <si>
    <t>Cartera Comercial</t>
  </si>
  <si>
    <t>Cartera Consumo</t>
  </si>
  <si>
    <t>Cartera Vivienda</t>
  </si>
  <si>
    <t>FWD Protección de Gastos NOCIONAL</t>
  </si>
  <si>
    <t>IRS COBERTURA NOCIONAL</t>
  </si>
  <si>
    <t>CCS FONDEO NOCIONAL</t>
  </si>
  <si>
    <t>28 días</t>
  </si>
  <si>
    <t>41000000000001</t>
  </si>
  <si>
    <t>41002000010011</t>
  </si>
  <si>
    <t>41004000010011</t>
  </si>
  <si>
    <t>41006000010011</t>
  </si>
  <si>
    <t>41006001020011</t>
  </si>
  <si>
    <t>41006001020021</t>
  </si>
  <si>
    <t>41006003030091</t>
  </si>
  <si>
    <t>41006003030101</t>
  </si>
  <si>
    <t>41008000010011</t>
  </si>
  <si>
    <t>41010000010011</t>
  </si>
  <si>
    <t>41012000010011</t>
  </si>
  <si>
    <t>41012001020011</t>
  </si>
  <si>
    <t>41012001020021</t>
  </si>
  <si>
    <t>41014000010011</t>
  </si>
  <si>
    <t>41016001040011</t>
  </si>
  <si>
    <t>41016001050011</t>
  </si>
  <si>
    <t>41016001070011</t>
  </si>
  <si>
    <t>41016001070021</t>
  </si>
  <si>
    <t>41016001070031</t>
  </si>
  <si>
    <t>41016001050021</t>
  </si>
  <si>
    <t>41016001050031</t>
  </si>
  <si>
    <t>41016005070231</t>
  </si>
  <si>
    <t>41016005070241</t>
  </si>
  <si>
    <t>41016005070251</t>
  </si>
  <si>
    <t>41016005070261</t>
  </si>
  <si>
    <t>41016005070271</t>
  </si>
  <si>
    <t>41016001040021</t>
  </si>
  <si>
    <t>41016002050041</t>
  </si>
  <si>
    <t>41016004060071</t>
  </si>
  <si>
    <t>41016004060081</t>
  </si>
  <si>
    <t>41016004060091</t>
  </si>
  <si>
    <t>41016002050051</t>
  </si>
  <si>
    <t>41016002050061</t>
  </si>
  <si>
    <t>41016006060181</t>
  </si>
  <si>
    <t>41016006060191</t>
  </si>
  <si>
    <t>41016006060201</t>
  </si>
  <si>
    <t>41016006060211</t>
  </si>
  <si>
    <t>41016006060221</t>
  </si>
  <si>
    <t>41016001040031</t>
  </si>
  <si>
    <t>41016003050071</t>
  </si>
  <si>
    <t>41016007060231</t>
  </si>
  <si>
    <t>41016007060241</t>
  </si>
  <si>
    <t>41016007060251</t>
  </si>
  <si>
    <t>41016003050081</t>
  </si>
  <si>
    <t>41016003050091</t>
  </si>
  <si>
    <t>41016009060341</t>
  </si>
  <si>
    <t>41016009060351</t>
  </si>
  <si>
    <t>41016009060361</t>
  </si>
  <si>
    <t>41016009060371</t>
  </si>
  <si>
    <t>41016009060381</t>
  </si>
  <si>
    <t>41016001040041</t>
  </si>
  <si>
    <t>41016001030011</t>
  </si>
  <si>
    <t>41016001030021</t>
  </si>
  <si>
    <t>41016001030031</t>
  </si>
  <si>
    <t>41016001020011</t>
  </si>
  <si>
    <t>41016001020032</t>
  </si>
  <si>
    <t>41016001020031</t>
  </si>
  <si>
    <t>41016000010011</t>
  </si>
  <si>
    <t>41018000010011</t>
  </si>
  <si>
    <t>41020000010011</t>
  </si>
  <si>
    <t>41326000010011</t>
  </si>
  <si>
    <t>41330000010011</t>
  </si>
  <si>
    <t>41032000010011</t>
  </si>
  <si>
    <t>41036000010011</t>
  </si>
  <si>
    <t>41338000010012</t>
  </si>
  <si>
    <t>41338000010011</t>
  </si>
  <si>
    <t>41340000010011</t>
  </si>
  <si>
    <t>41042000010011</t>
  </si>
  <si>
    <t>41044000010011</t>
  </si>
  <si>
    <t>41346000010011</t>
  </si>
  <si>
    <t>41348000010011</t>
  </si>
  <si>
    <t>41050000010011</t>
  </si>
  <si>
    <t>42000000000001</t>
  </si>
  <si>
    <t>42002000010011</t>
  </si>
  <si>
    <t>42002001020011</t>
  </si>
  <si>
    <t>42002001020021</t>
  </si>
  <si>
    <t>42002002030031</t>
  </si>
  <si>
    <t>42002002030041</t>
  </si>
  <si>
    <t>42002001020031</t>
  </si>
  <si>
    <t>42002001020041</t>
  </si>
  <si>
    <t>42006000010011</t>
  </si>
  <si>
    <t>42006001020011</t>
  </si>
  <si>
    <t>42006001020021</t>
  </si>
  <si>
    <t>42006001020031</t>
  </si>
  <si>
    <t>42014000010011</t>
  </si>
  <si>
    <t>42016000010011</t>
  </si>
  <si>
    <t>42018000010011</t>
  </si>
  <si>
    <t>42018001020011</t>
  </si>
  <si>
    <t>42018001020021</t>
  </si>
  <si>
    <t>42018001020031</t>
  </si>
  <si>
    <t>42018001020041</t>
  </si>
  <si>
    <t>42020000010011</t>
  </si>
  <si>
    <t>42020001020011</t>
  </si>
  <si>
    <t>42020001020021</t>
  </si>
  <si>
    <t>42022000010011</t>
  </si>
  <si>
    <t>42026000010011</t>
  </si>
  <si>
    <t>42028000010011</t>
  </si>
  <si>
    <t>42030000010011</t>
  </si>
  <si>
    <t>42030001020021</t>
  </si>
  <si>
    <t>42030001020031</t>
  </si>
  <si>
    <t>42030001020041</t>
  </si>
  <si>
    <t>42030001020051</t>
  </si>
  <si>
    <t>42030001020061</t>
  </si>
  <si>
    <t>42032000010011</t>
  </si>
  <si>
    <t>42036000010011</t>
  </si>
  <si>
    <t>42036001020011</t>
  </si>
  <si>
    <t>42036001020021</t>
  </si>
  <si>
    <t>42036001020031</t>
  </si>
  <si>
    <t>42038000010011</t>
  </si>
  <si>
    <t>42040000010011</t>
  </si>
  <si>
    <t>42042000010011</t>
  </si>
  <si>
    <t>42044000010011</t>
  </si>
  <si>
    <t>44000000000001</t>
  </si>
  <si>
    <t>44002001020011</t>
  </si>
  <si>
    <t>44002001030011</t>
  </si>
  <si>
    <t>44002001030041</t>
  </si>
  <si>
    <t>44002001030061</t>
  </si>
  <si>
    <t>44002001020021</t>
  </si>
  <si>
    <t>44002002030121</t>
  </si>
  <si>
    <t>44002014040031</t>
  </si>
  <si>
    <t>44302014040051</t>
  </si>
  <si>
    <t>44002015040061</t>
  </si>
  <si>
    <t>44002015040081</t>
  </si>
  <si>
    <t>44002015040121</t>
  </si>
  <si>
    <t>44002015040181</t>
  </si>
  <si>
    <t>44404000010011</t>
  </si>
  <si>
    <t>47000000000001</t>
  </si>
  <si>
    <t>47002000010011</t>
  </si>
  <si>
    <t>47002001020041</t>
  </si>
  <si>
    <t>47004000010011</t>
  </si>
  <si>
    <t>47004001020011</t>
  </si>
  <si>
    <t>47004001020031</t>
  </si>
  <si>
    <t>47004001020041</t>
  </si>
  <si>
    <t>47004001020051</t>
  </si>
  <si>
    <t>47004001020071</t>
  </si>
  <si>
    <t>47004001020081</t>
  </si>
  <si>
    <t>47004001020101</t>
  </si>
  <si>
    <t>47004001020194</t>
  </si>
  <si>
    <t>47004001020191</t>
  </si>
  <si>
    <t>47004001020195</t>
  </si>
  <si>
    <t>47004001020193</t>
  </si>
  <si>
    <t>47004001020192</t>
  </si>
  <si>
    <t>31000000000001</t>
  </si>
  <si>
    <t>31002000010011</t>
  </si>
  <si>
    <t>31004000010011</t>
  </si>
  <si>
    <t>31006000010011</t>
  </si>
  <si>
    <t>31006001020011</t>
  </si>
  <si>
    <t>31006001020021</t>
  </si>
  <si>
    <t>31006003030091</t>
  </si>
  <si>
    <t>31006003030101</t>
  </si>
  <si>
    <t>31010000010011</t>
  </si>
  <si>
    <t>31012000010011</t>
  </si>
  <si>
    <t>31014000010011</t>
  </si>
  <si>
    <t>31014001020011</t>
  </si>
  <si>
    <t>31014001020021</t>
  </si>
  <si>
    <t>31016000010011</t>
  </si>
  <si>
    <t>31018001040011</t>
  </si>
  <si>
    <t>31018001050011</t>
  </si>
  <si>
    <t>31018001070011</t>
  </si>
  <si>
    <t>31018001070021</t>
  </si>
  <si>
    <t>31018001070031</t>
  </si>
  <si>
    <t>31018001050021</t>
  </si>
  <si>
    <t>31018001050031</t>
  </si>
  <si>
    <t>31018005070231</t>
  </si>
  <si>
    <t>31018005070241</t>
  </si>
  <si>
    <t>31018005070251</t>
  </si>
  <si>
    <t>31018005070261</t>
  </si>
  <si>
    <t>31018005070271</t>
  </si>
  <si>
    <t>31018001040021</t>
  </si>
  <si>
    <t>31018002050051</t>
  </si>
  <si>
    <t>31018005060071</t>
  </si>
  <si>
    <t>31018005060081</t>
  </si>
  <si>
    <t>31018005060091</t>
  </si>
  <si>
    <t>31018002050061</t>
  </si>
  <si>
    <t>31018002050071</t>
  </si>
  <si>
    <t>31018007060181</t>
  </si>
  <si>
    <t>31018007060191</t>
  </si>
  <si>
    <t>31018007060201</t>
  </si>
  <si>
    <t>31018007060211</t>
  </si>
  <si>
    <t>31018007060221</t>
  </si>
  <si>
    <t>31018001040031</t>
  </si>
  <si>
    <t>31018003050081</t>
  </si>
  <si>
    <t>31018008060231</t>
  </si>
  <si>
    <t>31018008060241</t>
  </si>
  <si>
    <t>31018008060251</t>
  </si>
  <si>
    <t>31018003050091</t>
  </si>
  <si>
    <t>31018003050101</t>
  </si>
  <si>
    <t>31018010060341</t>
  </si>
  <si>
    <t>31018010060351</t>
  </si>
  <si>
    <t>31018010060361</t>
  </si>
  <si>
    <t>31018010060371</t>
  </si>
  <si>
    <t>31018010060381</t>
  </si>
  <si>
    <t>31018001040041</t>
  </si>
  <si>
    <t>31318001030011</t>
  </si>
  <si>
    <t>31318001030021</t>
  </si>
  <si>
    <t>31018001030031</t>
  </si>
  <si>
    <t>31318001020011</t>
  </si>
  <si>
    <t>31318001020021</t>
  </si>
  <si>
    <t>31318001020022</t>
  </si>
  <si>
    <t>31318000010011</t>
  </si>
  <si>
    <t>31020000010011</t>
  </si>
  <si>
    <t>31022000010011</t>
  </si>
  <si>
    <t>31324000010011</t>
  </si>
  <si>
    <t>31326000010011</t>
  </si>
  <si>
    <t>31028000010011</t>
  </si>
  <si>
    <t>31032000010011</t>
  </si>
  <si>
    <t>31334000010012</t>
  </si>
  <si>
    <t>31334000010011</t>
  </si>
  <si>
    <t>31336000010011</t>
  </si>
  <si>
    <t>31038000010011</t>
  </si>
  <si>
    <t>31040000010011</t>
  </si>
  <si>
    <t>31342000010011</t>
  </si>
  <si>
    <t>31344000010011</t>
  </si>
  <si>
    <t>31046000010011</t>
  </si>
  <si>
    <t>32000000000001</t>
  </si>
  <si>
    <t>32002000010011</t>
  </si>
  <si>
    <t>32002001020011</t>
  </si>
  <si>
    <t>32002001020021</t>
  </si>
  <si>
    <t>32002002030031</t>
  </si>
  <si>
    <t>32002002030041</t>
  </si>
  <si>
    <t>32002001020031</t>
  </si>
  <si>
    <t>32002001020041</t>
  </si>
  <si>
    <t>32004000010011</t>
  </si>
  <si>
    <t>32004001020011</t>
  </si>
  <si>
    <t>32004001020021</t>
  </si>
  <si>
    <t>32004001020031</t>
  </si>
  <si>
    <t>32008000010011</t>
  </si>
  <si>
    <t>32010000010011</t>
  </si>
  <si>
    <t>32012000010011</t>
  </si>
  <si>
    <t>32012001020011</t>
  </si>
  <si>
    <t>32012001020021</t>
  </si>
  <si>
    <t>32012001020031</t>
  </si>
  <si>
    <t>32012001020041</t>
  </si>
  <si>
    <t>32014000010011</t>
  </si>
  <si>
    <t>32014001020011</t>
  </si>
  <si>
    <t>32014001020021</t>
  </si>
  <si>
    <t>32016000010011</t>
  </si>
  <si>
    <t>32018000010011</t>
  </si>
  <si>
    <t>32020000010011</t>
  </si>
  <si>
    <t>32024000010011</t>
  </si>
  <si>
    <t>32024001020011</t>
  </si>
  <si>
    <t>32024001020021</t>
  </si>
  <si>
    <t>32024001020031</t>
  </si>
  <si>
    <t>32024001020041</t>
  </si>
  <si>
    <t>32024001020051</t>
  </si>
  <si>
    <t>32026000010011</t>
  </si>
  <si>
    <t>32030000010011</t>
  </si>
  <si>
    <t>32030001020011</t>
  </si>
  <si>
    <t>32030001020021</t>
  </si>
  <si>
    <t>32030001020031</t>
  </si>
  <si>
    <t>32032000010011</t>
  </si>
  <si>
    <t>32034000010011</t>
  </si>
  <si>
    <t>32036000010011</t>
  </si>
  <si>
    <t>32038000010011</t>
  </si>
  <si>
    <t>34000000000001</t>
  </si>
  <si>
    <t>34002001020011</t>
  </si>
  <si>
    <t>34002001030011</t>
  </si>
  <si>
    <t>34002001030061</t>
  </si>
  <si>
    <t>34002001020021</t>
  </si>
  <si>
    <t>34002002030101</t>
  </si>
  <si>
    <t>34002002030121</t>
  </si>
  <si>
    <t>34302012040051</t>
  </si>
  <si>
    <t>34002013040061</t>
  </si>
  <si>
    <t>34002013040081</t>
  </si>
  <si>
    <t>34002013040121</t>
  </si>
  <si>
    <t>34404000010011</t>
  </si>
  <si>
    <t>37000000000001</t>
  </si>
  <si>
    <t>37020000010011</t>
  </si>
  <si>
    <t>37002000010011</t>
  </si>
  <si>
    <t>37020000010016</t>
  </si>
  <si>
    <t>37020000010013</t>
  </si>
  <si>
    <t>37020000010012</t>
  </si>
  <si>
    <t>37020000010017</t>
  </si>
  <si>
    <t>37020000010015</t>
  </si>
  <si>
    <t>37020000010014</t>
  </si>
  <si>
    <t>37004000010011</t>
  </si>
  <si>
    <t>37006000010011</t>
  </si>
  <si>
    <t>37008000010011</t>
  </si>
  <si>
    <t>37008001020011</t>
  </si>
  <si>
    <t>37008001020021</t>
  </si>
  <si>
    <t>37012000010011</t>
  </si>
  <si>
    <t>37014000010011</t>
  </si>
  <si>
    <t>37016000010011</t>
  </si>
  <si>
    <t>37018000010011</t>
  </si>
  <si>
    <t>11000000000001</t>
  </si>
  <si>
    <t>11002000010011</t>
  </si>
  <si>
    <t>11004000010011</t>
  </si>
  <si>
    <t>11006000010011</t>
  </si>
  <si>
    <t>11006001020011</t>
  </si>
  <si>
    <t>11006001020021</t>
  </si>
  <si>
    <t>11006003030091</t>
  </si>
  <si>
    <t>11006003030101</t>
  </si>
  <si>
    <t>11010000010011</t>
  </si>
  <si>
    <t>11012000010011</t>
  </si>
  <si>
    <t>11014000010011</t>
  </si>
  <si>
    <t>11014001020011</t>
  </si>
  <si>
    <t>11014001020021</t>
  </si>
  <si>
    <t>11016000010011</t>
  </si>
  <si>
    <t>11018001040011</t>
  </si>
  <si>
    <t>11018001050011</t>
  </si>
  <si>
    <t>11018001070011</t>
  </si>
  <si>
    <t>11018001070021</t>
  </si>
  <si>
    <t>11018001070031</t>
  </si>
  <si>
    <t>11018001050021</t>
  </si>
  <si>
    <t>11018001050031</t>
  </si>
  <si>
    <t>11018005070231</t>
  </si>
  <si>
    <t>11018005070241</t>
  </si>
  <si>
    <t>11018005070251</t>
  </si>
  <si>
    <t>11018005070261</t>
  </si>
  <si>
    <t>11018005070271</t>
  </si>
  <si>
    <t>11018001040021</t>
  </si>
  <si>
    <t>11018002050051</t>
  </si>
  <si>
    <t>11018005060071</t>
  </si>
  <si>
    <t>11018005060081</t>
  </si>
  <si>
    <t>11018005060091</t>
  </si>
  <si>
    <t>11018002050061</t>
  </si>
  <si>
    <t>11018002050071</t>
  </si>
  <si>
    <t>11018007060181</t>
  </si>
  <si>
    <t>11018007060191</t>
  </si>
  <si>
    <t>11018007060201</t>
  </si>
  <si>
    <t>11018007060211</t>
  </si>
  <si>
    <t>11018007060221</t>
  </si>
  <si>
    <t>11018001040031</t>
  </si>
  <si>
    <t>11018003050081</t>
  </si>
  <si>
    <t>11018008060231</t>
  </si>
  <si>
    <t>11018008060241</t>
  </si>
  <si>
    <t>11018008060251</t>
  </si>
  <si>
    <t>11018003050091</t>
  </si>
  <si>
    <t>11018003050101</t>
  </si>
  <si>
    <t>11018010060341</t>
  </si>
  <si>
    <t>11018010060351</t>
  </si>
  <si>
    <t>11018010060361</t>
  </si>
  <si>
    <t>11018010060371</t>
  </si>
  <si>
    <t>11018010060381</t>
  </si>
  <si>
    <t>11018001040041</t>
  </si>
  <si>
    <t>11318001030011</t>
  </si>
  <si>
    <t>11318001030021</t>
  </si>
  <si>
    <t>11018001030031</t>
  </si>
  <si>
    <t>11318001020011</t>
  </si>
  <si>
    <t>11318001020021</t>
  </si>
  <si>
    <t>11318001020022</t>
  </si>
  <si>
    <t>11318000010011</t>
  </si>
  <si>
    <t>11020000010011</t>
  </si>
  <si>
    <t>11022000010011</t>
  </si>
  <si>
    <t>11324000010011</t>
  </si>
  <si>
    <t>11326000010011</t>
  </si>
  <si>
    <t>11028000010011</t>
  </si>
  <si>
    <t>11032000010011</t>
  </si>
  <si>
    <t>11334000010011</t>
  </si>
  <si>
    <t>11336000010011</t>
  </si>
  <si>
    <t>11038000010011</t>
  </si>
  <si>
    <t>11040000010011</t>
  </si>
  <si>
    <t>11342000010011</t>
  </si>
  <si>
    <t>11344000010011</t>
  </si>
  <si>
    <t>11046000010011</t>
  </si>
  <si>
    <t>12000000000001</t>
  </si>
  <si>
    <t>12002000010011</t>
  </si>
  <si>
    <t>12002001020011</t>
  </si>
  <si>
    <t>12002001020021</t>
  </si>
  <si>
    <t>12002002030031</t>
  </si>
  <si>
    <t>12002002030041</t>
  </si>
  <si>
    <t>12002001020031</t>
  </si>
  <si>
    <t>12002001020041</t>
  </si>
  <si>
    <t>12004000010011</t>
  </si>
  <si>
    <t>12004001020011</t>
  </si>
  <si>
    <t>12004001020021</t>
  </si>
  <si>
    <t>12004001020031</t>
  </si>
  <si>
    <t>12008000010011</t>
  </si>
  <si>
    <t>12010000010011</t>
  </si>
  <si>
    <t>12012000010011</t>
  </si>
  <si>
    <t>12012001020011</t>
  </si>
  <si>
    <t>12012001020021</t>
  </si>
  <si>
    <t>12012001020031</t>
  </si>
  <si>
    <t>12012001020041</t>
  </si>
  <si>
    <t>12014000010011</t>
  </si>
  <si>
    <t>12014001020011</t>
  </si>
  <si>
    <t>12014001020021</t>
  </si>
  <si>
    <t>12016000010011</t>
  </si>
  <si>
    <t>12018000010011</t>
  </si>
  <si>
    <t>12020000010011</t>
  </si>
  <si>
    <t>12024000010011</t>
  </si>
  <si>
    <t>12024001020011</t>
  </si>
  <si>
    <t>12024001020021</t>
  </si>
  <si>
    <t>12024001020031</t>
  </si>
  <si>
    <t>12024001020041</t>
  </si>
  <si>
    <t>12024001020051</t>
  </si>
  <si>
    <t>12026000010011</t>
  </si>
  <si>
    <t>12030000010011</t>
  </si>
  <si>
    <t>12030001020011</t>
  </si>
  <si>
    <t>12030001020021</t>
  </si>
  <si>
    <t>12030001020031</t>
  </si>
  <si>
    <t>12032000010011</t>
  </si>
  <si>
    <t>12034000010011</t>
  </si>
  <si>
    <t>12036000010011</t>
  </si>
  <si>
    <t>12038000010011</t>
  </si>
  <si>
    <t>14000000000001</t>
  </si>
  <si>
    <t>14002001020011</t>
  </si>
  <si>
    <t>14002001030011</t>
  </si>
  <si>
    <t>14002001030061</t>
  </si>
  <si>
    <t>14002001020021</t>
  </si>
  <si>
    <t>14002002030101</t>
  </si>
  <si>
    <t>14002002030121</t>
  </si>
  <si>
    <t>14302012040051</t>
  </si>
  <si>
    <t>14002013040061</t>
  </si>
  <si>
    <t>14002013040081</t>
  </si>
  <si>
    <t>14002013040121</t>
  </si>
  <si>
    <t>17000000000001</t>
  </si>
  <si>
    <t>17020000010011</t>
  </si>
  <si>
    <t>17002000010011</t>
  </si>
  <si>
    <t>17020000010016</t>
  </si>
  <si>
    <t>17020000010013</t>
  </si>
  <si>
    <t>17020000010012</t>
  </si>
  <si>
    <t>17020000010017</t>
  </si>
  <si>
    <t>17004000010011</t>
  </si>
  <si>
    <t>17006000010011</t>
  </si>
  <si>
    <t>17008000010011</t>
  </si>
  <si>
    <t>17008001020011</t>
  </si>
  <si>
    <t>17008001020021</t>
  </si>
  <si>
    <t>17012000010011</t>
  </si>
  <si>
    <t>17014000010011</t>
  </si>
  <si>
    <t>17016000010011</t>
  </si>
  <si>
    <t>17018000010011</t>
  </si>
  <si>
    <t>21000000000001</t>
  </si>
  <si>
    <t>21002000010011</t>
  </si>
  <si>
    <t>21004000010011</t>
  </si>
  <si>
    <t>21006000010011</t>
  </si>
  <si>
    <t>21006001020011</t>
  </si>
  <si>
    <t>21006001020021</t>
  </si>
  <si>
    <t>21306001020031</t>
  </si>
  <si>
    <t>21006003030061</t>
  </si>
  <si>
    <t>21008000010011</t>
  </si>
  <si>
    <t>21010000010011</t>
  </si>
  <si>
    <t>21012000010011</t>
  </si>
  <si>
    <t>21012001020011</t>
  </si>
  <si>
    <t>21012001020021</t>
  </si>
  <si>
    <t>21014000010011</t>
  </si>
  <si>
    <t>21016001040011</t>
  </si>
  <si>
    <t>21016001050011</t>
  </si>
  <si>
    <t>21016001070011</t>
  </si>
  <si>
    <t>21016001070021</t>
  </si>
  <si>
    <t>21016001070031</t>
  </si>
  <si>
    <t>21016001050021</t>
  </si>
  <si>
    <t>21016001050031</t>
  </si>
  <si>
    <t>21016005070231</t>
  </si>
  <si>
    <t>21016005070241</t>
  </si>
  <si>
    <t>21016005070251</t>
  </si>
  <si>
    <t>21016005070261</t>
  </si>
  <si>
    <t>21016005070271</t>
  </si>
  <si>
    <t>21016001040021</t>
  </si>
  <si>
    <t>21016002050041</t>
  </si>
  <si>
    <t>21016004060071</t>
  </si>
  <si>
    <t>21016004060081</t>
  </si>
  <si>
    <t>21016004060091</t>
  </si>
  <si>
    <t>21016002050051</t>
  </si>
  <si>
    <t>21016002050061</t>
  </si>
  <si>
    <t>21016006060181</t>
  </si>
  <si>
    <t>21016006060191</t>
  </si>
  <si>
    <t>21016006060201</t>
  </si>
  <si>
    <t>21016006060211</t>
  </si>
  <si>
    <t>21016006060221</t>
  </si>
  <si>
    <t>21016001040031</t>
  </si>
  <si>
    <t>21016003050071</t>
  </si>
  <si>
    <t>21016007060231</t>
  </si>
  <si>
    <t>21016007060241</t>
  </si>
  <si>
    <t>21016007060251</t>
  </si>
  <si>
    <t>21016003050081</t>
  </si>
  <si>
    <t>21016003050091</t>
  </si>
  <si>
    <t>21016009060341</t>
  </si>
  <si>
    <t>21016009060351</t>
  </si>
  <si>
    <t>21016009060361</t>
  </si>
  <si>
    <t>21016009060371</t>
  </si>
  <si>
    <t>21016009060381</t>
  </si>
  <si>
    <t>21016001040041</t>
  </si>
  <si>
    <t>21316001030011</t>
  </si>
  <si>
    <t>21316001030021</t>
  </si>
  <si>
    <t>21016001030031</t>
  </si>
  <si>
    <t>21316001020011</t>
  </si>
  <si>
    <t>21316001020021</t>
  </si>
  <si>
    <t>21318001020022</t>
  </si>
  <si>
    <t>21316000010011</t>
  </si>
  <si>
    <t>21018000010011</t>
  </si>
  <si>
    <t>21320000010011</t>
  </si>
  <si>
    <t>21322000010011</t>
  </si>
  <si>
    <t>21024000010011</t>
  </si>
  <si>
    <t>21028000010011</t>
  </si>
  <si>
    <t>21330000010012</t>
  </si>
  <si>
    <t>21330000010011</t>
  </si>
  <si>
    <t>21332000010011</t>
  </si>
  <si>
    <t>21034000010011</t>
  </si>
  <si>
    <t>21036000010011</t>
  </si>
  <si>
    <t>21338000010011</t>
  </si>
  <si>
    <t>21340000010011</t>
  </si>
  <si>
    <t>21042000010011</t>
  </si>
  <si>
    <t>22000000000001</t>
  </si>
  <si>
    <t>22002000010011</t>
  </si>
  <si>
    <t>22004000010011</t>
  </si>
  <si>
    <t>22004001020011</t>
  </si>
  <si>
    <t>22004001020021</t>
  </si>
  <si>
    <t>22006000010011</t>
  </si>
  <si>
    <t>22008000010011</t>
  </si>
  <si>
    <t>22010000010011</t>
  </si>
  <si>
    <t>22010001020011</t>
  </si>
  <si>
    <t>22010001020021</t>
  </si>
  <si>
    <t>22010001020031</t>
  </si>
  <si>
    <t>22010001020041</t>
  </si>
  <si>
    <t>22012000010011</t>
  </si>
  <si>
    <t>22012001020011</t>
  </si>
  <si>
    <t>22012001020021</t>
  </si>
  <si>
    <t>22014000010011</t>
  </si>
  <si>
    <t>22016000010011</t>
  </si>
  <si>
    <t>22018000010011</t>
  </si>
  <si>
    <t>22020000010011</t>
  </si>
  <si>
    <t>22020001020011</t>
  </si>
  <si>
    <t>22020001020021</t>
  </si>
  <si>
    <t>22020001020031</t>
  </si>
  <si>
    <t>22020001020041</t>
  </si>
  <si>
    <t>22020001020051</t>
  </si>
  <si>
    <t>22022000010011</t>
  </si>
  <si>
    <t>22026000010011</t>
  </si>
  <si>
    <t>22026001020011</t>
  </si>
  <si>
    <t>22026001020021</t>
  </si>
  <si>
    <t>22026001020031</t>
  </si>
  <si>
    <t>22028000010011</t>
  </si>
  <si>
    <t>22030000010011</t>
  </si>
  <si>
    <t>22032000010011</t>
  </si>
  <si>
    <t>22034000010011</t>
  </si>
  <si>
    <t>24000000000001</t>
  </si>
  <si>
    <t>24002001020011</t>
  </si>
  <si>
    <t>24002001030011</t>
  </si>
  <si>
    <t>24002001030061</t>
  </si>
  <si>
    <t>24002001020021</t>
  </si>
  <si>
    <t>24002002030101</t>
  </si>
  <si>
    <t>24302012040051</t>
  </si>
  <si>
    <t>24002013040061</t>
  </si>
  <si>
    <t>24002013040081</t>
  </si>
  <si>
    <t>24002002030121</t>
  </si>
  <si>
    <t>24002013040121</t>
  </si>
  <si>
    <t>27000000000001</t>
  </si>
  <si>
    <t>27006000010011</t>
  </si>
  <si>
    <t>27016000010011</t>
  </si>
  <si>
    <t>27018000010011</t>
  </si>
  <si>
    <t>27020000010012</t>
  </si>
  <si>
    <t>27020000010011</t>
  </si>
  <si>
    <t>Recursos de Aplicación Restringida Recibidos del Gobierno Federal (BD)</t>
  </si>
  <si>
    <t>Valuación sin Opciones</t>
  </si>
  <si>
    <t>Valuación Opciones</t>
  </si>
  <si>
    <t>Definivito</t>
  </si>
  <si>
    <t>FINAMEX</t>
  </si>
  <si>
    <t>Bonos MS</t>
  </si>
  <si>
    <t>100028</t>
  </si>
  <si>
    <t>100029</t>
  </si>
  <si>
    <t>Bondes G</t>
  </si>
  <si>
    <t>Bonos MS (Extranjeros)</t>
  </si>
  <si>
    <t>Bondes G (Extranjeros)</t>
  </si>
  <si>
    <t>100030</t>
  </si>
  <si>
    <t>100031</t>
  </si>
  <si>
    <t>Sep-25</t>
  </si>
  <si>
    <t>anio</t>
  </si>
  <si>
    <t>BI 251002</t>
  </si>
  <si>
    <t>BI 251009</t>
  </si>
  <si>
    <t>BI 251023</t>
  </si>
  <si>
    <t>BI 251120</t>
  </si>
  <si>
    <t>BI 251127</t>
  </si>
  <si>
    <t>BI 251204</t>
  </si>
  <si>
    <t>BI 251218</t>
  </si>
  <si>
    <t>BI 251231</t>
  </si>
  <si>
    <t>BI 260122</t>
  </si>
  <si>
    <t>BI 260319</t>
  </si>
  <si>
    <t>BI 260401</t>
  </si>
  <si>
    <t>BI 260430</t>
  </si>
  <si>
    <t>BI 260528</t>
  </si>
  <si>
    <t>BI 260625</t>
  </si>
  <si>
    <t>BI 260723</t>
  </si>
  <si>
    <t>BI 260820</t>
  </si>
  <si>
    <t>BI 260917</t>
  </si>
  <si>
    <t>BI 270513</t>
  </si>
  <si>
    <t>BI 270708</t>
  </si>
  <si>
    <t>BI 270902</t>
  </si>
  <si>
    <t>IBAINVEX 260507</t>
  </si>
  <si>
    <t>IBAINVEX 260515</t>
  </si>
  <si>
    <t>IBANOBRA 251002</t>
  </si>
  <si>
    <t>IBANOBRA 251009</t>
  </si>
  <si>
    <t>IBANOBRA 251016</t>
  </si>
  <si>
    <t>IBANOBRA 251023</t>
  </si>
  <si>
    <t>Definitivos</t>
  </si>
  <si>
    <t>ET3 Comercial</t>
  </si>
  <si>
    <t>ET3 Consumo</t>
  </si>
  <si>
    <t>ET3 vivienda</t>
  </si>
  <si>
    <t>Oct-25</t>
  </si>
  <si>
    <t>ACTINVER</t>
  </si>
  <si>
    <t>MONEX CB</t>
  </si>
  <si>
    <t>Nov-25</t>
  </si>
  <si>
    <t>Previa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</si>
</sst>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0,,"/>
    <numFmt numFmtId="165" formatCode="0.0000"/>
    <numFmt numFmtId="166" formatCode="#,##0.00,"/>
    <numFmt numFmtId="167" formatCode="#,##0.00,,"/>
    <numFmt numFmtId="168" formatCode="0.0%"/>
    <numFmt numFmtId="169" formatCode="yyyy\-mm\-dd\ hh:mm:ss"/>
    <numFmt numFmtId="170" formatCode="#,##0.0"/>
    <numFmt numFmtId="171" formatCode="#,##0.000"/>
    <numFmt numFmtId="172" formatCode="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0"/>
      <color theme="1"/>
      <name val="Arial"/>
      <family val="2"/>
    </font>
    <font>
      <sz val="10"/>
      <color rgb="FF000000"/>
      <name val="Arial"/>
      <family val="2"/>
    </font>
    <font>
      <sz val="9"/>
      <color rgb="FF000000"/>
      <name val="Arial"/>
      <family val="2"/>
    </font>
    <font>
      <sz val="11"/>
      <color rgb="FF000000"/>
      <name val="Arial"/>
      <family val="2"/>
    </font>
    <font>
      <b/>
      <sz val="10"/>
      <color theme="1"/>
      <name val="Arial"/>
      <family val="2"/>
    </font>
    <font>
      <sz val="10"/>
      <color theme="5" tint="-0.249977111117893"/>
      <name val="Arial"/>
      <family val="2"/>
    </font>
    <font>
      <sz val="10"/>
      <name val="Arial"/>
      <family val="2"/>
    </font>
    <font>
      <sz val="10"/>
      <color rgb="FF000000"/>
      <name val="Arial"/>
      <family val="2"/>
    </font>
    <font>
      <sz val="10"/>
      <color rgb="FF000000"/>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rgb="FFFFFF7D"/>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bgColor indexed="64"/>
      </patternFill>
    </fill>
  </fills>
  <borders count="3">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s>
  <cellStyleXfs count="7">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3" fontId="10" fillId="0" borderId="0" applyFont="0" applyFill="0" applyBorder="0" applyAlignment="0" applyProtection="0"/>
  </cellStyleXfs>
  <cellXfs count="101">
    <xf numFmtId="0" fontId="0" fillId="0" borderId="0" xfId="0"/>
    <xf numFmtId="0" fontId="0" fillId="0" borderId="0" xfId="0" applyAlignment="1">
      <alignment horizontal="center"/>
    </xf>
    <xf numFmtId="1" fontId="0" fillId="0" borderId="0" xfId="0" applyNumberFormat="1"/>
    <xf numFmtId="2" fontId="0" fillId="0" borderId="0" xfId="0" applyNumberFormat="1"/>
    <xf numFmtId="164" fontId="0" fillId="0" borderId="0" xfId="0" applyNumberFormat="1" applyAlignment="1">
      <alignment horizontal="center"/>
    </xf>
    <xf numFmtId="0" fontId="0" fillId="0" borderId="0" xfId="0" applyAlignment="1">
      <alignment horizontal="right"/>
    </xf>
    <xf numFmtId="4" fontId="0" fillId="0" borderId="0" xfId="0" applyNumberFormat="1"/>
    <xf numFmtId="17" fontId="2" fillId="0" borderId="0" xfId="0" applyNumberFormat="1" applyFont="1" applyAlignment="1">
      <alignment horizontal="center"/>
    </xf>
    <xf numFmtId="0" fontId="4" fillId="0" borderId="0" xfId="0" applyFont="1" applyAlignment="1">
      <alignment vertical="center"/>
    </xf>
    <xf numFmtId="0" fontId="2" fillId="0" borderId="0" xfId="0" applyFont="1"/>
    <xf numFmtId="0" fontId="4" fillId="0" borderId="0" xfId="0" applyFont="1" applyAlignment="1">
      <alignment horizontal="center" wrapText="1"/>
    </xf>
    <xf numFmtId="0" fontId="4" fillId="0" borderId="0" xfId="0" applyFont="1"/>
    <xf numFmtId="0" fontId="4" fillId="0" borderId="0" xfId="0" applyFont="1" applyAlignment="1">
      <alignment horizontal="center"/>
    </xf>
    <xf numFmtId="0" fontId="8" fillId="0" borderId="0" xfId="0" applyFont="1"/>
    <xf numFmtId="17" fontId="8" fillId="0" borderId="0" xfId="0" applyNumberFormat="1" applyFont="1" applyAlignment="1">
      <alignment horizontal="center" vertical="top"/>
    </xf>
    <xf numFmtId="2" fontId="4" fillId="0" borderId="0" xfId="0" applyNumberFormat="1" applyFont="1" applyAlignment="1">
      <alignment horizontal="center"/>
    </xf>
    <xf numFmtId="0" fontId="4" fillId="6" borderId="0" xfId="0" applyFont="1" applyFill="1"/>
    <xf numFmtId="1" fontId="4" fillId="0" borderId="0" xfId="0" applyNumberFormat="1" applyFont="1"/>
    <xf numFmtId="0" fontId="4" fillId="0" borderId="0" xfId="0" applyFont="1" applyAlignment="1">
      <alignment horizontal="left"/>
    </xf>
    <xf numFmtId="17" fontId="8" fillId="0" borderId="0" xfId="0" applyNumberFormat="1" applyFont="1" applyAlignment="1">
      <alignment horizontal="center"/>
    </xf>
    <xf numFmtId="164" fontId="4" fillId="0" borderId="0" xfId="0" applyNumberFormat="1" applyFont="1" applyAlignment="1">
      <alignment horizontal="center"/>
    </xf>
    <xf numFmtId="164" fontId="4" fillId="0" borderId="0" xfId="0" applyNumberFormat="1" applyFont="1"/>
    <xf numFmtId="3" fontId="4" fillId="0" borderId="0" xfId="0" applyNumberFormat="1" applyFont="1" applyAlignment="1">
      <alignment horizontal="center"/>
    </xf>
    <xf numFmtId="4" fontId="4" fillId="0" borderId="0" xfId="0" applyNumberFormat="1" applyFont="1" applyAlignment="1">
      <alignment horizontal="center"/>
    </xf>
    <xf numFmtId="0" fontId="4" fillId="5" borderId="0" xfId="0" applyFont="1" applyFill="1"/>
    <xf numFmtId="0" fontId="4" fillId="5" borderId="0" xfId="0" applyFont="1" applyFill="1" applyAlignment="1">
      <alignment horizontal="center"/>
    </xf>
    <xf numFmtId="3" fontId="4" fillId="5" borderId="0" xfId="0" applyNumberFormat="1" applyFont="1" applyFill="1" applyAlignment="1">
      <alignment horizontal="center"/>
    </xf>
    <xf numFmtId="3" fontId="4" fillId="4" borderId="0" xfId="0" applyNumberFormat="1" applyFont="1" applyFill="1" applyAlignment="1">
      <alignment horizontal="center"/>
    </xf>
    <xf numFmtId="2" fontId="4" fillId="4" borderId="0" xfId="0" applyNumberFormat="1" applyFont="1" applyFill="1" applyAlignment="1">
      <alignment horizontal="center"/>
    </xf>
    <xf numFmtId="15" fontId="4" fillId="0" borderId="0" xfId="0" applyNumberFormat="1" applyFont="1"/>
    <xf numFmtId="1" fontId="4" fillId="0" borderId="0" xfId="0" applyNumberFormat="1" applyFont="1" applyAlignment="1">
      <alignment horizontal="left"/>
    </xf>
    <xf numFmtId="4" fontId="4" fillId="0" borderId="0" xfId="0" applyNumberFormat="1" applyFont="1" applyAlignment="1">
      <alignment horizontal="center" wrapText="1"/>
    </xf>
    <xf numFmtId="4" fontId="4" fillId="6" borderId="0" xfId="0" applyNumberFormat="1" applyFont="1" applyFill="1" applyAlignment="1">
      <alignment horizontal="center"/>
    </xf>
    <xf numFmtId="4" fontId="4" fillId="0" borderId="0" xfId="0" applyNumberFormat="1" applyFont="1" applyAlignment="1">
      <alignment horizontal="center" vertical="center"/>
    </xf>
    <xf numFmtId="4" fontId="4" fillId="0" borderId="0" xfId="0" applyNumberFormat="1" applyFont="1" applyAlignment="1">
      <alignment horizontal="center" vertical="center" wrapText="1"/>
    </xf>
    <xf numFmtId="4" fontId="5" fillId="0" borderId="0" xfId="0" applyNumberFormat="1" applyFont="1" applyAlignment="1">
      <alignment horizontal="center"/>
    </xf>
    <xf numFmtId="10" fontId="4" fillId="0" borderId="0" xfId="0" applyNumberFormat="1" applyFont="1" applyAlignment="1">
      <alignment horizontal="center"/>
    </xf>
    <xf numFmtId="3" fontId="4" fillId="0" borderId="0" xfId="0" applyNumberFormat="1" applyFont="1" applyAlignment="1">
      <alignment horizontal="center" wrapText="1"/>
    </xf>
    <xf numFmtId="10" fontId="6" fillId="0" borderId="0" xfId="1" applyNumberFormat="1" applyFont="1" applyFill="1" applyBorder="1" applyAlignment="1">
      <alignment horizontal="center" vertical="center" wrapText="1"/>
    </xf>
    <xf numFmtId="10" fontId="0" fillId="0" borderId="0" xfId="1" applyNumberFormat="1" applyFont="1" applyBorder="1" applyAlignment="1">
      <alignment horizontal="center"/>
    </xf>
    <xf numFmtId="4" fontId="6" fillId="0" borderId="0" xfId="1" applyNumberFormat="1" applyFont="1" applyFill="1" applyBorder="1" applyAlignment="1">
      <alignment horizontal="center" vertical="center" wrapText="1"/>
    </xf>
    <xf numFmtId="4" fontId="6" fillId="0" borderId="0" xfId="4" applyNumberFormat="1" applyFont="1" applyFill="1" applyBorder="1" applyAlignment="1">
      <alignment horizontal="center" vertical="center" wrapText="1"/>
    </xf>
    <xf numFmtId="2" fontId="0" fillId="0" borderId="0" xfId="0" applyNumberFormat="1" applyAlignment="1">
      <alignment horizontal="center"/>
    </xf>
    <xf numFmtId="165" fontId="0" fillId="0" borderId="0" xfId="0" applyNumberFormat="1" applyAlignment="1">
      <alignment horizontal="center"/>
    </xf>
    <xf numFmtId="10" fontId="4" fillId="0" borderId="0" xfId="1" applyNumberFormat="1" applyFont="1" applyBorder="1" applyAlignment="1">
      <alignment horizontal="center"/>
    </xf>
    <xf numFmtId="17" fontId="8" fillId="0" borderId="0" xfId="0" applyNumberFormat="1" applyFont="1" applyAlignment="1">
      <alignment horizontal="center" vertical="center"/>
    </xf>
    <xf numFmtId="10" fontId="4" fillId="3" borderId="0" xfId="1" applyNumberFormat="1" applyFont="1" applyFill="1" applyBorder="1" applyAlignment="1">
      <alignment horizontal="center"/>
    </xf>
    <xf numFmtId="10" fontId="4" fillId="0" borderId="0" xfId="1" applyNumberFormat="1" applyFont="1" applyFill="1" applyBorder="1" applyAlignment="1">
      <alignment horizontal="center"/>
    </xf>
    <xf numFmtId="3" fontId="4" fillId="3" borderId="0" xfId="0" applyNumberFormat="1" applyFont="1" applyFill="1" applyAlignment="1">
      <alignment horizontal="center"/>
    </xf>
    <xf numFmtId="10" fontId="4" fillId="0" borderId="0" xfId="1" applyNumberFormat="1" applyFont="1" applyAlignment="1">
      <alignment horizontal="center"/>
    </xf>
    <xf numFmtId="4" fontId="4" fillId="3" borderId="0" xfId="0" applyNumberFormat="1" applyFont="1" applyFill="1" applyAlignment="1">
      <alignment horizontal="center"/>
    </xf>
    <xf numFmtId="4" fontId="4" fillId="3" borderId="0" xfId="0" applyNumberFormat="1" applyFont="1" applyFill="1" applyAlignment="1">
      <alignment horizontal="center" wrapText="1"/>
    </xf>
    <xf numFmtId="10" fontId="4" fillId="3" borderId="0" xfId="1" applyNumberFormat="1" applyFont="1" applyFill="1" applyAlignment="1">
      <alignment horizontal="center"/>
    </xf>
    <xf numFmtId="0" fontId="4" fillId="0" borderId="1" xfId="0" applyFont="1" applyBorder="1"/>
    <xf numFmtId="4" fontId="9" fillId="3" borderId="0" xfId="0" applyNumberFormat="1" applyFont="1" applyFill="1" applyAlignment="1">
      <alignment horizontal="center"/>
    </xf>
    <xf numFmtId="4" fontId="9" fillId="0" borderId="0" xfId="0" applyNumberFormat="1" applyFont="1" applyAlignment="1">
      <alignment horizontal="center"/>
    </xf>
    <xf numFmtId="10" fontId="4" fillId="0" borderId="0" xfId="1" applyNumberFormat="1" applyFont="1" applyFill="1" applyAlignment="1">
      <alignment horizontal="center"/>
    </xf>
    <xf numFmtId="0" fontId="4" fillId="2" borderId="0" xfId="0" applyFont="1" applyFill="1"/>
    <xf numFmtId="166" fontId="4" fillId="0" borderId="0" xfId="0" applyNumberFormat="1" applyFont="1" applyAlignment="1">
      <alignment horizontal="center"/>
    </xf>
    <xf numFmtId="166" fontId="4" fillId="2" borderId="0" xfId="0" applyNumberFormat="1" applyFont="1" applyFill="1" applyAlignment="1">
      <alignment horizontal="center"/>
    </xf>
    <xf numFmtId="14" fontId="4" fillId="0" borderId="0" xfId="0" applyNumberFormat="1" applyFont="1" applyAlignment="1">
      <alignment horizontal="center"/>
    </xf>
    <xf numFmtId="9" fontId="4" fillId="0" borderId="0" xfId="1" applyFont="1" applyFill="1" applyAlignment="1">
      <alignment horizontal="center"/>
    </xf>
    <xf numFmtId="4" fontId="10" fillId="0" borderId="0" xfId="0" applyNumberFormat="1" applyFont="1" applyAlignment="1">
      <alignment horizontal="center" vertical="center"/>
    </xf>
    <xf numFmtId="167" fontId="4" fillId="0" borderId="0" xfId="0" applyNumberFormat="1" applyFont="1" applyAlignment="1">
      <alignment horizontal="center"/>
    </xf>
    <xf numFmtId="2" fontId="4" fillId="0" borderId="0" xfId="1" applyNumberFormat="1" applyFont="1" applyFill="1" applyAlignment="1">
      <alignment horizontal="center"/>
    </xf>
    <xf numFmtId="17" fontId="4" fillId="0" borderId="0" xfId="0" applyNumberFormat="1" applyFont="1" applyAlignment="1">
      <alignment horizontal="center"/>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center" vertical="top"/>
    </xf>
    <xf numFmtId="0" fontId="2" fillId="0" borderId="0" xfId="0" applyFont="1" applyAlignment="1">
      <alignment horizontal="center" vertical="top"/>
    </xf>
    <xf numFmtId="0" fontId="0" fillId="7" borderId="0" xfId="0" applyFill="1"/>
    <xf numFmtId="0" fontId="2" fillId="0" borderId="2" xfId="0" applyFont="1" applyBorder="1" applyAlignment="1">
      <alignment horizontal="center" vertical="top"/>
    </xf>
    <xf numFmtId="17" fontId="2" fillId="0" borderId="2" xfId="0" applyNumberFormat="1" applyFont="1" applyBorder="1" applyAlignment="1">
      <alignment horizontal="center" vertical="top"/>
    </xf>
    <xf numFmtId="3" fontId="0" fillId="0" borderId="0" xfId="0" applyNumberFormat="1" applyAlignment="1">
      <alignment horizontal="center"/>
    </xf>
    <xf numFmtId="4" fontId="0" fillId="0" borderId="0" xfId="0" applyNumberFormat="1" applyAlignment="1">
      <alignment horizontal="center"/>
    </xf>
    <xf numFmtId="168" fontId="0" fillId="0" borderId="0" xfId="1" applyNumberFormat="1" applyFont="1" applyAlignment="1">
      <alignment horizontal="center"/>
    </xf>
    <xf numFmtId="0" fontId="0" fillId="3" borderId="0" xfId="0" applyFill="1"/>
    <xf numFmtId="169" fontId="0" fillId="0" borderId="0" xfId="0" applyNumberFormat="1"/>
    <xf numFmtId="0" fontId="0" fillId="6" borderId="0" xfId="0" applyFill="1" applyAlignment="1">
      <alignment horizontal="center"/>
    </xf>
    <xf numFmtId="168" fontId="4" fillId="0" borderId="0" xfId="1" applyNumberFormat="1" applyFont="1" applyFill="1" applyAlignment="1">
      <alignment horizontal="center"/>
    </xf>
    <xf numFmtId="168" fontId="4" fillId="0" borderId="0" xfId="1" applyNumberFormat="1" applyFont="1" applyAlignment="1">
      <alignment horizontal="center"/>
    </xf>
    <xf numFmtId="2" fontId="4" fillId="0" borderId="0" xfId="0" applyNumberFormat="1" applyFont="1" applyAlignment="1">
      <alignment horizontal="center" wrapText="1"/>
    </xf>
    <xf numFmtId="1" fontId="0" fillId="0" borderId="0" xfId="0" applyNumberFormat="1" applyAlignment="1">
      <alignment horizontal="center"/>
    </xf>
    <xf numFmtId="1" fontId="4" fillId="0" borderId="0" xfId="0" applyNumberFormat="1" applyFont="1" applyAlignment="1">
      <alignment horizontal="center"/>
    </xf>
    <xf numFmtId="3" fontId="11" fillId="0" borderId="0" xfId="0" applyNumberFormat="1" applyFont="1" applyAlignment="1">
      <alignment horizontal="center"/>
    </xf>
    <xf numFmtId="0" fontId="11" fillId="0" borderId="0" xfId="0" applyFont="1" applyAlignment="1">
      <alignment horizontal="left"/>
    </xf>
    <xf numFmtId="0" fontId="4" fillId="0" borderId="0" xfId="0" quotePrefix="1" applyFont="1"/>
    <xf numFmtId="170" fontId="4" fillId="0" borderId="0" xfId="0" applyNumberFormat="1" applyFont="1" applyAlignment="1">
      <alignment horizontal="right" wrapText="1"/>
    </xf>
    <xf numFmtId="164" fontId="4" fillId="3" borderId="0" xfId="0" applyNumberFormat="1" applyFont="1" applyFill="1" applyAlignment="1">
      <alignment horizontal="center"/>
    </xf>
    <xf numFmtId="4" fontId="4" fillId="0" borderId="0" xfId="1" applyNumberFormat="1" applyFont="1" applyFill="1" applyAlignment="1">
      <alignment horizontal="center"/>
    </xf>
    <xf numFmtId="171" fontId="4" fillId="0" borderId="0" xfId="0" applyNumberFormat="1" applyFont="1" applyAlignment="1">
      <alignment horizontal="center"/>
    </xf>
    <xf numFmtId="0" fontId="0" fillId="0" borderId="0" xfId="0" applyAlignment="1">
      <alignment vertical="center"/>
    </xf>
    <xf numFmtId="0" fontId="4" fillId="3" borderId="0" xfId="0" applyFont="1" applyFill="1"/>
    <xf numFmtId="10" fontId="0" fillId="0" borderId="0" xfId="0" applyNumberFormat="1"/>
    <xf numFmtId="3" fontId="4" fillId="6" borderId="0" xfId="0" applyNumberFormat="1" applyFont="1" applyFill="1" applyAlignment="1">
      <alignment horizontal="center"/>
    </xf>
    <xf numFmtId="0" fontId="0" fillId="0" borderId="0" xfId="0" applyFill="1" applyAlignment="1">
      <alignment horizontal="center"/>
    </xf>
    <xf numFmtId="0" fontId="4" fillId="3" borderId="0" xfId="0" applyFont="1" applyFill="1" applyAlignment="1">
      <alignment horizontal="center"/>
    </xf>
    <xf numFmtId="0" fontId="4" fillId="3" borderId="0" xfId="0" applyFont="1" applyFill="1" applyAlignment="1">
      <alignment vertical="center"/>
    </xf>
    <xf numFmtId="172" fontId="0" fillId="0" borderId="0" xfId="0" applyNumberFormat="1" applyAlignment="1">
      <alignment horizontal="center"/>
    </xf>
    <xf numFmtId="4" fontId="4" fillId="0" borderId="0" xfId="0" applyNumberFormat="1" applyFont="1" applyFill="1" applyAlignment="1">
      <alignment horizontal="center"/>
    </xf>
    <xf numFmtId="0" fontId="4" fillId="0" borderId="0" xfId="0" applyNumberFormat="1" applyFont="1" applyAlignment="1">
      <alignment horizontal="center" wrapText="1"/>
    </xf>
  </cellXfs>
  <cellStyles count="7">
    <cellStyle name="Millares 2 2 4" xfId="6" xr:uid="{00000000-0005-0000-0000-000000000000}"/>
    <cellStyle name="Moneda 2" xfId="4" xr:uid="{00000000-0005-0000-0000-000001000000}"/>
    <cellStyle name="Moneda 2 2" xfId="5" xr:uid="{00000000-0005-0000-0000-000002000000}"/>
    <cellStyle name="Normal" xfId="0" builtinId="0"/>
    <cellStyle name="Normal 2" xfId="2" xr:uid="{00000000-0005-0000-0000-000004000000}"/>
    <cellStyle name="Porcentaje" xfId="1" builtinId="5"/>
    <cellStyle name="Porcentaje 2" xfId="3" xr:uid="{00000000-0005-0000-0000-000006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idades%20compartidas/UAIR/Informaci&#243;n%20y%20Modelos/0.%20An&#225;lisis/1.%20Comit&#233;%20de%20Riesgos/2025/07.%20Julio%202025/CR%20Mercado/Derivados_Hugo_Junio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idades%20compartidas/Mercado/VaR/Backup/01.%20BRM/2024/12.%20Diciembre/31_REPORTE%20VAR%20BRM%2031-12-24_Correccion_Dx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sición"/>
    </sheetNames>
    <sheetDataSet>
      <sheetData sheetId="0">
        <row r="29">
          <cell r="C29">
            <v>-87.072758289839669</v>
          </cell>
          <cell r="D29">
            <v>128.50152443834588</v>
          </cell>
        </row>
        <row r="30">
          <cell r="C30">
            <v>-10.128051052284611</v>
          </cell>
          <cell r="D30">
            <v>-7.7873624460557904</v>
          </cell>
        </row>
        <row r="31">
          <cell r="C31" t="str">
            <v>-</v>
          </cell>
          <cell r="D31" t="str">
            <v>-</v>
          </cell>
        </row>
        <row r="32">
          <cell r="C32">
            <v>-10.442711509069078</v>
          </cell>
          <cell r="D32">
            <v>23.573212924483933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VAR"/>
    </sheetNames>
    <sheetDataSet>
      <sheetData sheetId="0">
        <row r="100">
          <cell r="D100">
            <v>-0.57695117021539011</v>
          </cell>
        </row>
        <row r="101">
          <cell r="D101">
            <v>7.7273108642730165E-4</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5"/>
  <sheetViews>
    <sheetView zoomScale="91" zoomScaleNormal="90" workbookViewId="0">
      <pane xSplit="2" ySplit="2" topLeftCell="M3" activePane="bottomRight" state="frozen"/>
      <selection pane="topRight" activeCell="C1" sqref="C1"/>
      <selection pane="bottomLeft" activeCell="A3" sqref="A3"/>
      <selection pane="bottomRight" activeCell="P1" sqref="P1:P1048576"/>
    </sheetView>
  </sheetViews>
  <sheetFormatPr baseColWidth="10" defaultColWidth="9.44140625" defaultRowHeight="14.4" x14ac:dyDescent="0.3"/>
  <cols>
    <col min="1" max="1" width="14" bestFit="1" customWidth="1"/>
    <col min="2" max="2" width="46.5546875" customWidth="1"/>
    <col min="3" max="16" width="13.5546875" style="1" customWidth="1"/>
  </cols>
  <sheetData>
    <row r="1" spans="1:16" x14ac:dyDescent="0.3">
      <c r="A1" s="11"/>
      <c r="B1" s="11"/>
      <c r="C1" s="12" t="s">
        <v>2013</v>
      </c>
      <c r="D1" s="12" t="s">
        <v>92</v>
      </c>
      <c r="E1" s="12" t="s">
        <v>92</v>
      </c>
      <c r="F1" s="12" t="s">
        <v>92</v>
      </c>
      <c r="G1" s="12" t="s">
        <v>92</v>
      </c>
      <c r="H1" s="12" t="s">
        <v>92</v>
      </c>
      <c r="I1" s="12" t="s">
        <v>92</v>
      </c>
      <c r="J1" s="12" t="s">
        <v>92</v>
      </c>
      <c r="K1" s="12" t="s">
        <v>92</v>
      </c>
      <c r="L1" s="12" t="s">
        <v>2899</v>
      </c>
      <c r="M1" s="12" t="s">
        <v>2899</v>
      </c>
      <c r="N1" s="12" t="s">
        <v>2899</v>
      </c>
      <c r="O1" s="12" t="s">
        <v>92</v>
      </c>
      <c r="P1" s="12" t="s">
        <v>91</v>
      </c>
    </row>
    <row r="2" spans="1:16" x14ac:dyDescent="0.3">
      <c r="A2" s="13" t="s">
        <v>206</v>
      </c>
      <c r="B2" s="13" t="s">
        <v>205</v>
      </c>
      <c r="C2" s="19">
        <v>45261</v>
      </c>
      <c r="D2" s="19">
        <v>45627</v>
      </c>
      <c r="E2" s="19">
        <v>45658</v>
      </c>
      <c r="F2" s="19">
        <v>45689</v>
      </c>
      <c r="G2" s="19">
        <v>45717</v>
      </c>
      <c r="H2" s="19">
        <v>45748</v>
      </c>
      <c r="I2" s="19">
        <v>45778</v>
      </c>
      <c r="J2" s="19">
        <v>45809</v>
      </c>
      <c r="K2" s="19">
        <v>45839</v>
      </c>
      <c r="L2" s="19">
        <v>45870</v>
      </c>
      <c r="M2" s="19">
        <v>45901</v>
      </c>
      <c r="N2" s="19">
        <v>45931</v>
      </c>
      <c r="O2" s="19">
        <v>45962</v>
      </c>
      <c r="P2" s="19">
        <v>45992</v>
      </c>
    </row>
    <row r="3" spans="1:16" x14ac:dyDescent="0.3">
      <c r="A3" s="17" t="s">
        <v>2353</v>
      </c>
      <c r="B3" s="11" t="s">
        <v>204</v>
      </c>
      <c r="C3" s="20">
        <v>247763281565</v>
      </c>
      <c r="D3" s="20">
        <v>247764295242</v>
      </c>
      <c r="E3" s="20">
        <v>249759933952</v>
      </c>
      <c r="F3" s="20">
        <v>256026844584</v>
      </c>
      <c r="G3" s="20">
        <v>255366150133</v>
      </c>
      <c r="H3" s="20">
        <v>258700344688</v>
      </c>
      <c r="I3" s="20">
        <v>263537061560</v>
      </c>
      <c r="J3" s="20">
        <v>262888606225</v>
      </c>
      <c r="K3" s="20">
        <v>261709368628</v>
      </c>
      <c r="L3" s="20">
        <v>265303081228</v>
      </c>
      <c r="M3" s="20">
        <v>270643454905</v>
      </c>
      <c r="N3" s="20">
        <v>272384512560</v>
      </c>
      <c r="O3" s="20">
        <v>276339168490</v>
      </c>
      <c r="P3" s="20">
        <v>277329296257</v>
      </c>
    </row>
    <row r="4" spans="1:16" x14ac:dyDescent="0.3">
      <c r="A4" s="17" t="s">
        <v>2354</v>
      </c>
      <c r="B4" s="11" t="s">
        <v>203</v>
      </c>
      <c r="C4" s="20">
        <v>12998040676</v>
      </c>
      <c r="D4" s="20">
        <v>12998040676</v>
      </c>
      <c r="E4" s="20">
        <v>14696670696</v>
      </c>
      <c r="F4" s="20">
        <v>13310393843</v>
      </c>
      <c r="G4" s="20">
        <v>12530304298</v>
      </c>
      <c r="H4" s="20">
        <v>14842046413</v>
      </c>
      <c r="I4" s="20">
        <v>14656772709</v>
      </c>
      <c r="J4" s="20">
        <v>16629950595</v>
      </c>
      <c r="K4" s="20">
        <v>16085237007</v>
      </c>
      <c r="L4" s="20">
        <v>16518221800</v>
      </c>
      <c r="M4" s="20">
        <v>15955330311</v>
      </c>
      <c r="N4" s="20">
        <v>14291266869</v>
      </c>
      <c r="O4" s="20">
        <v>16138130577</v>
      </c>
      <c r="P4" s="20">
        <v>18249515510</v>
      </c>
    </row>
    <row r="5" spans="1:16" x14ac:dyDescent="0.3">
      <c r="A5" s="17" t="s">
        <v>2355</v>
      </c>
      <c r="B5" s="11" t="s">
        <v>202</v>
      </c>
      <c r="C5" s="20">
        <v>0</v>
      </c>
      <c r="D5" s="20">
        <v>0</v>
      </c>
      <c r="E5" s="20">
        <v>0</v>
      </c>
      <c r="F5" s="20">
        <v>0</v>
      </c>
      <c r="G5" s="20">
        <v>0</v>
      </c>
      <c r="H5" s="20">
        <v>0</v>
      </c>
      <c r="I5" s="20">
        <v>0</v>
      </c>
      <c r="J5" s="20">
        <v>0</v>
      </c>
      <c r="K5" s="20">
        <v>0</v>
      </c>
      <c r="L5" s="20">
        <v>0</v>
      </c>
      <c r="M5" s="20">
        <v>0</v>
      </c>
      <c r="N5" s="20">
        <v>0</v>
      </c>
      <c r="O5" s="20">
        <v>0</v>
      </c>
      <c r="P5" s="20">
        <v>0</v>
      </c>
    </row>
    <row r="6" spans="1:16" x14ac:dyDescent="0.3">
      <c r="A6" s="17" t="s">
        <v>2356</v>
      </c>
      <c r="B6" s="11" t="s">
        <v>82</v>
      </c>
      <c r="C6" s="20">
        <v>43929063800</v>
      </c>
      <c r="D6" s="20">
        <v>43929063800</v>
      </c>
      <c r="E6" s="20">
        <v>40605789950</v>
      </c>
      <c r="F6" s="20">
        <v>44434063933</v>
      </c>
      <c r="G6" s="20">
        <v>46163898470</v>
      </c>
      <c r="H6" s="20">
        <v>48181190250</v>
      </c>
      <c r="I6" s="20">
        <v>50588109284</v>
      </c>
      <c r="J6" s="20">
        <v>49181408971</v>
      </c>
      <c r="K6" s="20">
        <v>48548964268</v>
      </c>
      <c r="L6" s="20">
        <v>50042132561</v>
      </c>
      <c r="M6" s="20">
        <v>54460140798</v>
      </c>
      <c r="N6" s="20">
        <v>56596615176</v>
      </c>
      <c r="O6" s="20">
        <v>58043620136</v>
      </c>
      <c r="P6" s="20">
        <v>56031091404</v>
      </c>
    </row>
    <row r="7" spans="1:16" x14ac:dyDescent="0.3">
      <c r="A7" s="17" t="s">
        <v>2357</v>
      </c>
      <c r="B7" s="21" t="s">
        <v>201</v>
      </c>
      <c r="C7" s="20">
        <v>4675436252</v>
      </c>
      <c r="D7" s="20">
        <v>4675436252</v>
      </c>
      <c r="E7" s="20">
        <v>2665166448</v>
      </c>
      <c r="F7" s="20">
        <v>3080134992</v>
      </c>
      <c r="G7" s="20">
        <v>3077802764</v>
      </c>
      <c r="H7" s="20">
        <v>1987217518</v>
      </c>
      <c r="I7" s="20">
        <v>3009412771</v>
      </c>
      <c r="J7" s="20">
        <v>1716633418</v>
      </c>
      <c r="K7" s="20">
        <v>3004300939</v>
      </c>
      <c r="L7" s="20">
        <v>1660068635</v>
      </c>
      <c r="M7" s="20">
        <v>2235210571</v>
      </c>
      <c r="N7" s="20">
        <v>4519413788</v>
      </c>
      <c r="O7" s="20">
        <v>3156180953</v>
      </c>
      <c r="P7" s="20">
        <v>2777180701</v>
      </c>
    </row>
    <row r="8" spans="1:16" x14ac:dyDescent="0.3">
      <c r="A8" s="17" t="s">
        <v>2358</v>
      </c>
      <c r="B8" s="11" t="s">
        <v>200</v>
      </c>
      <c r="C8" s="20">
        <v>37654093345</v>
      </c>
      <c r="D8" s="20">
        <v>37654093345</v>
      </c>
      <c r="E8" s="20">
        <v>37330577929</v>
      </c>
      <c r="F8" s="20">
        <v>40739529062</v>
      </c>
      <c r="G8" s="20">
        <v>43086095705</v>
      </c>
      <c r="H8" s="20">
        <v>46193972731</v>
      </c>
      <c r="I8" s="20">
        <v>47578696512</v>
      </c>
      <c r="J8" s="20">
        <v>47464775552</v>
      </c>
      <c r="K8" s="20">
        <v>45544663329</v>
      </c>
      <c r="L8" s="20">
        <v>48382063926</v>
      </c>
      <c r="M8" s="20">
        <v>52224930227</v>
      </c>
      <c r="N8" s="20">
        <v>52077201388</v>
      </c>
      <c r="O8" s="20">
        <v>54887439183</v>
      </c>
      <c r="P8" s="20">
        <v>53253910703</v>
      </c>
    </row>
    <row r="9" spans="1:16" x14ac:dyDescent="0.3">
      <c r="A9" s="17" t="s">
        <v>2359</v>
      </c>
      <c r="B9" s="11" t="s">
        <v>199</v>
      </c>
      <c r="C9" s="20">
        <v>1599566602</v>
      </c>
      <c r="D9" s="20">
        <v>1599566602</v>
      </c>
      <c r="E9" s="20">
        <v>610138491</v>
      </c>
      <c r="F9" s="20">
        <v>614404822</v>
      </c>
      <c r="G9" s="20">
        <v>1</v>
      </c>
      <c r="H9" s="20">
        <v>1</v>
      </c>
      <c r="I9" s="20">
        <v>1</v>
      </c>
      <c r="J9" s="20">
        <v>1</v>
      </c>
      <c r="K9" s="20">
        <v>0</v>
      </c>
      <c r="L9" s="20">
        <v>0</v>
      </c>
      <c r="M9" s="20">
        <v>0</v>
      </c>
      <c r="N9" s="20">
        <v>0</v>
      </c>
      <c r="O9" s="20">
        <v>0</v>
      </c>
      <c r="P9" s="20">
        <v>0</v>
      </c>
    </row>
    <row r="10" spans="1:16" x14ac:dyDescent="0.3">
      <c r="A10" s="17" t="s">
        <v>2360</v>
      </c>
      <c r="B10" s="11" t="s">
        <v>198</v>
      </c>
      <c r="C10" s="20">
        <v>-32399</v>
      </c>
      <c r="D10" s="20">
        <v>-32399</v>
      </c>
      <c r="E10" s="20">
        <v>-92918</v>
      </c>
      <c r="F10" s="20">
        <v>-4943</v>
      </c>
      <c r="G10" s="20">
        <v>0</v>
      </c>
      <c r="H10" s="20">
        <v>0</v>
      </c>
      <c r="I10" s="20">
        <v>0</v>
      </c>
      <c r="J10" s="20">
        <v>0</v>
      </c>
      <c r="K10" s="20">
        <v>0</v>
      </c>
      <c r="L10" s="20">
        <v>0</v>
      </c>
      <c r="M10" s="20">
        <v>0</v>
      </c>
      <c r="N10" s="20">
        <v>0</v>
      </c>
      <c r="O10" s="20">
        <v>0</v>
      </c>
      <c r="P10" s="20">
        <v>0</v>
      </c>
    </row>
    <row r="11" spans="1:16" x14ac:dyDescent="0.3">
      <c r="A11" s="17" t="s">
        <v>2361</v>
      </c>
      <c r="B11" s="11" t="s">
        <v>197</v>
      </c>
      <c r="C11" s="20">
        <v>0</v>
      </c>
      <c r="D11" s="20">
        <v>0</v>
      </c>
      <c r="E11" s="20">
        <v>0</v>
      </c>
      <c r="F11" s="20">
        <v>0</v>
      </c>
      <c r="G11" s="20">
        <v>0</v>
      </c>
      <c r="H11" s="20">
        <v>0</v>
      </c>
      <c r="I11" s="20">
        <v>0</v>
      </c>
      <c r="J11" s="20">
        <v>0</v>
      </c>
      <c r="K11" s="20">
        <v>0</v>
      </c>
      <c r="L11" s="20">
        <v>0</v>
      </c>
      <c r="M11" s="20">
        <v>0</v>
      </c>
      <c r="N11" s="20">
        <v>0</v>
      </c>
      <c r="O11" s="20">
        <v>0</v>
      </c>
      <c r="P11" s="20">
        <v>0</v>
      </c>
    </row>
    <row r="12" spans="1:16" x14ac:dyDescent="0.3">
      <c r="A12" s="17" t="s">
        <v>2362</v>
      </c>
      <c r="B12" s="11" t="s">
        <v>147</v>
      </c>
      <c r="C12" s="20">
        <v>0</v>
      </c>
      <c r="D12" s="20">
        <v>0</v>
      </c>
      <c r="E12" s="20">
        <v>0</v>
      </c>
      <c r="F12" s="20">
        <v>0</v>
      </c>
      <c r="G12" s="20">
        <v>0</v>
      </c>
      <c r="H12" s="20">
        <v>0</v>
      </c>
      <c r="I12" s="20">
        <v>0</v>
      </c>
      <c r="J12" s="20">
        <v>0</v>
      </c>
      <c r="K12" s="20">
        <v>0</v>
      </c>
      <c r="L12" s="20">
        <v>0</v>
      </c>
      <c r="M12" s="20">
        <v>0</v>
      </c>
      <c r="N12" s="20">
        <v>0</v>
      </c>
      <c r="O12" s="20">
        <v>0</v>
      </c>
      <c r="P12" s="20">
        <v>0</v>
      </c>
    </row>
    <row r="13" spans="1:16" x14ac:dyDescent="0.3">
      <c r="A13" s="17" t="s">
        <v>2363</v>
      </c>
      <c r="B13" s="11" t="s">
        <v>74</v>
      </c>
      <c r="C13" s="20">
        <v>413447504</v>
      </c>
      <c r="D13" s="20">
        <v>413447504</v>
      </c>
      <c r="E13" s="20">
        <v>360042020</v>
      </c>
      <c r="F13" s="20">
        <v>332851989</v>
      </c>
      <c r="G13" s="20">
        <v>308590399</v>
      </c>
      <c r="H13" s="20">
        <v>328488117</v>
      </c>
      <c r="I13" s="20">
        <v>332939679</v>
      </c>
      <c r="J13" s="20">
        <v>316025390</v>
      </c>
      <c r="K13" s="20">
        <v>313530068</v>
      </c>
      <c r="L13" s="20">
        <v>318288873</v>
      </c>
      <c r="M13" s="20">
        <v>335384202</v>
      </c>
      <c r="N13" s="20">
        <v>339943701</v>
      </c>
      <c r="O13" s="20">
        <v>500656006</v>
      </c>
      <c r="P13" s="20">
        <v>491248582</v>
      </c>
    </row>
    <row r="14" spans="1:16" x14ac:dyDescent="0.3">
      <c r="A14" s="17" t="s">
        <v>2364</v>
      </c>
      <c r="B14" s="11" t="s">
        <v>142</v>
      </c>
      <c r="C14" s="20">
        <v>267595330</v>
      </c>
      <c r="D14" s="20">
        <v>267595330</v>
      </c>
      <c r="E14" s="20">
        <v>248698725</v>
      </c>
      <c r="F14" s="20">
        <v>269322590</v>
      </c>
      <c r="G14" s="20">
        <v>264841330</v>
      </c>
      <c r="H14" s="20">
        <v>315007849</v>
      </c>
      <c r="I14" s="20">
        <v>316729323</v>
      </c>
      <c r="J14" s="20">
        <v>305371137</v>
      </c>
      <c r="K14" s="20">
        <v>295237285</v>
      </c>
      <c r="L14" s="20">
        <v>311436135</v>
      </c>
      <c r="M14" s="20">
        <v>329768520</v>
      </c>
      <c r="N14" s="20">
        <v>334673420</v>
      </c>
      <c r="O14" s="20">
        <v>495689387</v>
      </c>
      <c r="P14" s="20">
        <v>486099162</v>
      </c>
    </row>
    <row r="15" spans="1:16" x14ac:dyDescent="0.3">
      <c r="A15" s="17" t="s">
        <v>2365</v>
      </c>
      <c r="B15" s="11" t="s">
        <v>141</v>
      </c>
      <c r="C15" s="20">
        <v>145852174</v>
      </c>
      <c r="D15" s="20">
        <v>145852174</v>
      </c>
      <c r="E15" s="20">
        <v>111343295</v>
      </c>
      <c r="F15" s="20">
        <v>63529399</v>
      </c>
      <c r="G15" s="20">
        <v>43749069</v>
      </c>
      <c r="H15" s="20">
        <v>13480268</v>
      </c>
      <c r="I15" s="20">
        <v>16210356</v>
      </c>
      <c r="J15" s="20">
        <v>10654253</v>
      </c>
      <c r="K15" s="20">
        <v>18292783</v>
      </c>
      <c r="L15" s="20">
        <v>6852738</v>
      </c>
      <c r="M15" s="20">
        <v>5615682</v>
      </c>
      <c r="N15" s="20">
        <v>5270281</v>
      </c>
      <c r="O15" s="20">
        <v>4966619</v>
      </c>
      <c r="P15" s="20">
        <v>5149420</v>
      </c>
    </row>
    <row r="16" spans="1:16" x14ac:dyDescent="0.3">
      <c r="A16" s="17" t="s">
        <v>2366</v>
      </c>
      <c r="B16" s="11" t="s">
        <v>196</v>
      </c>
      <c r="C16" s="20">
        <v>0</v>
      </c>
      <c r="D16" s="20">
        <v>0</v>
      </c>
      <c r="E16" s="20">
        <v>0</v>
      </c>
      <c r="F16" s="20">
        <v>0</v>
      </c>
      <c r="G16" s="20">
        <v>0</v>
      </c>
      <c r="H16" s="20">
        <v>0</v>
      </c>
      <c r="I16" s="20">
        <v>0</v>
      </c>
      <c r="J16" s="20">
        <v>0</v>
      </c>
      <c r="K16" s="20">
        <v>0</v>
      </c>
      <c r="L16" s="20">
        <v>0</v>
      </c>
      <c r="M16" s="20">
        <v>0</v>
      </c>
      <c r="N16" s="20">
        <v>0</v>
      </c>
      <c r="O16" s="20">
        <v>0</v>
      </c>
      <c r="P16" s="20">
        <v>0</v>
      </c>
    </row>
    <row r="17" spans="1:16" x14ac:dyDescent="0.3">
      <c r="A17" s="17" t="s">
        <v>2367</v>
      </c>
      <c r="B17" s="11" t="s">
        <v>195</v>
      </c>
      <c r="C17" s="20">
        <v>171764734766</v>
      </c>
      <c r="D17" s="20">
        <v>171764734766</v>
      </c>
      <c r="E17" s="20">
        <v>173795826612</v>
      </c>
      <c r="F17" s="20">
        <v>173388806260</v>
      </c>
      <c r="G17" s="20">
        <v>175595467968</v>
      </c>
      <c r="H17" s="20">
        <v>175060815481</v>
      </c>
      <c r="I17" s="20">
        <v>177722706772</v>
      </c>
      <c r="J17" s="20">
        <v>178112499835</v>
      </c>
      <c r="K17" s="20">
        <v>178663419570</v>
      </c>
      <c r="L17" s="20">
        <v>179955125015</v>
      </c>
      <c r="M17" s="20">
        <v>181780869353</v>
      </c>
      <c r="N17" s="20">
        <v>181690930660</v>
      </c>
      <c r="O17" s="20">
        <v>182281242586</v>
      </c>
      <c r="P17" s="20">
        <v>184692766333</v>
      </c>
    </row>
    <row r="18" spans="1:16" x14ac:dyDescent="0.3">
      <c r="A18" s="17" t="s">
        <v>2368</v>
      </c>
      <c r="B18" s="11" t="s">
        <v>192</v>
      </c>
      <c r="C18" s="20">
        <v>144110572264</v>
      </c>
      <c r="D18" s="20">
        <v>144110572264</v>
      </c>
      <c r="E18" s="20">
        <v>146161093036</v>
      </c>
      <c r="F18" s="20">
        <v>145656177005</v>
      </c>
      <c r="G18" s="20">
        <v>147625116836</v>
      </c>
      <c r="H18" s="20">
        <v>146972906520</v>
      </c>
      <c r="I18" s="20">
        <v>149423644676</v>
      </c>
      <c r="J18" s="20">
        <v>149430141306</v>
      </c>
      <c r="K18" s="20">
        <v>149631906291</v>
      </c>
      <c r="L18" s="20">
        <v>150690339765</v>
      </c>
      <c r="M18" s="20">
        <v>152332895359</v>
      </c>
      <c r="N18" s="20">
        <v>152106304870</v>
      </c>
      <c r="O18" s="20">
        <v>152335429547</v>
      </c>
      <c r="P18" s="20">
        <v>154421797049</v>
      </c>
    </row>
    <row r="19" spans="1:16" x14ac:dyDescent="0.3">
      <c r="A19" s="17" t="s">
        <v>2369</v>
      </c>
      <c r="B19" s="11" t="s">
        <v>191</v>
      </c>
      <c r="C19" s="20">
        <v>139486584367</v>
      </c>
      <c r="D19" s="20">
        <v>139486584367</v>
      </c>
      <c r="E19" s="20">
        <v>141097715603</v>
      </c>
      <c r="F19" s="20">
        <v>140914866516</v>
      </c>
      <c r="G19" s="20">
        <v>141703798245</v>
      </c>
      <c r="H19" s="20">
        <v>141237179816</v>
      </c>
      <c r="I19" s="20">
        <v>143679091463</v>
      </c>
      <c r="J19" s="20">
        <v>143696071385</v>
      </c>
      <c r="K19" s="20">
        <v>143943002309</v>
      </c>
      <c r="L19" s="20">
        <v>144948088621</v>
      </c>
      <c r="M19" s="20">
        <v>146703225909</v>
      </c>
      <c r="N19" s="20">
        <v>146453655605</v>
      </c>
      <c r="O19" s="20">
        <v>147217577322</v>
      </c>
      <c r="P19" s="20">
        <v>146427994953</v>
      </c>
    </row>
    <row r="20" spans="1:16" x14ac:dyDescent="0.3">
      <c r="A20" s="17" t="s">
        <v>2370</v>
      </c>
      <c r="B20" s="11" t="s">
        <v>190</v>
      </c>
      <c r="C20" s="20">
        <v>4447013414</v>
      </c>
      <c r="D20" s="20">
        <v>4447013414</v>
      </c>
      <c r="E20" s="20">
        <v>4888055210</v>
      </c>
      <c r="F20" s="20">
        <v>4565941883</v>
      </c>
      <c r="G20" s="20">
        <v>5755608982</v>
      </c>
      <c r="H20" s="20">
        <v>5574875696</v>
      </c>
      <c r="I20" s="20">
        <v>5586579703</v>
      </c>
      <c r="J20" s="20">
        <v>5581052262</v>
      </c>
      <c r="K20" s="20">
        <v>5541222030</v>
      </c>
      <c r="L20" s="20">
        <v>5601922843</v>
      </c>
      <c r="M20" s="20">
        <v>5491913596</v>
      </c>
      <c r="N20" s="20">
        <v>5521975574</v>
      </c>
      <c r="O20" s="20">
        <v>4990554605</v>
      </c>
      <c r="P20" s="20">
        <v>4951940340</v>
      </c>
    </row>
    <row r="21" spans="1:16" x14ac:dyDescent="0.3">
      <c r="A21" s="17" t="s">
        <v>2371</v>
      </c>
      <c r="B21" s="11" t="s">
        <v>189</v>
      </c>
      <c r="C21" s="20">
        <v>176974483</v>
      </c>
      <c r="D21" s="20">
        <v>176974483</v>
      </c>
      <c r="E21" s="20">
        <v>175322223</v>
      </c>
      <c r="F21" s="20">
        <v>175368606</v>
      </c>
      <c r="G21" s="20">
        <v>165709609</v>
      </c>
      <c r="H21" s="20">
        <v>160851008</v>
      </c>
      <c r="I21" s="20">
        <v>157973510</v>
      </c>
      <c r="J21" s="20">
        <v>153017659</v>
      </c>
      <c r="K21" s="20">
        <v>147681952</v>
      </c>
      <c r="L21" s="20">
        <v>140328301</v>
      </c>
      <c r="M21" s="20">
        <v>137755854</v>
      </c>
      <c r="N21" s="20">
        <v>130673691</v>
      </c>
      <c r="O21" s="20">
        <v>127297620</v>
      </c>
      <c r="P21" s="20">
        <v>3041861756</v>
      </c>
    </row>
    <row r="22" spans="1:16" x14ac:dyDescent="0.3">
      <c r="A22" s="17" t="s">
        <v>2372</v>
      </c>
      <c r="B22" s="11" t="s">
        <v>188</v>
      </c>
      <c r="C22" s="20">
        <v>12068788685</v>
      </c>
      <c r="D22" s="20">
        <v>12068788685</v>
      </c>
      <c r="E22" s="20">
        <v>12096844274</v>
      </c>
      <c r="F22" s="20">
        <v>12048683797</v>
      </c>
      <c r="G22" s="20">
        <v>12126140237</v>
      </c>
      <c r="H22" s="20">
        <v>12228704702</v>
      </c>
      <c r="I22" s="20">
        <v>12370254305</v>
      </c>
      <c r="J22" s="20">
        <v>12596662329</v>
      </c>
      <c r="K22" s="20">
        <v>12731822816</v>
      </c>
      <c r="L22" s="20">
        <v>12847570832</v>
      </c>
      <c r="M22" s="20">
        <v>12933356736</v>
      </c>
      <c r="N22" s="20">
        <v>13073550836</v>
      </c>
      <c r="O22" s="20">
        <v>13351491937</v>
      </c>
      <c r="P22" s="20">
        <v>13473623532</v>
      </c>
    </row>
    <row r="23" spans="1:16" x14ac:dyDescent="0.3">
      <c r="A23" s="17" t="s">
        <v>2373</v>
      </c>
      <c r="B23" s="11" t="s">
        <v>187</v>
      </c>
      <c r="C23" s="20">
        <v>15585373817</v>
      </c>
      <c r="D23" s="20">
        <v>15585373817</v>
      </c>
      <c r="E23" s="20">
        <v>15537889302</v>
      </c>
      <c r="F23" s="20">
        <v>15683945458</v>
      </c>
      <c r="G23" s="20">
        <v>15844210895</v>
      </c>
      <c r="H23" s="20">
        <v>15859204259</v>
      </c>
      <c r="I23" s="20">
        <v>15928807791</v>
      </c>
      <c r="J23" s="20">
        <v>16085696200</v>
      </c>
      <c r="K23" s="20">
        <v>16299690463</v>
      </c>
      <c r="L23" s="20">
        <v>16417214418</v>
      </c>
      <c r="M23" s="20">
        <v>16514617258</v>
      </c>
      <c r="N23" s="20">
        <v>16511074954</v>
      </c>
      <c r="O23" s="20">
        <v>16594321102</v>
      </c>
      <c r="P23" s="20">
        <v>16797345752</v>
      </c>
    </row>
    <row r="24" spans="1:16" x14ac:dyDescent="0.3">
      <c r="A24" s="17" t="s">
        <v>2374</v>
      </c>
      <c r="B24" s="11" t="s">
        <v>186</v>
      </c>
      <c r="C24" s="20">
        <v>15585373817</v>
      </c>
      <c r="D24" s="20">
        <v>15585373817</v>
      </c>
      <c r="E24" s="20">
        <v>15537889302</v>
      </c>
      <c r="F24" s="20">
        <v>15683945458</v>
      </c>
      <c r="G24" s="20">
        <v>15844210895</v>
      </c>
      <c r="H24" s="20">
        <v>15859204259</v>
      </c>
      <c r="I24" s="20">
        <v>15928807791</v>
      </c>
      <c r="J24" s="20">
        <v>16085696200</v>
      </c>
      <c r="K24" s="20">
        <v>16299690463</v>
      </c>
      <c r="L24" s="20">
        <v>16417214418</v>
      </c>
      <c r="M24" s="20">
        <v>16514617258</v>
      </c>
      <c r="N24" s="20">
        <v>16511074954</v>
      </c>
      <c r="O24" s="20">
        <v>16594321102</v>
      </c>
      <c r="P24" s="20">
        <v>16797345752</v>
      </c>
    </row>
    <row r="25" spans="1:16" x14ac:dyDescent="0.3">
      <c r="A25" s="17" t="s">
        <v>2375</v>
      </c>
      <c r="B25" s="11" t="s">
        <v>185</v>
      </c>
      <c r="C25" s="20">
        <v>0</v>
      </c>
      <c r="D25" s="20">
        <v>0</v>
      </c>
      <c r="E25" s="20">
        <v>0</v>
      </c>
      <c r="F25" s="20">
        <v>0</v>
      </c>
      <c r="G25" s="20">
        <v>0</v>
      </c>
      <c r="H25" s="20">
        <v>0</v>
      </c>
      <c r="I25" s="20">
        <v>0</v>
      </c>
      <c r="J25" s="20">
        <v>0</v>
      </c>
      <c r="K25" s="20">
        <v>0</v>
      </c>
      <c r="L25" s="20">
        <v>0</v>
      </c>
      <c r="M25" s="20">
        <v>0</v>
      </c>
      <c r="N25" s="20">
        <v>0</v>
      </c>
      <c r="O25" s="20">
        <v>0</v>
      </c>
      <c r="P25" s="20">
        <v>0</v>
      </c>
    </row>
    <row r="26" spans="1:16" x14ac:dyDescent="0.3">
      <c r="A26" s="17" t="s">
        <v>2376</v>
      </c>
      <c r="B26" s="11" t="s">
        <v>184</v>
      </c>
      <c r="C26" s="20">
        <v>0</v>
      </c>
      <c r="D26" s="20">
        <v>0</v>
      </c>
      <c r="E26" s="20">
        <v>0</v>
      </c>
      <c r="F26" s="20">
        <v>0</v>
      </c>
      <c r="G26" s="20">
        <v>0</v>
      </c>
      <c r="H26" s="20">
        <v>0</v>
      </c>
      <c r="I26" s="20">
        <v>0</v>
      </c>
      <c r="J26" s="20">
        <v>0</v>
      </c>
      <c r="K26" s="20">
        <v>0</v>
      </c>
      <c r="L26" s="20">
        <v>0</v>
      </c>
      <c r="M26" s="20">
        <v>0</v>
      </c>
      <c r="N26" s="20">
        <v>0</v>
      </c>
      <c r="O26" s="20">
        <v>0</v>
      </c>
      <c r="P26" s="20">
        <v>0</v>
      </c>
    </row>
    <row r="27" spans="1:16" x14ac:dyDescent="0.3">
      <c r="A27" s="17" t="s">
        <v>2377</v>
      </c>
      <c r="B27" s="11" t="s">
        <v>183</v>
      </c>
      <c r="C27" s="20">
        <v>0</v>
      </c>
      <c r="D27" s="20">
        <v>0</v>
      </c>
      <c r="E27" s="20">
        <v>0</v>
      </c>
      <c r="F27" s="20">
        <v>0</v>
      </c>
      <c r="G27" s="20">
        <v>0</v>
      </c>
      <c r="H27" s="20">
        <v>0</v>
      </c>
      <c r="I27" s="20">
        <v>0</v>
      </c>
      <c r="J27" s="20">
        <v>0</v>
      </c>
      <c r="K27" s="20">
        <v>0</v>
      </c>
      <c r="L27" s="20">
        <v>0</v>
      </c>
      <c r="M27" s="20">
        <v>0</v>
      </c>
      <c r="N27" s="20">
        <v>0</v>
      </c>
      <c r="O27" s="20">
        <v>0</v>
      </c>
      <c r="P27" s="20">
        <v>0</v>
      </c>
    </row>
    <row r="28" spans="1:16" x14ac:dyDescent="0.3">
      <c r="A28" s="17" t="s">
        <v>2378</v>
      </c>
      <c r="B28" s="11" t="s">
        <v>182</v>
      </c>
      <c r="C28" s="20">
        <v>0</v>
      </c>
      <c r="D28" s="20">
        <v>0</v>
      </c>
      <c r="E28" s="20">
        <v>0</v>
      </c>
      <c r="F28" s="20">
        <v>0</v>
      </c>
      <c r="G28" s="20">
        <v>0</v>
      </c>
      <c r="H28" s="20">
        <v>0</v>
      </c>
      <c r="I28" s="20">
        <v>0</v>
      </c>
      <c r="J28" s="20">
        <v>0</v>
      </c>
      <c r="K28" s="20">
        <v>0</v>
      </c>
      <c r="L28" s="20">
        <v>0</v>
      </c>
      <c r="M28" s="20">
        <v>0</v>
      </c>
      <c r="N28" s="20">
        <v>0</v>
      </c>
      <c r="O28" s="20">
        <v>0</v>
      </c>
      <c r="P28" s="20">
        <v>0</v>
      </c>
    </row>
    <row r="29" spans="1:16" x14ac:dyDescent="0.3">
      <c r="A29" s="17" t="s">
        <v>2379</v>
      </c>
      <c r="B29" s="11" t="s">
        <v>194</v>
      </c>
      <c r="C29" s="20">
        <v>3185945006</v>
      </c>
      <c r="D29" s="20">
        <v>3185945006</v>
      </c>
      <c r="E29" s="20">
        <v>3214129660</v>
      </c>
      <c r="F29" s="20">
        <v>3081623351</v>
      </c>
      <c r="G29" s="20">
        <v>3007058405</v>
      </c>
      <c r="H29" s="20">
        <v>3570732854</v>
      </c>
      <c r="I29" s="20">
        <v>3137827352</v>
      </c>
      <c r="J29" s="20">
        <v>2916535121</v>
      </c>
      <c r="K29" s="20">
        <v>3074935127</v>
      </c>
      <c r="L29" s="20">
        <v>3251779594</v>
      </c>
      <c r="M29" s="20">
        <v>3352566792</v>
      </c>
      <c r="N29" s="20">
        <v>3645792245</v>
      </c>
      <c r="O29" s="20">
        <v>3280165471</v>
      </c>
      <c r="P29" s="20">
        <v>3804567730</v>
      </c>
    </row>
    <row r="30" spans="1:16" x14ac:dyDescent="0.3">
      <c r="A30" s="17" t="s">
        <v>2380</v>
      </c>
      <c r="B30" s="11" t="s">
        <v>192</v>
      </c>
      <c r="C30" s="20">
        <v>2338529113</v>
      </c>
      <c r="D30" s="20">
        <v>2338529113</v>
      </c>
      <c r="E30" s="20">
        <v>2301284183</v>
      </c>
      <c r="F30" s="20">
        <v>2175124419</v>
      </c>
      <c r="G30" s="20">
        <v>2133616354</v>
      </c>
      <c r="H30" s="20">
        <v>2693197123</v>
      </c>
      <c r="I30" s="20">
        <v>2239832026</v>
      </c>
      <c r="J30" s="20">
        <v>2001846672</v>
      </c>
      <c r="K30" s="20">
        <v>2178967112</v>
      </c>
      <c r="L30" s="20">
        <v>2328587259</v>
      </c>
      <c r="M30" s="20">
        <v>2445541730</v>
      </c>
      <c r="N30" s="20">
        <v>2700214677</v>
      </c>
      <c r="O30" s="20">
        <v>2318652525</v>
      </c>
      <c r="P30" s="20">
        <v>2925197361</v>
      </c>
    </row>
    <row r="31" spans="1:16" x14ac:dyDescent="0.3">
      <c r="A31" s="17" t="s">
        <v>2381</v>
      </c>
      <c r="B31" s="11" t="s">
        <v>191</v>
      </c>
      <c r="C31" s="20">
        <v>2338529113</v>
      </c>
      <c r="D31" s="20">
        <v>2338529113</v>
      </c>
      <c r="E31" s="20">
        <v>2301284183</v>
      </c>
      <c r="F31" s="20">
        <v>2175124419</v>
      </c>
      <c r="G31" s="20">
        <v>2133616354</v>
      </c>
      <c r="H31" s="20">
        <v>2692740775</v>
      </c>
      <c r="I31" s="20">
        <v>2239406489</v>
      </c>
      <c r="J31" s="20">
        <v>2001846672</v>
      </c>
      <c r="K31" s="20">
        <v>2178967112</v>
      </c>
      <c r="L31" s="20">
        <v>2328587259</v>
      </c>
      <c r="M31" s="20">
        <v>2445541730</v>
      </c>
      <c r="N31" s="20">
        <v>2700214677</v>
      </c>
      <c r="O31" s="20">
        <v>2318652525</v>
      </c>
      <c r="P31" s="20">
        <v>2925197361</v>
      </c>
    </row>
    <row r="32" spans="1:16" x14ac:dyDescent="0.3">
      <c r="A32" s="17" t="s">
        <v>2382</v>
      </c>
      <c r="B32" s="11" t="s">
        <v>190</v>
      </c>
      <c r="C32" s="20">
        <v>0</v>
      </c>
      <c r="D32" s="20">
        <v>0</v>
      </c>
      <c r="E32" s="20">
        <v>0</v>
      </c>
      <c r="F32" s="20">
        <v>0</v>
      </c>
      <c r="G32" s="20">
        <v>0</v>
      </c>
      <c r="H32" s="20">
        <v>0</v>
      </c>
      <c r="I32" s="20">
        <v>0</v>
      </c>
      <c r="J32" s="20">
        <v>0</v>
      </c>
      <c r="K32" s="20">
        <v>0</v>
      </c>
      <c r="L32" s="20">
        <v>0</v>
      </c>
      <c r="M32" s="20">
        <v>0</v>
      </c>
      <c r="N32" s="20">
        <v>0</v>
      </c>
      <c r="O32" s="20">
        <v>0</v>
      </c>
      <c r="P32" s="20">
        <v>0</v>
      </c>
    </row>
    <row r="33" spans="1:16" x14ac:dyDescent="0.3">
      <c r="A33" s="17" t="s">
        <v>2383</v>
      </c>
      <c r="B33" s="11" t="s">
        <v>189</v>
      </c>
      <c r="C33" s="20">
        <v>0</v>
      </c>
      <c r="D33" s="20">
        <v>0</v>
      </c>
      <c r="E33" s="20">
        <v>0</v>
      </c>
      <c r="F33" s="20">
        <v>0</v>
      </c>
      <c r="G33" s="20">
        <v>0</v>
      </c>
      <c r="H33" s="20">
        <v>456348</v>
      </c>
      <c r="I33" s="20">
        <v>425537</v>
      </c>
      <c r="J33" s="20">
        <v>0</v>
      </c>
      <c r="K33" s="20">
        <v>0</v>
      </c>
      <c r="L33" s="20">
        <v>0</v>
      </c>
      <c r="M33" s="20">
        <v>0</v>
      </c>
      <c r="N33" s="20">
        <v>0</v>
      </c>
      <c r="O33" s="20">
        <v>0</v>
      </c>
      <c r="P33" s="20">
        <v>0</v>
      </c>
    </row>
    <row r="34" spans="1:16" x14ac:dyDescent="0.3">
      <c r="A34" s="17" t="s">
        <v>2384</v>
      </c>
      <c r="B34" s="11" t="s">
        <v>188</v>
      </c>
      <c r="C34" s="20">
        <v>314164761</v>
      </c>
      <c r="D34" s="20">
        <v>314164761</v>
      </c>
      <c r="E34" s="20">
        <v>306022628</v>
      </c>
      <c r="F34" s="20">
        <v>323937665</v>
      </c>
      <c r="G34" s="20">
        <v>330556514</v>
      </c>
      <c r="H34" s="20">
        <v>331154294</v>
      </c>
      <c r="I34" s="20">
        <v>325990828</v>
      </c>
      <c r="J34" s="20">
        <v>325643572</v>
      </c>
      <c r="K34" s="20">
        <v>319114902</v>
      </c>
      <c r="L34" s="20">
        <v>335196999</v>
      </c>
      <c r="M34" s="20">
        <v>341444821</v>
      </c>
      <c r="N34" s="20">
        <v>363912127</v>
      </c>
      <c r="O34" s="20">
        <v>377112006</v>
      </c>
      <c r="P34" s="20">
        <v>344188313</v>
      </c>
    </row>
    <row r="35" spans="1:16" x14ac:dyDescent="0.3">
      <c r="A35" s="17" t="s">
        <v>2385</v>
      </c>
      <c r="B35" s="11" t="s">
        <v>187</v>
      </c>
      <c r="C35" s="20">
        <v>533251132</v>
      </c>
      <c r="D35" s="20">
        <v>533251132</v>
      </c>
      <c r="E35" s="20">
        <v>606822849</v>
      </c>
      <c r="F35" s="20">
        <v>582561267</v>
      </c>
      <c r="G35" s="20">
        <v>542885537</v>
      </c>
      <c r="H35" s="20">
        <v>546381437</v>
      </c>
      <c r="I35" s="20">
        <v>572004498</v>
      </c>
      <c r="J35" s="20">
        <v>589044877</v>
      </c>
      <c r="K35" s="20">
        <v>576853113</v>
      </c>
      <c r="L35" s="20">
        <v>587995336</v>
      </c>
      <c r="M35" s="20">
        <v>565580241</v>
      </c>
      <c r="N35" s="20">
        <v>581665441</v>
      </c>
      <c r="O35" s="20">
        <v>584400940</v>
      </c>
      <c r="P35" s="20">
        <v>535182056</v>
      </c>
    </row>
    <row r="36" spans="1:16" x14ac:dyDescent="0.3">
      <c r="A36" s="17" t="s">
        <v>2386</v>
      </c>
      <c r="B36" s="11" t="s">
        <v>186</v>
      </c>
      <c r="C36" s="20">
        <v>533251132</v>
      </c>
      <c r="D36" s="20">
        <v>533251132</v>
      </c>
      <c r="E36" s="20">
        <v>606822849</v>
      </c>
      <c r="F36" s="20">
        <v>582561267</v>
      </c>
      <c r="G36" s="20">
        <v>542885537</v>
      </c>
      <c r="H36" s="20">
        <v>546381437</v>
      </c>
      <c r="I36" s="20">
        <v>572004498</v>
      </c>
      <c r="J36" s="20">
        <v>589044877</v>
      </c>
      <c r="K36" s="20">
        <v>576853113</v>
      </c>
      <c r="L36" s="20">
        <v>587995336</v>
      </c>
      <c r="M36" s="20">
        <v>565580241</v>
      </c>
      <c r="N36" s="20">
        <v>581665441</v>
      </c>
      <c r="O36" s="20">
        <v>584400940</v>
      </c>
      <c r="P36" s="20">
        <v>535182056</v>
      </c>
    </row>
    <row r="37" spans="1:16" x14ac:dyDescent="0.3">
      <c r="A37" s="17" t="s">
        <v>2387</v>
      </c>
      <c r="B37" s="11" t="s">
        <v>185</v>
      </c>
      <c r="C37" s="20">
        <v>0</v>
      </c>
      <c r="D37" s="20">
        <v>0</v>
      </c>
      <c r="E37" s="20">
        <v>0</v>
      </c>
      <c r="F37" s="20">
        <v>0</v>
      </c>
      <c r="G37" s="20">
        <v>0</v>
      </c>
      <c r="H37" s="20">
        <v>0</v>
      </c>
      <c r="I37" s="20">
        <v>0</v>
      </c>
      <c r="J37" s="20">
        <v>0</v>
      </c>
      <c r="K37" s="20">
        <v>0</v>
      </c>
      <c r="L37" s="20">
        <v>0</v>
      </c>
      <c r="M37" s="20">
        <v>0</v>
      </c>
      <c r="N37" s="20">
        <v>0</v>
      </c>
      <c r="O37" s="20">
        <v>0</v>
      </c>
      <c r="P37" s="20">
        <v>0</v>
      </c>
    </row>
    <row r="38" spans="1:16" x14ac:dyDescent="0.3">
      <c r="A38" s="17" t="s">
        <v>2388</v>
      </c>
      <c r="B38" s="11" t="s">
        <v>184</v>
      </c>
      <c r="C38" s="20">
        <v>0</v>
      </c>
      <c r="D38" s="20">
        <v>0</v>
      </c>
      <c r="E38" s="20">
        <v>0</v>
      </c>
      <c r="F38" s="20">
        <v>0</v>
      </c>
      <c r="G38" s="20">
        <v>0</v>
      </c>
      <c r="H38" s="20">
        <v>0</v>
      </c>
      <c r="I38" s="20">
        <v>0</v>
      </c>
      <c r="J38" s="20">
        <v>0</v>
      </c>
      <c r="K38" s="20">
        <v>0</v>
      </c>
      <c r="L38" s="20">
        <v>0</v>
      </c>
      <c r="M38" s="20">
        <v>0</v>
      </c>
      <c r="N38" s="20">
        <v>0</v>
      </c>
      <c r="O38" s="20">
        <v>0</v>
      </c>
      <c r="P38" s="20">
        <v>0</v>
      </c>
    </row>
    <row r="39" spans="1:16" x14ac:dyDescent="0.3">
      <c r="A39" s="17" t="s">
        <v>2389</v>
      </c>
      <c r="B39" s="11" t="s">
        <v>183</v>
      </c>
      <c r="C39" s="20">
        <v>0</v>
      </c>
      <c r="D39" s="20">
        <v>0</v>
      </c>
      <c r="E39" s="20">
        <v>0</v>
      </c>
      <c r="F39" s="20">
        <v>0</v>
      </c>
      <c r="G39" s="20">
        <v>0</v>
      </c>
      <c r="H39" s="20">
        <v>0</v>
      </c>
      <c r="I39" s="20">
        <v>0</v>
      </c>
      <c r="J39" s="20">
        <v>0</v>
      </c>
      <c r="K39" s="20">
        <v>0</v>
      </c>
      <c r="L39" s="20">
        <v>0</v>
      </c>
      <c r="M39" s="20">
        <v>0</v>
      </c>
      <c r="N39" s="20">
        <v>0</v>
      </c>
      <c r="O39" s="20">
        <v>0</v>
      </c>
      <c r="P39" s="20">
        <v>0</v>
      </c>
    </row>
    <row r="40" spans="1:16" x14ac:dyDescent="0.3">
      <c r="A40" s="17" t="s">
        <v>2390</v>
      </c>
      <c r="B40" s="11" t="s">
        <v>182</v>
      </c>
      <c r="C40" s="20">
        <v>0</v>
      </c>
      <c r="D40" s="20">
        <v>0</v>
      </c>
      <c r="E40" s="20">
        <v>0</v>
      </c>
      <c r="F40" s="20">
        <v>0</v>
      </c>
      <c r="G40" s="20">
        <v>0</v>
      </c>
      <c r="H40" s="20">
        <v>0</v>
      </c>
      <c r="I40" s="20">
        <v>0</v>
      </c>
      <c r="J40" s="20">
        <v>0</v>
      </c>
      <c r="K40" s="20">
        <v>0</v>
      </c>
      <c r="L40" s="20">
        <v>0</v>
      </c>
      <c r="M40" s="20">
        <v>0</v>
      </c>
      <c r="N40" s="20">
        <v>0</v>
      </c>
      <c r="O40" s="20">
        <v>0</v>
      </c>
      <c r="P40" s="20">
        <v>0</v>
      </c>
    </row>
    <row r="41" spans="1:16" x14ac:dyDescent="0.3">
      <c r="A41" s="17" t="s">
        <v>2391</v>
      </c>
      <c r="B41" s="11" t="s">
        <v>193</v>
      </c>
      <c r="C41" s="20">
        <v>2225078411</v>
      </c>
      <c r="D41" s="20">
        <v>2225078411</v>
      </c>
      <c r="E41" s="20">
        <v>2197596295</v>
      </c>
      <c r="F41" s="20">
        <v>2375691071</v>
      </c>
      <c r="G41" s="20">
        <v>2456482757</v>
      </c>
      <c r="H41" s="20">
        <v>2544842035</v>
      </c>
      <c r="I41" s="20">
        <v>2735599721</v>
      </c>
      <c r="J41" s="20">
        <v>2767037010</v>
      </c>
      <c r="K41" s="20">
        <v>2762233617</v>
      </c>
      <c r="L41" s="20">
        <v>2939128151</v>
      </c>
      <c r="M41" s="20">
        <v>3042316710</v>
      </c>
      <c r="N41" s="20">
        <v>3300153442</v>
      </c>
      <c r="O41" s="20">
        <v>3357520163</v>
      </c>
      <c r="P41" s="20">
        <v>2699067928</v>
      </c>
    </row>
    <row r="42" spans="1:16" x14ac:dyDescent="0.3">
      <c r="A42" s="17" t="s">
        <v>2392</v>
      </c>
      <c r="B42" s="11" t="s">
        <v>192</v>
      </c>
      <c r="C42" s="20">
        <v>1792576550</v>
      </c>
      <c r="D42" s="20">
        <v>1792576550</v>
      </c>
      <c r="E42" s="20">
        <v>1776881948</v>
      </c>
      <c r="F42" s="20">
        <v>1918539929</v>
      </c>
      <c r="G42" s="20">
        <v>1963275400</v>
      </c>
      <c r="H42" s="20">
        <v>2030461464</v>
      </c>
      <c r="I42" s="20">
        <v>2211746469</v>
      </c>
      <c r="J42" s="20">
        <v>2245274672</v>
      </c>
      <c r="K42" s="20">
        <v>2239953917</v>
      </c>
      <c r="L42" s="20">
        <v>2416090061</v>
      </c>
      <c r="M42" s="20">
        <v>2514863999</v>
      </c>
      <c r="N42" s="20">
        <v>2787237126</v>
      </c>
      <c r="O42" s="20">
        <v>2821181760</v>
      </c>
      <c r="P42" s="20">
        <v>2156326114</v>
      </c>
    </row>
    <row r="43" spans="1:16" x14ac:dyDescent="0.3">
      <c r="A43" s="17" t="s">
        <v>2393</v>
      </c>
      <c r="B43" s="11" t="s">
        <v>191</v>
      </c>
      <c r="C43" s="20">
        <v>1792576550</v>
      </c>
      <c r="D43" s="20">
        <v>1792576550</v>
      </c>
      <c r="E43" s="20">
        <v>1776881948</v>
      </c>
      <c r="F43" s="20">
        <v>1918539929</v>
      </c>
      <c r="G43" s="20">
        <v>1963275400</v>
      </c>
      <c r="H43" s="20">
        <v>2030461464</v>
      </c>
      <c r="I43" s="20">
        <v>2211746469</v>
      </c>
      <c r="J43" s="20">
        <v>2245274672</v>
      </c>
      <c r="K43" s="20">
        <v>2239953917</v>
      </c>
      <c r="L43" s="20">
        <v>2416090061</v>
      </c>
      <c r="M43" s="20">
        <v>2514863999</v>
      </c>
      <c r="N43" s="20">
        <v>2787237126</v>
      </c>
      <c r="O43" s="20">
        <v>2821181760</v>
      </c>
      <c r="P43" s="20">
        <v>2156326114</v>
      </c>
    </row>
    <row r="44" spans="1:16" x14ac:dyDescent="0.3">
      <c r="A44" s="17" t="s">
        <v>2394</v>
      </c>
      <c r="B44" s="11" t="s">
        <v>190</v>
      </c>
      <c r="C44" s="20">
        <v>0</v>
      </c>
      <c r="D44" s="20">
        <v>0</v>
      </c>
      <c r="E44" s="20">
        <v>0</v>
      </c>
      <c r="F44" s="20">
        <v>0</v>
      </c>
      <c r="G44" s="20">
        <v>0</v>
      </c>
      <c r="H44" s="20">
        <v>0</v>
      </c>
      <c r="I44" s="20">
        <v>0</v>
      </c>
      <c r="J44" s="20">
        <v>0</v>
      </c>
      <c r="K44" s="20">
        <v>0</v>
      </c>
      <c r="L44" s="20">
        <v>0</v>
      </c>
      <c r="M44" s="20">
        <v>0</v>
      </c>
      <c r="N44" s="20">
        <v>0</v>
      </c>
      <c r="O44" s="20">
        <v>0</v>
      </c>
      <c r="P44" s="20">
        <v>0</v>
      </c>
    </row>
    <row r="45" spans="1:16" x14ac:dyDescent="0.3">
      <c r="A45" s="17" t="s">
        <v>2395</v>
      </c>
      <c r="B45" s="11" t="s">
        <v>189</v>
      </c>
      <c r="C45" s="20">
        <v>0</v>
      </c>
      <c r="D45" s="20">
        <v>0</v>
      </c>
      <c r="E45" s="20">
        <v>0</v>
      </c>
      <c r="F45" s="20">
        <v>0</v>
      </c>
      <c r="G45" s="20">
        <v>0</v>
      </c>
      <c r="H45" s="20">
        <v>0</v>
      </c>
      <c r="I45" s="20">
        <v>0</v>
      </c>
      <c r="J45" s="20">
        <v>0</v>
      </c>
      <c r="K45" s="20">
        <v>0</v>
      </c>
      <c r="L45" s="20">
        <v>0</v>
      </c>
      <c r="M45" s="20">
        <v>0</v>
      </c>
      <c r="N45" s="20">
        <v>0</v>
      </c>
      <c r="O45" s="20">
        <v>0</v>
      </c>
      <c r="P45" s="20">
        <v>0</v>
      </c>
    </row>
    <row r="46" spans="1:16" x14ac:dyDescent="0.3">
      <c r="A46" s="17" t="s">
        <v>2396</v>
      </c>
      <c r="B46" s="11" t="s">
        <v>188</v>
      </c>
      <c r="C46" s="20">
        <v>213342584</v>
      </c>
      <c r="D46" s="20">
        <v>213342584</v>
      </c>
      <c r="E46" s="20">
        <v>208743588</v>
      </c>
      <c r="F46" s="20">
        <v>242734873</v>
      </c>
      <c r="G46" s="20">
        <v>269489112</v>
      </c>
      <c r="H46" s="20">
        <v>291986044</v>
      </c>
      <c r="I46" s="20">
        <v>294537211</v>
      </c>
      <c r="J46" s="20">
        <v>300968041</v>
      </c>
      <c r="K46" s="20">
        <v>296035844</v>
      </c>
      <c r="L46" s="20">
        <v>297695462</v>
      </c>
      <c r="M46" s="20">
        <v>296986226</v>
      </c>
      <c r="N46" s="20">
        <v>295181902</v>
      </c>
      <c r="O46" s="20">
        <v>309131247</v>
      </c>
      <c r="P46" s="20">
        <v>326159710</v>
      </c>
    </row>
    <row r="47" spans="1:16" x14ac:dyDescent="0.3">
      <c r="A47" s="17" t="s">
        <v>2397</v>
      </c>
      <c r="B47" s="11" t="s">
        <v>187</v>
      </c>
      <c r="C47" s="20">
        <v>219159277</v>
      </c>
      <c r="D47" s="20">
        <v>219159277</v>
      </c>
      <c r="E47" s="20">
        <v>211970759</v>
      </c>
      <c r="F47" s="20">
        <v>214416269</v>
      </c>
      <c r="G47" s="20">
        <v>223718245</v>
      </c>
      <c r="H47" s="20">
        <v>222394527</v>
      </c>
      <c r="I47" s="20">
        <v>229316041</v>
      </c>
      <c r="J47" s="20">
        <v>220794297</v>
      </c>
      <c r="K47" s="20">
        <v>226243856</v>
      </c>
      <c r="L47" s="20">
        <v>225342628</v>
      </c>
      <c r="M47" s="20">
        <v>230466485</v>
      </c>
      <c r="N47" s="20">
        <v>217734414</v>
      </c>
      <c r="O47" s="20">
        <v>227207156</v>
      </c>
      <c r="P47" s="20">
        <v>216582104</v>
      </c>
    </row>
    <row r="48" spans="1:16" x14ac:dyDescent="0.3">
      <c r="A48" s="17" t="s">
        <v>2398</v>
      </c>
      <c r="B48" s="11" t="s">
        <v>186</v>
      </c>
      <c r="C48" s="20">
        <v>219159277</v>
      </c>
      <c r="D48" s="20">
        <v>219159277</v>
      </c>
      <c r="E48" s="20">
        <v>211970759</v>
      </c>
      <c r="F48" s="20">
        <v>214416269</v>
      </c>
      <c r="G48" s="20">
        <v>223718245</v>
      </c>
      <c r="H48" s="20">
        <v>222394527</v>
      </c>
      <c r="I48" s="20">
        <v>229316041</v>
      </c>
      <c r="J48" s="20">
        <v>220794297</v>
      </c>
      <c r="K48" s="20">
        <v>226243856</v>
      </c>
      <c r="L48" s="20">
        <v>225342628</v>
      </c>
      <c r="M48" s="20">
        <v>230466485</v>
      </c>
      <c r="N48" s="20">
        <v>217734414</v>
      </c>
      <c r="O48" s="20">
        <v>227207156</v>
      </c>
      <c r="P48" s="20">
        <v>216582104</v>
      </c>
    </row>
    <row r="49" spans="1:16" x14ac:dyDescent="0.3">
      <c r="A49" s="17" t="s">
        <v>2399</v>
      </c>
      <c r="B49" s="11" t="s">
        <v>185</v>
      </c>
      <c r="C49" s="20">
        <v>0</v>
      </c>
      <c r="D49" s="20">
        <v>0</v>
      </c>
      <c r="E49" s="20">
        <v>0</v>
      </c>
      <c r="F49" s="20">
        <v>0</v>
      </c>
      <c r="G49" s="20">
        <v>0</v>
      </c>
      <c r="H49" s="20">
        <v>0</v>
      </c>
      <c r="I49" s="20">
        <v>0</v>
      </c>
      <c r="J49" s="20">
        <v>0</v>
      </c>
      <c r="K49" s="20">
        <v>0</v>
      </c>
      <c r="L49" s="20">
        <v>0</v>
      </c>
      <c r="M49" s="20">
        <v>0</v>
      </c>
      <c r="N49" s="20">
        <v>0</v>
      </c>
      <c r="O49" s="20">
        <v>0</v>
      </c>
      <c r="P49" s="20">
        <v>0</v>
      </c>
    </row>
    <row r="50" spans="1:16" x14ac:dyDescent="0.3">
      <c r="A50" s="17" t="s">
        <v>2400</v>
      </c>
      <c r="B50" s="11" t="s">
        <v>184</v>
      </c>
      <c r="C50" s="20">
        <v>0</v>
      </c>
      <c r="D50" s="20">
        <v>0</v>
      </c>
      <c r="E50" s="20">
        <v>0</v>
      </c>
      <c r="F50" s="20">
        <v>0</v>
      </c>
      <c r="G50" s="20">
        <v>0</v>
      </c>
      <c r="H50" s="20">
        <v>0</v>
      </c>
      <c r="I50" s="20">
        <v>0</v>
      </c>
      <c r="J50" s="20">
        <v>0</v>
      </c>
      <c r="K50" s="20">
        <v>0</v>
      </c>
      <c r="L50" s="20">
        <v>0</v>
      </c>
      <c r="M50" s="20">
        <v>0</v>
      </c>
      <c r="N50" s="20">
        <v>0</v>
      </c>
      <c r="O50" s="20">
        <v>0</v>
      </c>
      <c r="P50" s="20">
        <v>0</v>
      </c>
    </row>
    <row r="51" spans="1:16" x14ac:dyDescent="0.3">
      <c r="A51" s="17" t="s">
        <v>2401</v>
      </c>
      <c r="B51" s="11" t="s">
        <v>183</v>
      </c>
      <c r="C51" s="20">
        <v>0</v>
      </c>
      <c r="D51" s="20">
        <v>0</v>
      </c>
      <c r="E51" s="20">
        <v>0</v>
      </c>
      <c r="F51" s="20">
        <v>0</v>
      </c>
      <c r="G51" s="20">
        <v>0</v>
      </c>
      <c r="H51" s="20">
        <v>0</v>
      </c>
      <c r="I51" s="20">
        <v>0</v>
      </c>
      <c r="J51" s="20">
        <v>0</v>
      </c>
      <c r="K51" s="20">
        <v>0</v>
      </c>
      <c r="L51" s="20">
        <v>0</v>
      </c>
      <c r="M51" s="20">
        <v>0</v>
      </c>
      <c r="N51" s="20">
        <v>0</v>
      </c>
      <c r="O51" s="20">
        <v>0</v>
      </c>
      <c r="P51" s="20">
        <v>0</v>
      </c>
    </row>
    <row r="52" spans="1:16" x14ac:dyDescent="0.3">
      <c r="A52" s="17" t="s">
        <v>2402</v>
      </c>
      <c r="B52" s="11" t="s">
        <v>182</v>
      </c>
      <c r="C52" s="20">
        <v>0</v>
      </c>
      <c r="D52" s="20">
        <v>0</v>
      </c>
      <c r="E52" s="20">
        <v>0</v>
      </c>
      <c r="F52" s="20">
        <v>0</v>
      </c>
      <c r="G52" s="20">
        <v>0</v>
      </c>
      <c r="H52" s="20">
        <v>0</v>
      </c>
      <c r="I52" s="20">
        <v>0</v>
      </c>
      <c r="J52" s="20">
        <v>0</v>
      </c>
      <c r="K52" s="20">
        <v>0</v>
      </c>
      <c r="L52" s="20">
        <v>0</v>
      </c>
      <c r="M52" s="20">
        <v>0</v>
      </c>
      <c r="N52" s="20">
        <v>0</v>
      </c>
      <c r="O52" s="20">
        <v>0</v>
      </c>
      <c r="P52" s="20">
        <v>0</v>
      </c>
    </row>
    <row r="53" spans="1:16" x14ac:dyDescent="0.3">
      <c r="A53" s="17" t="s">
        <v>2403</v>
      </c>
      <c r="B53" s="11" t="s">
        <v>181</v>
      </c>
      <c r="C53" s="20">
        <v>0</v>
      </c>
      <c r="D53" s="20">
        <v>0</v>
      </c>
      <c r="E53" s="20">
        <v>0</v>
      </c>
      <c r="F53" s="20">
        <v>0</v>
      </c>
      <c r="G53" s="20">
        <v>0</v>
      </c>
      <c r="H53" s="20">
        <v>0</v>
      </c>
      <c r="I53" s="20">
        <v>0</v>
      </c>
      <c r="J53" s="20">
        <v>0</v>
      </c>
      <c r="K53" s="20">
        <v>0</v>
      </c>
      <c r="L53" s="20">
        <v>0</v>
      </c>
      <c r="M53" s="20">
        <v>0</v>
      </c>
      <c r="N53" s="20">
        <v>0</v>
      </c>
      <c r="O53" s="20">
        <v>0</v>
      </c>
      <c r="P53" s="20">
        <v>0</v>
      </c>
    </row>
    <row r="54" spans="1:16" x14ac:dyDescent="0.3">
      <c r="A54" s="17" t="s">
        <v>2404</v>
      </c>
      <c r="B54" s="11" t="s">
        <v>180</v>
      </c>
      <c r="C54" s="20">
        <v>177175758183</v>
      </c>
      <c r="D54" s="20">
        <v>177175758183</v>
      </c>
      <c r="E54" s="20">
        <v>179207552567</v>
      </c>
      <c r="F54" s="20">
        <v>178846120682</v>
      </c>
      <c r="G54" s="20">
        <v>181059009130</v>
      </c>
      <c r="H54" s="20">
        <v>181176390370</v>
      </c>
      <c r="I54" s="20">
        <v>183596133845</v>
      </c>
      <c r="J54" s="20">
        <v>183796071966</v>
      </c>
      <c r="K54" s="20">
        <v>184500588314</v>
      </c>
      <c r="L54" s="20">
        <v>186146032760</v>
      </c>
      <c r="M54" s="20">
        <v>188175752855</v>
      </c>
      <c r="N54" s="20">
        <v>188636876347</v>
      </c>
      <c r="O54" s="20">
        <v>188918928220</v>
      </c>
      <c r="P54" s="20">
        <v>191196401991</v>
      </c>
    </row>
    <row r="55" spans="1:16" x14ac:dyDescent="0.3">
      <c r="A55" s="17" t="s">
        <v>2405</v>
      </c>
      <c r="B55" s="11" t="s">
        <v>179</v>
      </c>
      <c r="C55" s="20">
        <v>551574943</v>
      </c>
      <c r="D55" s="20">
        <v>551574943</v>
      </c>
      <c r="E55" s="20">
        <v>564290693</v>
      </c>
      <c r="F55" s="20">
        <v>582541249</v>
      </c>
      <c r="G55" s="20">
        <v>597378095</v>
      </c>
      <c r="H55" s="20">
        <v>602973867</v>
      </c>
      <c r="I55" s="20">
        <v>618745639</v>
      </c>
      <c r="J55" s="20">
        <v>634298084</v>
      </c>
      <c r="K55" s="20">
        <v>649820541</v>
      </c>
      <c r="L55" s="20">
        <v>660369960</v>
      </c>
      <c r="M55" s="20">
        <v>671051699</v>
      </c>
      <c r="N55" s="20">
        <v>708917782</v>
      </c>
      <c r="O55" s="20">
        <v>716390779</v>
      </c>
      <c r="P55" s="20">
        <v>727771049</v>
      </c>
    </row>
    <row r="56" spans="1:16" x14ac:dyDescent="0.3">
      <c r="A56" s="17" t="s">
        <v>2406</v>
      </c>
      <c r="B56" s="11" t="s">
        <v>178</v>
      </c>
      <c r="C56" s="20">
        <v>-3653332054</v>
      </c>
      <c r="D56" s="20">
        <v>-3653332054</v>
      </c>
      <c r="E56" s="20">
        <v>-3656047029</v>
      </c>
      <c r="F56" s="20">
        <v>-3706706776</v>
      </c>
      <c r="G56" s="20">
        <v>-3713474004</v>
      </c>
      <c r="H56" s="20">
        <v>-3789232089</v>
      </c>
      <c r="I56" s="20">
        <v>-3864957549</v>
      </c>
      <c r="J56" s="20">
        <v>-3882715352</v>
      </c>
      <c r="K56" s="20">
        <v>-3964310605</v>
      </c>
      <c r="L56" s="20">
        <v>-3951288997</v>
      </c>
      <c r="M56" s="20">
        <v>-3967899825</v>
      </c>
      <c r="N56" s="20">
        <v>-4061562284</v>
      </c>
      <c r="O56" s="20">
        <v>-4091626910</v>
      </c>
      <c r="P56" s="20">
        <v>-3918650423</v>
      </c>
    </row>
    <row r="57" spans="1:16" x14ac:dyDescent="0.3">
      <c r="A57" s="17" t="s">
        <v>2407</v>
      </c>
      <c r="B57" s="11" t="s">
        <v>177</v>
      </c>
      <c r="C57" s="20">
        <v>174074001072</v>
      </c>
      <c r="D57" s="20">
        <v>174074001072</v>
      </c>
      <c r="E57" s="20">
        <v>176115796231</v>
      </c>
      <c r="F57" s="20">
        <v>175721955155</v>
      </c>
      <c r="G57" s="20">
        <v>177942913221</v>
      </c>
      <c r="H57" s="20">
        <v>177990132148</v>
      </c>
      <c r="I57" s="20">
        <v>180349921935</v>
      </c>
      <c r="J57" s="20">
        <v>180547654698</v>
      </c>
      <c r="K57" s="20">
        <v>181186098250</v>
      </c>
      <c r="L57" s="20">
        <v>182855113723</v>
      </c>
      <c r="M57" s="20">
        <v>184878904729</v>
      </c>
      <c r="N57" s="20">
        <v>185284231845</v>
      </c>
      <c r="O57" s="20">
        <v>185543692089</v>
      </c>
      <c r="P57" s="20">
        <v>188005522617</v>
      </c>
    </row>
    <row r="58" spans="1:16" x14ac:dyDescent="0.3">
      <c r="A58" s="17" t="s">
        <v>2408</v>
      </c>
      <c r="B58" s="11" t="s">
        <v>176</v>
      </c>
      <c r="C58" s="20">
        <v>40123379</v>
      </c>
      <c r="D58" s="20">
        <v>40123379</v>
      </c>
      <c r="E58" s="20">
        <v>39634654</v>
      </c>
      <c r="F58" s="20">
        <v>39477872</v>
      </c>
      <c r="G58" s="20">
        <v>39198913</v>
      </c>
      <c r="H58" s="20">
        <v>38983420</v>
      </c>
      <c r="I58" s="20">
        <v>38743533</v>
      </c>
      <c r="J58" s="20">
        <v>38478626</v>
      </c>
      <c r="K58" s="20">
        <v>38220248</v>
      </c>
      <c r="L58" s="20">
        <v>37986831</v>
      </c>
      <c r="M58" s="20">
        <v>37583652</v>
      </c>
      <c r="N58" s="20">
        <v>37085618</v>
      </c>
      <c r="O58" s="20">
        <v>36569652</v>
      </c>
      <c r="P58" s="20">
        <v>35995721</v>
      </c>
    </row>
    <row r="59" spans="1:16" x14ac:dyDescent="0.3">
      <c r="A59" s="17" t="s">
        <v>2409</v>
      </c>
      <c r="B59" s="11" t="s">
        <v>175</v>
      </c>
      <c r="C59" s="20">
        <v>0</v>
      </c>
      <c r="D59" s="20">
        <v>0</v>
      </c>
      <c r="E59" s="20">
        <v>0</v>
      </c>
      <c r="F59" s="20">
        <v>0</v>
      </c>
      <c r="G59" s="20">
        <v>0</v>
      </c>
      <c r="H59" s="20">
        <v>0</v>
      </c>
      <c r="I59" s="20">
        <v>0</v>
      </c>
      <c r="J59" s="20">
        <v>0</v>
      </c>
      <c r="K59" s="20">
        <v>0</v>
      </c>
      <c r="L59" s="20">
        <v>0</v>
      </c>
      <c r="M59" s="20">
        <v>0</v>
      </c>
      <c r="N59" s="20">
        <v>0</v>
      </c>
      <c r="O59" s="20">
        <v>0</v>
      </c>
      <c r="P59" s="20">
        <v>0</v>
      </c>
    </row>
    <row r="60" spans="1:16" x14ac:dyDescent="0.3">
      <c r="A60" s="17" t="s">
        <v>2410</v>
      </c>
      <c r="B60" s="11" t="s">
        <v>174</v>
      </c>
      <c r="C60" s="20">
        <v>174114124451</v>
      </c>
      <c r="D60" s="20">
        <v>174114124451</v>
      </c>
      <c r="E60" s="20">
        <v>176155430885</v>
      </c>
      <c r="F60" s="20">
        <v>175761433027</v>
      </c>
      <c r="G60" s="20">
        <v>177982112134</v>
      </c>
      <c r="H60" s="20">
        <v>178029115568</v>
      </c>
      <c r="I60" s="20">
        <v>180388665468</v>
      </c>
      <c r="J60" s="20">
        <v>180586133324</v>
      </c>
      <c r="K60" s="20">
        <v>181224318498</v>
      </c>
      <c r="L60" s="20">
        <v>182893100554</v>
      </c>
      <c r="M60" s="20">
        <v>184916488381</v>
      </c>
      <c r="N60" s="20">
        <v>185321317463</v>
      </c>
      <c r="O60" s="20">
        <v>185580261741</v>
      </c>
      <c r="P60" s="20">
        <v>188041518338</v>
      </c>
    </row>
    <row r="61" spans="1:16" x14ac:dyDescent="0.3">
      <c r="A61" s="17" t="s">
        <v>2411</v>
      </c>
      <c r="B61" s="11" t="s">
        <v>173</v>
      </c>
      <c r="C61" s="20">
        <v>0</v>
      </c>
      <c r="D61" s="20">
        <v>0</v>
      </c>
      <c r="E61" s="20">
        <v>0</v>
      </c>
      <c r="F61" s="20">
        <v>0</v>
      </c>
      <c r="G61" s="20">
        <v>0</v>
      </c>
      <c r="H61" s="20">
        <v>0</v>
      </c>
      <c r="I61" s="20">
        <v>0</v>
      </c>
      <c r="J61" s="20">
        <v>0</v>
      </c>
      <c r="K61" s="20">
        <v>0</v>
      </c>
      <c r="L61" s="20">
        <v>0</v>
      </c>
      <c r="M61" s="20">
        <v>0</v>
      </c>
      <c r="N61" s="20">
        <v>0</v>
      </c>
      <c r="O61" s="20">
        <v>0</v>
      </c>
      <c r="P61" s="20">
        <v>0</v>
      </c>
    </row>
    <row r="62" spans="1:16" x14ac:dyDescent="0.3">
      <c r="A62" s="17" t="s">
        <v>2412</v>
      </c>
      <c r="B62" s="11" t="s">
        <v>172</v>
      </c>
      <c r="C62" s="20">
        <v>0</v>
      </c>
      <c r="D62" s="20">
        <v>0</v>
      </c>
      <c r="E62" s="20">
        <v>0</v>
      </c>
      <c r="F62" s="20">
        <v>0</v>
      </c>
      <c r="G62" s="20">
        <v>0</v>
      </c>
      <c r="H62" s="20">
        <v>0</v>
      </c>
      <c r="I62" s="20">
        <v>0</v>
      </c>
      <c r="J62" s="20">
        <v>0</v>
      </c>
      <c r="K62" s="20">
        <v>0</v>
      </c>
      <c r="L62" s="20">
        <v>0</v>
      </c>
      <c r="M62" s="20">
        <v>0</v>
      </c>
      <c r="N62" s="20">
        <v>0</v>
      </c>
      <c r="O62" s="20">
        <v>0</v>
      </c>
      <c r="P62" s="20">
        <v>0</v>
      </c>
    </row>
    <row r="63" spans="1:16" x14ac:dyDescent="0.3">
      <c r="A63" s="17" t="s">
        <v>2413</v>
      </c>
      <c r="B63" s="11" t="s">
        <v>171</v>
      </c>
      <c r="C63" s="20">
        <v>5334833020</v>
      </c>
      <c r="D63" s="20">
        <v>5334840020</v>
      </c>
      <c r="E63" s="20">
        <v>6765315086</v>
      </c>
      <c r="F63" s="20">
        <v>10788675172</v>
      </c>
      <c r="G63" s="20">
        <v>6969540049</v>
      </c>
      <c r="H63" s="20">
        <v>5776593707</v>
      </c>
      <c r="I63" s="20">
        <v>6069640474</v>
      </c>
      <c r="J63" s="20">
        <v>4641415536</v>
      </c>
      <c r="K63" s="20">
        <v>3966418952</v>
      </c>
      <c r="L63" s="20">
        <v>4035533253</v>
      </c>
      <c r="M63" s="20">
        <v>3513100684</v>
      </c>
      <c r="N63" s="20">
        <v>4369335672</v>
      </c>
      <c r="O63" s="20">
        <v>4556846557</v>
      </c>
      <c r="P63" s="20">
        <v>2636110393</v>
      </c>
    </row>
    <row r="64" spans="1:16" x14ac:dyDescent="0.3">
      <c r="A64" s="17" t="s">
        <v>2414</v>
      </c>
      <c r="B64" s="11" t="s">
        <v>170</v>
      </c>
      <c r="C64" s="20">
        <v>1811635545</v>
      </c>
      <c r="D64" s="20">
        <v>1811635545</v>
      </c>
      <c r="E64" s="20">
        <v>1793230855</v>
      </c>
      <c r="F64" s="20">
        <v>1939093914</v>
      </c>
      <c r="G64" s="20">
        <v>1926227044</v>
      </c>
      <c r="H64" s="20">
        <v>1951040406</v>
      </c>
      <c r="I64" s="20">
        <v>1868885146</v>
      </c>
      <c r="J64" s="20">
        <v>1871340877</v>
      </c>
      <c r="K64" s="20">
        <v>1846761682</v>
      </c>
      <c r="L64" s="20">
        <v>1851475626</v>
      </c>
      <c r="M64" s="20">
        <v>1888585535</v>
      </c>
      <c r="N64" s="20">
        <v>1872362327</v>
      </c>
      <c r="O64" s="20">
        <v>1856915062</v>
      </c>
      <c r="P64" s="20">
        <v>2029632330</v>
      </c>
    </row>
    <row r="65" spans="1:16" x14ac:dyDescent="0.3">
      <c r="A65" s="17" t="s">
        <v>2415</v>
      </c>
      <c r="B65" s="11" t="s">
        <v>169</v>
      </c>
      <c r="C65" s="20">
        <v>0</v>
      </c>
      <c r="D65" s="20">
        <v>0</v>
      </c>
      <c r="E65" s="20">
        <v>0</v>
      </c>
      <c r="F65" s="20">
        <v>0</v>
      </c>
      <c r="G65" s="20">
        <v>0</v>
      </c>
      <c r="H65" s="20">
        <v>0</v>
      </c>
      <c r="I65" s="20">
        <v>22471315</v>
      </c>
      <c r="J65" s="20">
        <v>22471315</v>
      </c>
      <c r="K65" s="20">
        <v>22471315</v>
      </c>
      <c r="L65" s="20">
        <v>22471315</v>
      </c>
      <c r="M65" s="20">
        <v>16637172</v>
      </c>
      <c r="N65" s="20">
        <v>14588862</v>
      </c>
      <c r="O65" s="20">
        <v>14588862</v>
      </c>
      <c r="P65" s="20">
        <v>14588862</v>
      </c>
    </row>
    <row r="66" spans="1:16" x14ac:dyDescent="0.3">
      <c r="A66" s="17" t="s">
        <v>2416</v>
      </c>
      <c r="B66" s="11" t="s">
        <v>168</v>
      </c>
      <c r="C66" s="20">
        <v>580868700</v>
      </c>
      <c r="D66" s="20">
        <v>582509492</v>
      </c>
      <c r="E66" s="20">
        <v>654746628</v>
      </c>
      <c r="F66" s="20">
        <v>528068486</v>
      </c>
      <c r="G66" s="20">
        <v>607707997</v>
      </c>
      <c r="H66" s="20">
        <v>606225102</v>
      </c>
      <c r="I66" s="20">
        <v>625194487</v>
      </c>
      <c r="J66" s="20">
        <v>638471407</v>
      </c>
      <c r="K66" s="20">
        <v>553338945</v>
      </c>
      <c r="L66" s="20">
        <v>538718570</v>
      </c>
      <c r="M66" s="20">
        <v>476735829</v>
      </c>
      <c r="N66" s="20">
        <v>472372437</v>
      </c>
      <c r="O66" s="20">
        <v>457284628</v>
      </c>
      <c r="P66" s="20">
        <v>455029242</v>
      </c>
    </row>
    <row r="67" spans="1:16" x14ac:dyDescent="0.3">
      <c r="A67" s="17" t="s">
        <v>2417</v>
      </c>
      <c r="B67" s="11" t="s">
        <v>167</v>
      </c>
      <c r="C67" s="20">
        <v>226106484</v>
      </c>
      <c r="D67" s="20">
        <v>226106484</v>
      </c>
      <c r="E67" s="20">
        <v>219710838</v>
      </c>
      <c r="F67" s="20">
        <v>212473788</v>
      </c>
      <c r="G67" s="20">
        <v>204560778</v>
      </c>
      <c r="H67" s="20">
        <v>218265832</v>
      </c>
      <c r="I67" s="20">
        <v>226178003</v>
      </c>
      <c r="J67" s="20">
        <v>226286344</v>
      </c>
      <c r="K67" s="20">
        <v>220697138</v>
      </c>
      <c r="L67" s="20">
        <v>207683901</v>
      </c>
      <c r="M67" s="20">
        <v>197212096</v>
      </c>
      <c r="N67" s="20">
        <v>185737044</v>
      </c>
      <c r="O67" s="20">
        <v>186704910</v>
      </c>
      <c r="P67" s="20">
        <v>184031286</v>
      </c>
    </row>
    <row r="68" spans="1:16" x14ac:dyDescent="0.3">
      <c r="A68" s="17" t="s">
        <v>2418</v>
      </c>
      <c r="B68" s="11" t="s">
        <v>166</v>
      </c>
      <c r="C68" s="20">
        <v>3048765755</v>
      </c>
      <c r="D68" s="20">
        <v>2912381194</v>
      </c>
      <c r="E68" s="20">
        <v>2911478115</v>
      </c>
      <c r="F68" s="20">
        <v>2898763961</v>
      </c>
      <c r="G68" s="20">
        <v>2896003783</v>
      </c>
      <c r="H68" s="20">
        <v>2927670688</v>
      </c>
      <c r="I68" s="20">
        <v>2946532217</v>
      </c>
      <c r="J68" s="20">
        <v>2956275341</v>
      </c>
      <c r="K68" s="20">
        <v>2993745693</v>
      </c>
      <c r="L68" s="20">
        <v>2994501754</v>
      </c>
      <c r="M68" s="20">
        <v>3002173009</v>
      </c>
      <c r="N68" s="20">
        <v>3042193151</v>
      </c>
      <c r="O68" s="20">
        <v>3050568611</v>
      </c>
      <c r="P68" s="20">
        <v>3162952533</v>
      </c>
    </row>
    <row r="69" spans="1:16" x14ac:dyDescent="0.3">
      <c r="A69" s="17" t="s">
        <v>2419</v>
      </c>
      <c r="B69" s="11" t="s">
        <v>165</v>
      </c>
      <c r="C69" s="20">
        <v>923720590</v>
      </c>
      <c r="D69" s="20">
        <v>1060105151</v>
      </c>
      <c r="E69" s="20">
        <v>1175865126</v>
      </c>
      <c r="F69" s="20">
        <v>1327561197</v>
      </c>
      <c r="G69" s="20">
        <v>1308519465</v>
      </c>
      <c r="H69" s="20">
        <v>1382256548</v>
      </c>
      <c r="I69" s="20">
        <v>1360811411</v>
      </c>
      <c r="J69" s="20">
        <v>1325964307</v>
      </c>
      <c r="K69" s="20">
        <v>1355527581</v>
      </c>
      <c r="L69" s="20">
        <v>1329394644</v>
      </c>
      <c r="M69" s="20">
        <v>1298801957</v>
      </c>
      <c r="N69" s="20">
        <v>1279230468</v>
      </c>
      <c r="O69" s="20">
        <v>1242608143</v>
      </c>
      <c r="P69" s="20">
        <v>1321321596</v>
      </c>
    </row>
    <row r="70" spans="1:16" x14ac:dyDescent="0.3">
      <c r="A70" s="17" t="s">
        <v>2420</v>
      </c>
      <c r="B70" s="11" t="s">
        <v>164</v>
      </c>
      <c r="C70" s="20">
        <v>100443406</v>
      </c>
      <c r="D70" s="20">
        <v>100443406</v>
      </c>
      <c r="E70" s="20">
        <v>108142999</v>
      </c>
      <c r="F70" s="20">
        <v>108126085</v>
      </c>
      <c r="G70" s="20">
        <v>53653214</v>
      </c>
      <c r="H70" s="20">
        <v>37133095</v>
      </c>
      <c r="I70" s="20">
        <v>14649823</v>
      </c>
      <c r="J70" s="20">
        <v>14603960</v>
      </c>
      <c r="K70" s="20">
        <v>14578845</v>
      </c>
      <c r="L70" s="20">
        <v>14591631</v>
      </c>
      <c r="M70" s="20">
        <v>14580044</v>
      </c>
      <c r="N70" s="20">
        <v>14574900</v>
      </c>
      <c r="O70" s="20">
        <v>14567046</v>
      </c>
      <c r="P70" s="20">
        <v>14562647</v>
      </c>
    </row>
    <row r="71" spans="1:16" x14ac:dyDescent="0.3">
      <c r="A71" s="17" t="s">
        <v>2421</v>
      </c>
      <c r="B71" s="11" t="s">
        <v>163</v>
      </c>
      <c r="C71" s="20">
        <v>1630569695</v>
      </c>
      <c r="D71" s="20">
        <v>1629935580</v>
      </c>
      <c r="E71" s="20">
        <v>1620700240</v>
      </c>
      <c r="F71" s="20">
        <v>1653298186</v>
      </c>
      <c r="G71" s="20">
        <v>1637634321</v>
      </c>
      <c r="H71" s="20">
        <v>1605650235</v>
      </c>
      <c r="I71" s="20">
        <v>1578216377</v>
      </c>
      <c r="J71" s="20">
        <v>1578136866</v>
      </c>
      <c r="K71" s="20">
        <v>1625437237</v>
      </c>
      <c r="L71" s="20">
        <v>1562423493</v>
      </c>
      <c r="M71" s="20">
        <v>1582148959</v>
      </c>
      <c r="N71" s="20">
        <v>1592965257</v>
      </c>
      <c r="O71" s="20">
        <v>1697129678</v>
      </c>
      <c r="P71" s="20">
        <v>1696236671</v>
      </c>
    </row>
    <row r="72" spans="1:16" x14ac:dyDescent="0.3">
      <c r="A72" s="17" t="s">
        <v>2422</v>
      </c>
      <c r="B72" s="11" t="s">
        <v>162</v>
      </c>
      <c r="C72" s="20">
        <v>2613691703</v>
      </c>
      <c r="D72" s="20">
        <v>2613691703</v>
      </c>
      <c r="E72" s="20">
        <v>2654840278</v>
      </c>
      <c r="F72" s="20">
        <v>2694070767</v>
      </c>
      <c r="G72" s="20">
        <v>2739427945</v>
      </c>
      <c r="H72" s="20">
        <v>2776698491</v>
      </c>
      <c r="I72" s="20">
        <v>2820024931</v>
      </c>
      <c r="J72" s="20">
        <v>2862151756</v>
      </c>
      <c r="K72" s="20">
        <v>2900371163</v>
      </c>
      <c r="L72" s="20">
        <v>2936573017</v>
      </c>
      <c r="M72" s="20">
        <v>2948165692</v>
      </c>
      <c r="N72" s="20">
        <v>2954038997</v>
      </c>
      <c r="O72" s="20">
        <v>2961316297</v>
      </c>
      <c r="P72" s="20">
        <v>2963486627</v>
      </c>
    </row>
    <row r="73" spans="1:16" x14ac:dyDescent="0.3">
      <c r="A73" s="17" t="s">
        <v>2423</v>
      </c>
      <c r="B73" s="11" t="s">
        <v>161</v>
      </c>
      <c r="C73" s="20">
        <v>0</v>
      </c>
      <c r="D73" s="20">
        <v>0</v>
      </c>
      <c r="E73" s="20">
        <v>0</v>
      </c>
      <c r="F73" s="20">
        <v>0</v>
      </c>
      <c r="G73" s="20">
        <v>0</v>
      </c>
      <c r="H73" s="20">
        <v>0</v>
      </c>
      <c r="I73" s="20">
        <v>0</v>
      </c>
      <c r="J73" s="20">
        <v>0</v>
      </c>
      <c r="K73" s="20">
        <v>0</v>
      </c>
      <c r="L73" s="20">
        <v>0</v>
      </c>
      <c r="M73" s="20">
        <v>0</v>
      </c>
      <c r="N73" s="20">
        <v>0</v>
      </c>
      <c r="O73" s="20">
        <v>0</v>
      </c>
      <c r="P73" s="20">
        <v>0</v>
      </c>
    </row>
    <row r="74" spans="1:16" x14ac:dyDescent="0.3">
      <c r="A74" s="17" t="s">
        <v>2424</v>
      </c>
      <c r="B74" s="11" t="s">
        <v>160</v>
      </c>
      <c r="C74" s="20">
        <v>37970236</v>
      </c>
      <c r="D74" s="20">
        <v>37970236</v>
      </c>
      <c r="E74" s="20">
        <v>37970236</v>
      </c>
      <c r="F74" s="20">
        <v>37970236</v>
      </c>
      <c r="G74" s="20">
        <v>37970236</v>
      </c>
      <c r="H74" s="20">
        <v>37970236</v>
      </c>
      <c r="I74" s="20">
        <v>37970236</v>
      </c>
      <c r="J74" s="20">
        <v>37970236</v>
      </c>
      <c r="K74" s="20">
        <v>37970236</v>
      </c>
      <c r="L74" s="20">
        <v>37970236</v>
      </c>
      <c r="M74" s="20">
        <v>37970236</v>
      </c>
      <c r="N74" s="20">
        <v>37970236</v>
      </c>
      <c r="O74" s="20">
        <v>37970236</v>
      </c>
      <c r="P74" s="20">
        <v>37970236</v>
      </c>
    </row>
    <row r="75" spans="1:16" x14ac:dyDescent="0.3">
      <c r="A75" s="17" t="s">
        <v>2425</v>
      </c>
      <c r="B75" s="11" t="s">
        <v>159</v>
      </c>
      <c r="C75" s="20">
        <v>215704364723</v>
      </c>
      <c r="D75" s="20">
        <v>215700650989.4166</v>
      </c>
      <c r="E75" s="20">
        <v>217102546137</v>
      </c>
      <c r="F75" s="20">
        <v>222821847524</v>
      </c>
      <c r="G75" s="20">
        <v>221552943905</v>
      </c>
      <c r="H75" s="20">
        <v>224358891588</v>
      </c>
      <c r="I75" s="20">
        <v>230182652249.93207</v>
      </c>
      <c r="J75" s="20">
        <v>229020488578.6424</v>
      </c>
      <c r="K75" s="20">
        <v>227309668335.67661</v>
      </c>
      <c r="L75" s="20">
        <v>230373256974.42673</v>
      </c>
      <c r="M75" s="20">
        <v>235136678421.44629</v>
      </c>
      <c r="N75" s="20">
        <v>236323160756.05539</v>
      </c>
      <c r="O75" s="20">
        <v>240924582991.4689</v>
      </c>
      <c r="P75" s="20">
        <v>241352746997.8349</v>
      </c>
    </row>
    <row r="76" spans="1:16" x14ac:dyDescent="0.3">
      <c r="A76" s="17" t="s">
        <v>2426</v>
      </c>
      <c r="B76" s="11" t="s">
        <v>158</v>
      </c>
      <c r="C76" s="20">
        <v>172694383138</v>
      </c>
      <c r="D76" s="20">
        <v>172694383138</v>
      </c>
      <c r="E76" s="20">
        <v>181965273301</v>
      </c>
      <c r="F76" s="20">
        <v>174212176963</v>
      </c>
      <c r="G76" s="20">
        <v>181128154847</v>
      </c>
      <c r="H76" s="20">
        <v>180375517023</v>
      </c>
      <c r="I76" s="20">
        <v>186081947695</v>
      </c>
      <c r="J76" s="20">
        <v>179343095678</v>
      </c>
      <c r="K76" s="20">
        <v>184631775729</v>
      </c>
      <c r="L76" s="20">
        <v>182296125398</v>
      </c>
      <c r="M76" s="20">
        <v>188006010815</v>
      </c>
      <c r="N76" s="20">
        <v>183544459105</v>
      </c>
      <c r="O76" s="20">
        <v>187888498505</v>
      </c>
      <c r="P76" s="20">
        <v>195323011296</v>
      </c>
    </row>
    <row r="77" spans="1:16" x14ac:dyDescent="0.3">
      <c r="A77" s="17" t="s">
        <v>2427</v>
      </c>
      <c r="B77" s="11" t="s">
        <v>157</v>
      </c>
      <c r="C77" s="20">
        <v>76694678138</v>
      </c>
      <c r="D77" s="20">
        <v>76694678138</v>
      </c>
      <c r="E77" s="20">
        <v>78539945990</v>
      </c>
      <c r="F77" s="20">
        <v>79550269668</v>
      </c>
      <c r="G77" s="20">
        <v>80016933595</v>
      </c>
      <c r="H77" s="20">
        <v>80981033613</v>
      </c>
      <c r="I77" s="20">
        <v>78828600390</v>
      </c>
      <c r="J77" s="20">
        <v>82301150936</v>
      </c>
      <c r="K77" s="20">
        <v>82263964373</v>
      </c>
      <c r="L77" s="20">
        <v>83745577441</v>
      </c>
      <c r="M77" s="20">
        <v>81695419333</v>
      </c>
      <c r="N77" s="20">
        <v>85048005820</v>
      </c>
      <c r="O77" s="20">
        <v>86526856624</v>
      </c>
      <c r="P77" s="20">
        <v>87172495263</v>
      </c>
    </row>
    <row r="78" spans="1:16" x14ac:dyDescent="0.3">
      <c r="A78" s="17" t="s">
        <v>2428</v>
      </c>
      <c r="B78" s="11" t="s">
        <v>156</v>
      </c>
      <c r="C78" s="20">
        <v>91369569829</v>
      </c>
      <c r="D78" s="20">
        <v>91369569829</v>
      </c>
      <c r="E78" s="20">
        <v>98799079669</v>
      </c>
      <c r="F78" s="20">
        <v>90033329239</v>
      </c>
      <c r="G78" s="20">
        <v>96481278920</v>
      </c>
      <c r="H78" s="20">
        <v>94749251468</v>
      </c>
      <c r="I78" s="20">
        <v>102352939800</v>
      </c>
      <c r="J78" s="20">
        <v>92251690398</v>
      </c>
      <c r="K78" s="20">
        <v>97191266323</v>
      </c>
      <c r="L78" s="20">
        <v>93544156101</v>
      </c>
      <c r="M78" s="20">
        <v>101549765445</v>
      </c>
      <c r="N78" s="20">
        <v>93735019489</v>
      </c>
      <c r="O78" s="20">
        <v>96599403556</v>
      </c>
      <c r="P78" s="20">
        <v>103384290311</v>
      </c>
    </row>
    <row r="79" spans="1:16" x14ac:dyDescent="0.3">
      <c r="A79" s="17" t="s">
        <v>2429</v>
      </c>
      <c r="B79" s="11" t="s">
        <v>155</v>
      </c>
      <c r="C79" s="20">
        <v>90299228791</v>
      </c>
      <c r="D79" s="20">
        <v>90299228791</v>
      </c>
      <c r="E79" s="20">
        <v>97719152570</v>
      </c>
      <c r="F79" s="20">
        <v>88944743762</v>
      </c>
      <c r="G79" s="20">
        <v>95383107382</v>
      </c>
      <c r="H79" s="20">
        <v>93641803097</v>
      </c>
      <c r="I79" s="20">
        <v>101242653971</v>
      </c>
      <c r="J79" s="20">
        <v>91132575402</v>
      </c>
      <c r="K79" s="20">
        <v>96340996604</v>
      </c>
      <c r="L79" s="20">
        <v>92383210284</v>
      </c>
      <c r="M79" s="20">
        <v>100380701712</v>
      </c>
      <c r="N79" s="20">
        <v>91809903909</v>
      </c>
      <c r="O79" s="20">
        <v>94437714227</v>
      </c>
      <c r="P79" s="20">
        <v>101208601038</v>
      </c>
    </row>
    <row r="80" spans="1:16" x14ac:dyDescent="0.3">
      <c r="A80" s="17" t="s">
        <v>2430</v>
      </c>
      <c r="B80" s="11" t="s">
        <v>154</v>
      </c>
      <c r="C80" s="20">
        <v>1070341038</v>
      </c>
      <c r="D80" s="20">
        <v>1070341038</v>
      </c>
      <c r="E80" s="20">
        <v>1079927099</v>
      </c>
      <c r="F80" s="20">
        <v>1088585477</v>
      </c>
      <c r="G80" s="20">
        <v>1098171538</v>
      </c>
      <c r="H80" s="20">
        <v>1107448371</v>
      </c>
      <c r="I80" s="20">
        <v>1110285829</v>
      </c>
      <c r="J80" s="20">
        <v>1119114996</v>
      </c>
      <c r="K80" s="20">
        <v>850269719</v>
      </c>
      <c r="L80" s="20">
        <v>1160945817</v>
      </c>
      <c r="M80" s="20">
        <v>1169063733</v>
      </c>
      <c r="N80" s="20">
        <v>1925115580</v>
      </c>
      <c r="O80" s="20">
        <v>2161689329</v>
      </c>
      <c r="P80" s="20">
        <v>2175689273</v>
      </c>
    </row>
    <row r="81" spans="1:16" x14ac:dyDescent="0.3">
      <c r="A81" s="17" t="s">
        <v>2431</v>
      </c>
      <c r="B81" s="11" t="s">
        <v>153</v>
      </c>
      <c r="C81" s="20">
        <v>4591140028</v>
      </c>
      <c r="D81" s="20">
        <v>4591140028</v>
      </c>
      <c r="E81" s="20">
        <v>4584438594</v>
      </c>
      <c r="F81" s="20">
        <v>4585808802</v>
      </c>
      <c r="G81" s="20">
        <v>4589182046</v>
      </c>
      <c r="H81" s="20">
        <v>4591301268</v>
      </c>
      <c r="I81" s="20">
        <v>4841777652</v>
      </c>
      <c r="J81" s="20">
        <v>4731726926</v>
      </c>
      <c r="K81" s="20">
        <v>5111076884</v>
      </c>
      <c r="L81" s="20">
        <v>4950780872</v>
      </c>
      <c r="M81" s="20">
        <v>4703459301</v>
      </c>
      <c r="N81" s="20">
        <v>4702989569</v>
      </c>
      <c r="O81" s="20">
        <v>4703566052</v>
      </c>
      <c r="P81" s="20">
        <v>4706624059</v>
      </c>
    </row>
    <row r="82" spans="1:16" x14ac:dyDescent="0.3">
      <c r="A82" s="17" t="s">
        <v>2432</v>
      </c>
      <c r="B82" s="11" t="s">
        <v>152</v>
      </c>
      <c r="C82" s="20">
        <v>38995143</v>
      </c>
      <c r="D82" s="20">
        <v>38995143</v>
      </c>
      <c r="E82" s="20">
        <v>41809048</v>
      </c>
      <c r="F82" s="20">
        <v>42769254</v>
      </c>
      <c r="G82" s="20">
        <v>40760286</v>
      </c>
      <c r="H82" s="20">
        <v>53930674</v>
      </c>
      <c r="I82" s="20">
        <v>58629853</v>
      </c>
      <c r="J82" s="20">
        <v>58527418</v>
      </c>
      <c r="K82" s="20">
        <v>65468149</v>
      </c>
      <c r="L82" s="20">
        <v>55610984</v>
      </c>
      <c r="M82" s="20">
        <v>57366736</v>
      </c>
      <c r="N82" s="20">
        <v>58444227</v>
      </c>
      <c r="O82" s="20">
        <v>58672273</v>
      </c>
      <c r="P82" s="20">
        <v>59601663</v>
      </c>
    </row>
    <row r="83" spans="1:16" x14ac:dyDescent="0.3">
      <c r="A83" s="17" t="s">
        <v>2433</v>
      </c>
      <c r="B83" s="11" t="s">
        <v>151</v>
      </c>
      <c r="C83" s="20">
        <v>3829883505</v>
      </c>
      <c r="D83" s="20">
        <v>3829883505</v>
      </c>
      <c r="E83" s="20">
        <v>3618636967</v>
      </c>
      <c r="F83" s="20">
        <v>3511250508</v>
      </c>
      <c r="G83" s="20">
        <v>3363122959</v>
      </c>
      <c r="H83" s="20">
        <v>3468803951</v>
      </c>
      <c r="I83" s="20">
        <v>3501631895</v>
      </c>
      <c r="J83" s="20">
        <v>3487161456</v>
      </c>
      <c r="K83" s="20">
        <v>3535839231</v>
      </c>
      <c r="L83" s="20">
        <v>3565805148</v>
      </c>
      <c r="M83" s="20">
        <v>3553113115</v>
      </c>
      <c r="N83" s="20">
        <v>3525707494</v>
      </c>
      <c r="O83" s="20">
        <v>3515641627</v>
      </c>
      <c r="P83" s="20">
        <v>3523569110</v>
      </c>
    </row>
    <row r="84" spans="1:16" x14ac:dyDescent="0.3">
      <c r="A84" s="17" t="s">
        <v>2434</v>
      </c>
      <c r="B84" s="11" t="s">
        <v>150</v>
      </c>
      <c r="C84" s="20">
        <v>0</v>
      </c>
      <c r="D84" s="20">
        <v>0</v>
      </c>
      <c r="E84" s="20">
        <v>0</v>
      </c>
      <c r="F84" s="20">
        <v>0</v>
      </c>
      <c r="G84" s="20">
        <v>0</v>
      </c>
      <c r="H84" s="20">
        <v>0</v>
      </c>
      <c r="I84" s="20">
        <v>0</v>
      </c>
      <c r="J84" s="20">
        <v>0</v>
      </c>
      <c r="K84" s="20">
        <v>0</v>
      </c>
      <c r="L84" s="20">
        <v>0</v>
      </c>
      <c r="M84" s="20">
        <v>0</v>
      </c>
      <c r="N84" s="20">
        <v>0</v>
      </c>
      <c r="O84" s="20">
        <v>0</v>
      </c>
      <c r="P84" s="20">
        <v>0</v>
      </c>
    </row>
    <row r="85" spans="1:16" x14ac:dyDescent="0.3">
      <c r="A85" s="17" t="s">
        <v>2435</v>
      </c>
      <c r="B85" s="11" t="s">
        <v>149</v>
      </c>
      <c r="C85" s="20">
        <v>1774873162</v>
      </c>
      <c r="D85" s="20">
        <v>1774873162</v>
      </c>
      <c r="E85" s="20">
        <v>1600884856</v>
      </c>
      <c r="F85" s="20">
        <v>1517756257</v>
      </c>
      <c r="G85" s="20">
        <v>1452405261</v>
      </c>
      <c r="H85" s="20">
        <v>1538641361</v>
      </c>
      <c r="I85" s="20">
        <v>1593400590</v>
      </c>
      <c r="J85" s="20">
        <v>1621291689</v>
      </c>
      <c r="K85" s="20">
        <v>1661278892</v>
      </c>
      <c r="L85" s="20">
        <v>1680367061</v>
      </c>
      <c r="M85" s="20">
        <v>1561988200</v>
      </c>
      <c r="N85" s="20">
        <v>1544327185</v>
      </c>
      <c r="O85" s="20">
        <v>1857039568</v>
      </c>
      <c r="P85" s="20">
        <v>1850312533</v>
      </c>
    </row>
    <row r="86" spans="1:16" x14ac:dyDescent="0.3">
      <c r="A86" s="17" t="s">
        <v>2436</v>
      </c>
      <c r="B86" s="11" t="s">
        <v>148</v>
      </c>
      <c r="C86" s="20">
        <v>2055010343</v>
      </c>
      <c r="D86" s="20">
        <v>2055010343</v>
      </c>
      <c r="E86" s="20">
        <v>2017752111</v>
      </c>
      <c r="F86" s="20">
        <v>1993494251</v>
      </c>
      <c r="G86" s="20">
        <v>1910717698</v>
      </c>
      <c r="H86" s="20">
        <v>1930162590</v>
      </c>
      <c r="I86" s="20">
        <v>1908231305</v>
      </c>
      <c r="J86" s="20">
        <v>1865869767</v>
      </c>
      <c r="K86" s="20">
        <v>1874560339</v>
      </c>
      <c r="L86" s="20">
        <v>1885438087</v>
      </c>
      <c r="M86" s="20">
        <v>1991124915</v>
      </c>
      <c r="N86" s="20">
        <v>1981380309</v>
      </c>
      <c r="O86" s="20">
        <v>1658602059</v>
      </c>
      <c r="P86" s="20">
        <v>1673256577</v>
      </c>
    </row>
    <row r="87" spans="1:16" x14ac:dyDescent="0.3">
      <c r="A87" s="17" t="s">
        <v>2437</v>
      </c>
      <c r="B87" s="11" t="s">
        <v>12</v>
      </c>
      <c r="C87" s="20">
        <v>27587904663</v>
      </c>
      <c r="D87" s="20">
        <v>27587904663</v>
      </c>
      <c r="E87" s="20">
        <v>19293892764</v>
      </c>
      <c r="F87" s="20">
        <v>28219635931</v>
      </c>
      <c r="G87" s="20">
        <v>25283151106</v>
      </c>
      <c r="H87" s="20">
        <v>29282913004</v>
      </c>
      <c r="I87" s="20">
        <v>29598082980</v>
      </c>
      <c r="J87" s="20">
        <v>36704085445</v>
      </c>
      <c r="K87" s="20">
        <v>29956610692</v>
      </c>
      <c r="L87" s="20">
        <v>35050612933</v>
      </c>
      <c r="M87" s="20">
        <v>33996924546</v>
      </c>
      <c r="N87" s="20">
        <v>39574004737</v>
      </c>
      <c r="O87" s="20">
        <v>39206071816</v>
      </c>
      <c r="P87" s="20">
        <v>34192151406</v>
      </c>
    </row>
    <row r="88" spans="1:16" x14ac:dyDescent="0.3">
      <c r="A88" s="17" t="s">
        <v>2438</v>
      </c>
      <c r="B88" s="11" t="s">
        <v>147</v>
      </c>
      <c r="C88" s="20">
        <v>0</v>
      </c>
      <c r="D88" s="20">
        <v>0</v>
      </c>
      <c r="E88" s="20">
        <v>0</v>
      </c>
      <c r="F88" s="20">
        <v>0</v>
      </c>
      <c r="G88" s="20">
        <v>0</v>
      </c>
      <c r="H88" s="20">
        <v>0</v>
      </c>
      <c r="I88" s="20">
        <v>0</v>
      </c>
      <c r="J88" s="20">
        <v>0</v>
      </c>
      <c r="K88" s="20">
        <v>0</v>
      </c>
      <c r="L88" s="20">
        <v>0</v>
      </c>
      <c r="M88" s="20">
        <v>0</v>
      </c>
      <c r="N88" s="20">
        <v>0</v>
      </c>
      <c r="O88" s="20">
        <v>0</v>
      </c>
      <c r="P88" s="20">
        <v>0</v>
      </c>
    </row>
    <row r="89" spans="1:16" x14ac:dyDescent="0.3">
      <c r="A89" s="17" t="s">
        <v>2439</v>
      </c>
      <c r="B89" s="11" t="s">
        <v>146</v>
      </c>
      <c r="C89" s="20">
        <v>0</v>
      </c>
      <c r="D89" s="20">
        <v>0</v>
      </c>
      <c r="E89" s="20">
        <v>0</v>
      </c>
      <c r="F89" s="20">
        <v>0</v>
      </c>
      <c r="G89" s="20">
        <v>0</v>
      </c>
      <c r="H89" s="20">
        <v>0</v>
      </c>
      <c r="I89" s="20">
        <v>0</v>
      </c>
      <c r="J89" s="20">
        <v>0</v>
      </c>
      <c r="K89" s="20">
        <v>0</v>
      </c>
      <c r="L89" s="20">
        <v>0</v>
      </c>
      <c r="M89" s="20">
        <v>0</v>
      </c>
      <c r="N89" s="20">
        <v>0</v>
      </c>
      <c r="O89" s="20">
        <v>0</v>
      </c>
      <c r="P89" s="20">
        <v>0</v>
      </c>
    </row>
    <row r="90" spans="1:16" x14ac:dyDescent="0.3">
      <c r="A90" s="17" t="s">
        <v>2440</v>
      </c>
      <c r="B90" s="11" t="s">
        <v>145</v>
      </c>
      <c r="C90" s="20">
        <v>0</v>
      </c>
      <c r="D90" s="20">
        <v>0</v>
      </c>
      <c r="E90" s="20">
        <v>0</v>
      </c>
      <c r="F90" s="20">
        <v>0</v>
      </c>
      <c r="G90" s="20">
        <v>0</v>
      </c>
      <c r="H90" s="20">
        <v>0</v>
      </c>
      <c r="I90" s="20">
        <v>0</v>
      </c>
      <c r="J90" s="20">
        <v>0</v>
      </c>
      <c r="K90" s="20">
        <v>0</v>
      </c>
      <c r="L90" s="20">
        <v>0</v>
      </c>
      <c r="M90" s="20">
        <v>0</v>
      </c>
      <c r="N90" s="20">
        <v>0</v>
      </c>
      <c r="O90" s="20">
        <v>0</v>
      </c>
      <c r="P90" s="20">
        <v>0</v>
      </c>
    </row>
    <row r="91" spans="1:16" x14ac:dyDescent="0.3">
      <c r="A91" s="17" t="s">
        <v>2441</v>
      </c>
      <c r="B91" s="11" t="s">
        <v>144</v>
      </c>
      <c r="C91" s="20">
        <v>0</v>
      </c>
      <c r="D91" s="20">
        <v>0</v>
      </c>
      <c r="E91" s="20">
        <v>0</v>
      </c>
      <c r="F91" s="20">
        <v>0</v>
      </c>
      <c r="G91" s="20">
        <v>0</v>
      </c>
      <c r="H91" s="20">
        <v>0</v>
      </c>
      <c r="I91" s="20">
        <v>0</v>
      </c>
      <c r="J91" s="20">
        <v>0</v>
      </c>
      <c r="K91" s="20">
        <v>0</v>
      </c>
      <c r="L91" s="20">
        <v>0</v>
      </c>
      <c r="M91" s="20">
        <v>0</v>
      </c>
      <c r="N91" s="20">
        <v>0</v>
      </c>
      <c r="O91" s="20">
        <v>0</v>
      </c>
      <c r="P91" s="20">
        <v>0</v>
      </c>
    </row>
    <row r="92" spans="1:16" x14ac:dyDescent="0.3">
      <c r="A92" s="17" t="s">
        <v>2442</v>
      </c>
      <c r="B92" s="11" t="s">
        <v>74</v>
      </c>
      <c r="C92" s="20">
        <v>0</v>
      </c>
      <c r="D92" s="20">
        <v>0</v>
      </c>
      <c r="E92" s="20">
        <v>0</v>
      </c>
      <c r="F92" s="20">
        <v>0</v>
      </c>
      <c r="G92" s="20">
        <v>0</v>
      </c>
      <c r="H92" s="20">
        <v>0</v>
      </c>
      <c r="I92" s="20">
        <v>0</v>
      </c>
      <c r="J92" s="20">
        <v>0</v>
      </c>
      <c r="K92" s="20">
        <v>0</v>
      </c>
      <c r="L92" s="20">
        <v>0</v>
      </c>
      <c r="M92" s="20">
        <v>0</v>
      </c>
      <c r="N92" s="20">
        <v>0</v>
      </c>
      <c r="O92" s="20">
        <v>0</v>
      </c>
      <c r="P92" s="20">
        <v>0</v>
      </c>
    </row>
    <row r="93" spans="1:16" x14ac:dyDescent="0.3">
      <c r="A93" s="17" t="s">
        <v>2443</v>
      </c>
      <c r="B93" s="11" t="s">
        <v>143</v>
      </c>
      <c r="C93" s="20">
        <v>0</v>
      </c>
      <c r="D93" s="20">
        <v>0</v>
      </c>
      <c r="E93" s="20">
        <v>0</v>
      </c>
      <c r="F93" s="20">
        <v>0</v>
      </c>
      <c r="G93" s="20">
        <v>0</v>
      </c>
      <c r="H93" s="20">
        <v>0</v>
      </c>
      <c r="I93" s="20">
        <v>0</v>
      </c>
      <c r="J93" s="20">
        <v>0</v>
      </c>
      <c r="K93" s="20">
        <v>0</v>
      </c>
      <c r="L93" s="20">
        <v>0</v>
      </c>
      <c r="M93" s="20">
        <v>0</v>
      </c>
      <c r="N93" s="20">
        <v>0</v>
      </c>
      <c r="O93" s="20">
        <v>0</v>
      </c>
      <c r="P93" s="20">
        <v>0</v>
      </c>
    </row>
    <row r="94" spans="1:16" x14ac:dyDescent="0.3">
      <c r="A94" s="17" t="s">
        <v>2444</v>
      </c>
      <c r="B94" s="11" t="s">
        <v>74</v>
      </c>
      <c r="C94" s="20">
        <v>249149994</v>
      </c>
      <c r="D94" s="20">
        <v>249149994</v>
      </c>
      <c r="E94" s="20">
        <v>246116074</v>
      </c>
      <c r="F94" s="20">
        <v>261898246</v>
      </c>
      <c r="G94" s="20">
        <v>280013201</v>
      </c>
      <c r="H94" s="20">
        <v>323524420</v>
      </c>
      <c r="I94" s="20">
        <v>314912543</v>
      </c>
      <c r="J94" s="20">
        <v>308624773</v>
      </c>
      <c r="K94" s="20">
        <v>281640794</v>
      </c>
      <c r="L94" s="20">
        <v>336473031</v>
      </c>
      <c r="M94" s="20">
        <v>363752435</v>
      </c>
      <c r="N94" s="20">
        <v>353722498</v>
      </c>
      <c r="O94" s="20">
        <v>469421838</v>
      </c>
      <c r="P94" s="20">
        <v>432324231</v>
      </c>
    </row>
    <row r="95" spans="1:16" x14ac:dyDescent="0.3">
      <c r="A95" s="17" t="s">
        <v>2445</v>
      </c>
      <c r="B95" s="11" t="s">
        <v>142</v>
      </c>
      <c r="C95" s="20">
        <v>249149994</v>
      </c>
      <c r="D95" s="20">
        <v>249149994</v>
      </c>
      <c r="E95" s="20">
        <v>246116074</v>
      </c>
      <c r="F95" s="20">
        <v>261898246</v>
      </c>
      <c r="G95" s="20">
        <v>280013201</v>
      </c>
      <c r="H95" s="20">
        <v>323524420</v>
      </c>
      <c r="I95" s="20">
        <v>314881237</v>
      </c>
      <c r="J95" s="20">
        <v>308042014</v>
      </c>
      <c r="K95" s="20">
        <v>281613366</v>
      </c>
      <c r="L95" s="20">
        <v>318975238</v>
      </c>
      <c r="M95" s="20">
        <v>334205676</v>
      </c>
      <c r="N95" s="20">
        <v>322626359</v>
      </c>
      <c r="O95" s="20">
        <v>442365413</v>
      </c>
      <c r="P95" s="20">
        <v>427043156</v>
      </c>
    </row>
    <row r="96" spans="1:16" x14ac:dyDescent="0.3">
      <c r="A96" s="17" t="s">
        <v>2446</v>
      </c>
      <c r="B96" s="11" t="s">
        <v>141</v>
      </c>
      <c r="C96" s="20">
        <v>0</v>
      </c>
      <c r="D96" s="20">
        <v>0</v>
      </c>
      <c r="E96" s="20">
        <v>0</v>
      </c>
      <c r="F96" s="20">
        <v>0</v>
      </c>
      <c r="G96" s="20">
        <v>0</v>
      </c>
      <c r="H96" s="20">
        <v>0</v>
      </c>
      <c r="I96" s="20">
        <v>31306</v>
      </c>
      <c r="J96" s="20">
        <v>582759</v>
      </c>
      <c r="K96" s="20">
        <v>27428</v>
      </c>
      <c r="L96" s="20">
        <v>17497793</v>
      </c>
      <c r="M96" s="20">
        <v>29546759</v>
      </c>
      <c r="N96" s="20">
        <v>31096139</v>
      </c>
      <c r="O96" s="20">
        <v>27056425</v>
      </c>
      <c r="P96" s="20">
        <v>5281075</v>
      </c>
    </row>
    <row r="97" spans="1:16" x14ac:dyDescent="0.3">
      <c r="A97" s="17" t="s">
        <v>2447</v>
      </c>
      <c r="B97" s="11" t="s">
        <v>140</v>
      </c>
      <c r="C97" s="20">
        <v>0</v>
      </c>
      <c r="D97" s="20">
        <v>0</v>
      </c>
      <c r="E97" s="20">
        <v>0</v>
      </c>
      <c r="F97" s="20">
        <v>0</v>
      </c>
      <c r="G97" s="20">
        <v>0</v>
      </c>
      <c r="H97" s="20">
        <v>0</v>
      </c>
      <c r="I97" s="20">
        <v>0</v>
      </c>
      <c r="J97" s="20">
        <v>0</v>
      </c>
      <c r="K97" s="20">
        <v>0</v>
      </c>
      <c r="L97" s="20">
        <v>0</v>
      </c>
      <c r="M97" s="20">
        <v>0</v>
      </c>
      <c r="N97" s="20">
        <v>0</v>
      </c>
      <c r="O97" s="20">
        <v>0</v>
      </c>
      <c r="P97" s="20">
        <v>0</v>
      </c>
    </row>
    <row r="98" spans="1:16" x14ac:dyDescent="0.3">
      <c r="A98" s="17" t="s">
        <v>2448</v>
      </c>
      <c r="B98" s="11" t="s">
        <v>139</v>
      </c>
      <c r="C98" s="20">
        <v>0</v>
      </c>
      <c r="D98" s="20">
        <v>0</v>
      </c>
      <c r="E98" s="20">
        <v>0</v>
      </c>
      <c r="F98" s="20">
        <v>0</v>
      </c>
      <c r="G98" s="20">
        <v>0</v>
      </c>
      <c r="H98" s="20">
        <v>0</v>
      </c>
      <c r="I98" s="20">
        <v>0</v>
      </c>
      <c r="J98" s="20">
        <v>0</v>
      </c>
      <c r="K98" s="20">
        <v>0</v>
      </c>
      <c r="L98" s="20">
        <v>0</v>
      </c>
      <c r="M98" s="20">
        <v>0</v>
      </c>
      <c r="N98" s="20">
        <v>0</v>
      </c>
      <c r="O98" s="20">
        <v>0</v>
      </c>
      <c r="P98" s="20">
        <v>0</v>
      </c>
    </row>
    <row r="99" spans="1:16" x14ac:dyDescent="0.3">
      <c r="A99" s="17" t="s">
        <v>2449</v>
      </c>
      <c r="B99" s="11" t="s">
        <v>138</v>
      </c>
      <c r="C99" s="20">
        <v>1278092562</v>
      </c>
      <c r="D99" s="20">
        <v>1278092562</v>
      </c>
      <c r="E99" s="20">
        <v>1391202485</v>
      </c>
      <c r="F99" s="20">
        <v>1507042914</v>
      </c>
      <c r="G99" s="20">
        <v>1501724341</v>
      </c>
      <c r="H99" s="20">
        <v>1578406025</v>
      </c>
      <c r="I99" s="20">
        <v>1569081823</v>
      </c>
      <c r="J99" s="20">
        <v>1543004704</v>
      </c>
      <c r="K99" s="20">
        <v>1587456913</v>
      </c>
      <c r="L99" s="20">
        <v>1572498091</v>
      </c>
      <c r="M99" s="20">
        <v>1559886437</v>
      </c>
      <c r="N99" s="20">
        <v>1558520657</v>
      </c>
      <c r="O99" s="20">
        <v>1536372962</v>
      </c>
      <c r="P99" s="20">
        <v>1617879889</v>
      </c>
    </row>
    <row r="100" spans="1:16" x14ac:dyDescent="0.3">
      <c r="A100" s="17">
        <v>42029000010011</v>
      </c>
      <c r="B100" s="11" t="s">
        <v>2896</v>
      </c>
      <c r="C100" s="20">
        <v>0</v>
      </c>
      <c r="D100" s="20">
        <v>0</v>
      </c>
      <c r="E100" s="20">
        <v>0</v>
      </c>
      <c r="F100" s="20">
        <v>0</v>
      </c>
      <c r="G100" s="20">
        <v>0</v>
      </c>
      <c r="H100" s="20">
        <v>0</v>
      </c>
      <c r="I100" s="20">
        <v>0</v>
      </c>
      <c r="J100" s="20">
        <v>0</v>
      </c>
      <c r="K100" s="20">
        <v>0</v>
      </c>
      <c r="L100" s="20">
        <v>0</v>
      </c>
      <c r="M100" s="20">
        <v>0</v>
      </c>
      <c r="N100" s="20">
        <v>0</v>
      </c>
      <c r="O100" s="20">
        <v>0</v>
      </c>
      <c r="P100" s="20">
        <v>0</v>
      </c>
    </row>
    <row r="101" spans="1:16" x14ac:dyDescent="0.3">
      <c r="A101" s="17" t="s">
        <v>2450</v>
      </c>
      <c r="B101" s="11" t="s">
        <v>137</v>
      </c>
      <c r="C101" s="20">
        <v>8337483127</v>
      </c>
      <c r="D101" s="20">
        <v>8337490129</v>
      </c>
      <c r="E101" s="20">
        <v>8825816271</v>
      </c>
      <c r="F101" s="20">
        <v>13259700584</v>
      </c>
      <c r="G101" s="20">
        <v>8394423946</v>
      </c>
      <c r="H101" s="20">
        <v>8100718184</v>
      </c>
      <c r="I101" s="20">
        <v>7916479673</v>
      </c>
      <c r="J101" s="20">
        <v>6389681615</v>
      </c>
      <c r="K101" s="20">
        <v>6042212790</v>
      </c>
      <c r="L101" s="20">
        <v>6311423621</v>
      </c>
      <c r="M101" s="20">
        <v>6435358321</v>
      </c>
      <c r="N101" s="20">
        <v>6464519330</v>
      </c>
      <c r="O101" s="20">
        <v>6878946771</v>
      </c>
      <c r="P101" s="20">
        <v>4671737252</v>
      </c>
    </row>
    <row r="102" spans="1:16" x14ac:dyDescent="0.3">
      <c r="A102" s="17" t="s">
        <v>2451</v>
      </c>
      <c r="B102" s="11" t="s">
        <v>136</v>
      </c>
      <c r="C102" s="20">
        <v>2517367001</v>
      </c>
      <c r="D102" s="20">
        <v>2517367001</v>
      </c>
      <c r="E102" s="20">
        <v>2159772740</v>
      </c>
      <c r="F102" s="20">
        <v>6732491614</v>
      </c>
      <c r="G102" s="20">
        <v>2077836445</v>
      </c>
      <c r="H102" s="20">
        <v>1504706000</v>
      </c>
      <c r="I102" s="20">
        <v>1438158132</v>
      </c>
      <c r="J102" s="20">
        <v>1527981117</v>
      </c>
      <c r="K102" s="20">
        <v>1312529937</v>
      </c>
      <c r="L102" s="20">
        <v>1130156598</v>
      </c>
      <c r="M102" s="20">
        <v>1629130127</v>
      </c>
      <c r="N102" s="20">
        <v>1320243245</v>
      </c>
      <c r="O102" s="20">
        <v>1232992834</v>
      </c>
      <c r="P102" s="20">
        <v>523225029</v>
      </c>
    </row>
    <row r="103" spans="1:16" x14ac:dyDescent="0.3">
      <c r="A103" s="17" t="s">
        <v>2452</v>
      </c>
      <c r="B103" s="11" t="s">
        <v>135</v>
      </c>
      <c r="C103" s="20">
        <v>0</v>
      </c>
      <c r="D103" s="20">
        <v>0</v>
      </c>
      <c r="E103" s="20">
        <v>0</v>
      </c>
      <c r="F103" s="20">
        <v>0</v>
      </c>
      <c r="G103" s="20">
        <v>0</v>
      </c>
      <c r="H103" s="20">
        <v>0</v>
      </c>
      <c r="I103" s="20">
        <v>0</v>
      </c>
      <c r="J103" s="20">
        <v>0</v>
      </c>
      <c r="K103" s="20">
        <v>0</v>
      </c>
      <c r="L103" s="20">
        <v>0</v>
      </c>
      <c r="M103" s="20">
        <v>0</v>
      </c>
      <c r="N103" s="20">
        <v>0</v>
      </c>
      <c r="O103" s="20">
        <v>0</v>
      </c>
      <c r="P103" s="20">
        <v>0</v>
      </c>
    </row>
    <row r="104" spans="1:16" x14ac:dyDescent="0.3">
      <c r="A104" s="17" t="s">
        <v>2453</v>
      </c>
      <c r="B104" s="11" t="s">
        <v>134</v>
      </c>
      <c r="C104" s="20">
        <v>1914887354</v>
      </c>
      <c r="D104" s="20">
        <v>1914887354</v>
      </c>
      <c r="E104" s="20">
        <v>1808627916</v>
      </c>
      <c r="F104" s="20">
        <v>1693729147</v>
      </c>
      <c r="G104" s="20">
        <v>1638248866</v>
      </c>
      <c r="H104" s="20">
        <v>1483010050</v>
      </c>
      <c r="I104" s="20">
        <v>1488977890</v>
      </c>
      <c r="J104" s="20">
        <v>31904223</v>
      </c>
      <c r="K104" s="20">
        <v>33965460</v>
      </c>
      <c r="L104" s="20">
        <v>13066076</v>
      </c>
      <c r="M104" s="20">
        <v>735558</v>
      </c>
      <c r="N104" s="20">
        <v>3013</v>
      </c>
      <c r="O104" s="20">
        <v>2967</v>
      </c>
      <c r="P104" s="20">
        <v>11708120</v>
      </c>
    </row>
    <row r="105" spans="1:16" x14ac:dyDescent="0.3">
      <c r="A105" s="17" t="s">
        <v>2454</v>
      </c>
      <c r="B105" s="11" t="s">
        <v>133</v>
      </c>
      <c r="C105" s="20">
        <v>104428118</v>
      </c>
      <c r="D105" s="20">
        <v>104428118</v>
      </c>
      <c r="E105" s="20">
        <v>101684094</v>
      </c>
      <c r="F105" s="20">
        <v>114724168</v>
      </c>
      <c r="G105" s="20">
        <v>109274317</v>
      </c>
      <c r="H105" s="20">
        <v>192249551</v>
      </c>
      <c r="I105" s="20">
        <v>174674184</v>
      </c>
      <c r="J105" s="20">
        <v>176181272</v>
      </c>
      <c r="K105" s="20">
        <v>125761906</v>
      </c>
      <c r="L105" s="20">
        <v>118740270</v>
      </c>
      <c r="M105" s="20">
        <v>125038191</v>
      </c>
      <c r="N105" s="20">
        <v>121497374</v>
      </c>
      <c r="O105" s="20">
        <v>191348116</v>
      </c>
      <c r="P105" s="20">
        <v>120635907</v>
      </c>
    </row>
    <row r="106" spans="1:16" x14ac:dyDescent="0.3">
      <c r="A106" s="17" t="s">
        <v>2455</v>
      </c>
      <c r="B106" s="11" t="s">
        <v>132</v>
      </c>
      <c r="C106" s="20">
        <v>3800800654</v>
      </c>
      <c r="D106" s="20">
        <v>3800807656</v>
      </c>
      <c r="E106" s="20">
        <v>4755731521</v>
      </c>
      <c r="F106" s="20">
        <v>4718755655</v>
      </c>
      <c r="G106" s="20">
        <v>4569064318</v>
      </c>
      <c r="H106" s="20">
        <v>4920752583</v>
      </c>
      <c r="I106" s="20">
        <v>4814669467</v>
      </c>
      <c r="J106" s="20">
        <v>4653615003</v>
      </c>
      <c r="K106" s="20">
        <v>4569955487</v>
      </c>
      <c r="L106" s="20">
        <v>5049460677</v>
      </c>
      <c r="M106" s="20">
        <v>4680454445</v>
      </c>
      <c r="N106" s="20">
        <v>5022775698</v>
      </c>
      <c r="O106" s="20">
        <v>5454602854</v>
      </c>
      <c r="P106" s="20">
        <v>4016168196</v>
      </c>
    </row>
    <row r="107" spans="1:16" x14ac:dyDescent="0.3">
      <c r="A107" s="17" t="s">
        <v>2456</v>
      </c>
      <c r="B107" s="11" t="s">
        <v>131</v>
      </c>
      <c r="C107" s="20">
        <v>0</v>
      </c>
      <c r="D107" s="20">
        <v>0</v>
      </c>
      <c r="E107" s="20">
        <v>0</v>
      </c>
      <c r="F107" s="20">
        <v>0</v>
      </c>
      <c r="G107" s="20">
        <v>0</v>
      </c>
      <c r="H107" s="20">
        <v>0</v>
      </c>
      <c r="I107" s="20">
        <v>0</v>
      </c>
      <c r="J107" s="20">
        <v>0</v>
      </c>
      <c r="K107" s="20">
        <v>0</v>
      </c>
      <c r="L107" s="20">
        <v>0</v>
      </c>
      <c r="M107" s="20">
        <v>0</v>
      </c>
      <c r="N107" s="20">
        <v>0</v>
      </c>
      <c r="O107" s="20">
        <v>0</v>
      </c>
      <c r="P107" s="20">
        <v>0</v>
      </c>
    </row>
    <row r="108" spans="1:16" x14ac:dyDescent="0.3">
      <c r="A108" s="17" t="s">
        <v>2457</v>
      </c>
      <c r="B108" s="11" t="s">
        <v>130</v>
      </c>
      <c r="C108" s="20">
        <v>0</v>
      </c>
      <c r="D108" s="20">
        <v>0</v>
      </c>
      <c r="E108" s="20">
        <v>0</v>
      </c>
      <c r="F108" s="20">
        <v>0</v>
      </c>
      <c r="G108" s="20">
        <v>0</v>
      </c>
      <c r="H108" s="20">
        <v>0</v>
      </c>
      <c r="I108" s="20">
        <v>0</v>
      </c>
      <c r="J108" s="20">
        <v>0</v>
      </c>
      <c r="K108" s="20">
        <v>0</v>
      </c>
      <c r="L108" s="20">
        <v>0</v>
      </c>
      <c r="M108" s="20">
        <v>0</v>
      </c>
      <c r="N108" s="20">
        <v>0</v>
      </c>
      <c r="O108" s="20">
        <v>0</v>
      </c>
      <c r="P108" s="20">
        <v>0</v>
      </c>
    </row>
    <row r="109" spans="1:16" x14ac:dyDescent="0.3">
      <c r="A109" s="17" t="s">
        <v>2458</v>
      </c>
      <c r="B109" s="11" t="s">
        <v>129</v>
      </c>
      <c r="C109" s="20">
        <v>0</v>
      </c>
      <c r="D109" s="20">
        <v>0</v>
      </c>
      <c r="E109" s="20">
        <v>0</v>
      </c>
      <c r="F109" s="20">
        <v>0</v>
      </c>
      <c r="G109" s="20">
        <v>0</v>
      </c>
      <c r="H109" s="20">
        <v>0</v>
      </c>
      <c r="I109" s="20">
        <v>0</v>
      </c>
      <c r="J109" s="20">
        <v>0</v>
      </c>
      <c r="K109" s="20">
        <v>0</v>
      </c>
      <c r="L109" s="20">
        <v>0</v>
      </c>
      <c r="M109" s="20">
        <v>0</v>
      </c>
      <c r="N109" s="20">
        <v>0</v>
      </c>
      <c r="O109" s="20">
        <v>0</v>
      </c>
      <c r="P109" s="20">
        <v>0</v>
      </c>
    </row>
    <row r="110" spans="1:16" x14ac:dyDescent="0.3">
      <c r="A110" s="17" t="s">
        <v>2459</v>
      </c>
      <c r="B110" s="11" t="s">
        <v>128</v>
      </c>
      <c r="C110" s="20">
        <v>0</v>
      </c>
      <c r="D110" s="20">
        <v>0</v>
      </c>
      <c r="E110" s="20">
        <v>0</v>
      </c>
      <c r="F110" s="20">
        <v>0</v>
      </c>
      <c r="G110" s="20">
        <v>0</v>
      </c>
      <c r="H110" s="20">
        <v>0</v>
      </c>
      <c r="I110" s="20">
        <v>0</v>
      </c>
      <c r="J110" s="20">
        <v>0</v>
      </c>
      <c r="K110" s="20">
        <v>0</v>
      </c>
      <c r="L110" s="20">
        <v>0</v>
      </c>
      <c r="M110" s="20">
        <v>0</v>
      </c>
      <c r="N110" s="20">
        <v>0</v>
      </c>
      <c r="O110" s="20">
        <v>0</v>
      </c>
      <c r="P110" s="20">
        <v>0</v>
      </c>
    </row>
    <row r="111" spans="1:16" x14ac:dyDescent="0.3">
      <c r="A111" s="17" t="s">
        <v>2460</v>
      </c>
      <c r="B111" s="11" t="s">
        <v>53</v>
      </c>
      <c r="C111" s="20">
        <v>0</v>
      </c>
      <c r="D111" s="20">
        <v>0</v>
      </c>
      <c r="E111" s="20">
        <v>0</v>
      </c>
      <c r="F111" s="20">
        <v>0</v>
      </c>
      <c r="G111" s="20">
        <v>0</v>
      </c>
      <c r="H111" s="20">
        <v>0</v>
      </c>
      <c r="I111" s="20">
        <v>0</v>
      </c>
      <c r="J111" s="20">
        <v>0</v>
      </c>
      <c r="K111" s="20">
        <v>0</v>
      </c>
      <c r="L111" s="20">
        <v>0</v>
      </c>
      <c r="M111" s="20">
        <v>0</v>
      </c>
      <c r="N111" s="20">
        <v>0</v>
      </c>
      <c r="O111" s="20">
        <v>0</v>
      </c>
      <c r="P111" s="20">
        <v>0</v>
      </c>
    </row>
    <row r="112" spans="1:16" x14ac:dyDescent="0.3">
      <c r="A112" s="17" t="s">
        <v>2461</v>
      </c>
      <c r="B112" s="11" t="s">
        <v>127</v>
      </c>
      <c r="C112" s="20">
        <v>0</v>
      </c>
      <c r="D112" s="20">
        <v>0</v>
      </c>
      <c r="E112" s="20">
        <v>0</v>
      </c>
      <c r="F112" s="20">
        <v>0</v>
      </c>
      <c r="G112" s="20">
        <v>0</v>
      </c>
      <c r="H112" s="20">
        <v>0</v>
      </c>
      <c r="I112" s="20">
        <v>0</v>
      </c>
      <c r="J112" s="20">
        <v>0</v>
      </c>
      <c r="K112" s="20">
        <v>0</v>
      </c>
      <c r="L112" s="20">
        <v>0</v>
      </c>
      <c r="M112" s="20">
        <v>0</v>
      </c>
      <c r="N112" s="20">
        <v>0</v>
      </c>
      <c r="O112" s="20">
        <v>0</v>
      </c>
      <c r="P112" s="20">
        <v>0</v>
      </c>
    </row>
    <row r="113" spans="1:16" x14ac:dyDescent="0.3">
      <c r="A113" s="17" t="s">
        <v>2462</v>
      </c>
      <c r="B113" s="11" t="s">
        <v>126</v>
      </c>
      <c r="C113" s="20">
        <v>499943635</v>
      </c>
      <c r="D113" s="20">
        <v>496222899.41661</v>
      </c>
      <c r="E113" s="20">
        <v>508115009</v>
      </c>
      <c r="F113" s="20">
        <v>567710467</v>
      </c>
      <c r="G113" s="20">
        <v>290582394</v>
      </c>
      <c r="H113" s="20">
        <v>179201969</v>
      </c>
      <c r="I113" s="20">
        <v>134783780.93208003</v>
      </c>
      <c r="J113" s="20">
        <v>142637820.64240998</v>
      </c>
      <c r="K113" s="20">
        <v>165407917.67660999</v>
      </c>
      <c r="L113" s="20">
        <v>136037253.42672002</v>
      </c>
      <c r="M113" s="20">
        <v>157349556.44626999</v>
      </c>
      <c r="N113" s="20">
        <v>195362914.05539</v>
      </c>
      <c r="O113" s="20">
        <v>236903653.46887001</v>
      </c>
      <c r="P113" s="20">
        <v>319370580.83486998</v>
      </c>
    </row>
    <row r="114" spans="1:16" x14ac:dyDescent="0.3">
      <c r="A114" s="17" t="s">
        <v>2463</v>
      </c>
      <c r="B114" s="11" t="s">
        <v>125</v>
      </c>
      <c r="C114" s="20">
        <v>811246671</v>
      </c>
      <c r="D114" s="20">
        <v>811246671</v>
      </c>
      <c r="E114" s="20">
        <v>842707873</v>
      </c>
      <c r="F114" s="20">
        <v>876662248</v>
      </c>
      <c r="G114" s="20">
        <v>911376474</v>
      </c>
      <c r="H114" s="20">
        <v>653742833</v>
      </c>
      <c r="I114" s="20">
        <v>674725173</v>
      </c>
      <c r="J114" s="20">
        <v>685274418</v>
      </c>
      <c r="K114" s="20">
        <v>696518764</v>
      </c>
      <c r="L114" s="20">
        <v>696744786</v>
      </c>
      <c r="M114" s="20">
        <v>661389700</v>
      </c>
      <c r="N114" s="20">
        <v>708379571</v>
      </c>
      <c r="O114" s="20">
        <v>798701098</v>
      </c>
      <c r="P114" s="20">
        <v>883138014</v>
      </c>
    </row>
    <row r="115" spans="1:16" x14ac:dyDescent="0.3">
      <c r="A115" s="17" t="s">
        <v>2464</v>
      </c>
      <c r="B115" s="11" t="s">
        <v>124</v>
      </c>
      <c r="C115" s="20">
        <v>416277428</v>
      </c>
      <c r="D115" s="20">
        <v>416277428</v>
      </c>
      <c r="E115" s="20">
        <v>410785393</v>
      </c>
      <c r="F115" s="20">
        <v>405769663</v>
      </c>
      <c r="G115" s="20">
        <v>400394637</v>
      </c>
      <c r="H115" s="20">
        <v>396064179</v>
      </c>
      <c r="I115" s="20">
        <v>391006687</v>
      </c>
      <c r="J115" s="20">
        <v>416922669</v>
      </c>
      <c r="K115" s="20">
        <v>412205505</v>
      </c>
      <c r="L115" s="20">
        <v>407536713</v>
      </c>
      <c r="M115" s="20">
        <v>402893496</v>
      </c>
      <c r="N115" s="20">
        <v>398484450</v>
      </c>
      <c r="O115" s="20">
        <v>394024721</v>
      </c>
      <c r="P115" s="20">
        <v>389565219</v>
      </c>
    </row>
    <row r="116" spans="1:16" x14ac:dyDescent="0.3">
      <c r="A116" s="17" t="s">
        <v>2465</v>
      </c>
      <c r="B116" s="11" t="s">
        <v>123</v>
      </c>
      <c r="C116" s="20">
        <v>32058916842</v>
      </c>
      <c r="D116" s="20">
        <v>32063644253</v>
      </c>
      <c r="E116" s="20">
        <v>32657387815</v>
      </c>
      <c r="F116" s="20">
        <v>33204997060</v>
      </c>
      <c r="G116" s="20">
        <v>33813206228</v>
      </c>
      <c r="H116" s="20">
        <v>34341453100</v>
      </c>
      <c r="I116" s="20">
        <v>33354409310</v>
      </c>
      <c r="J116" s="20">
        <v>33868117646</v>
      </c>
      <c r="K116" s="20">
        <v>34399700292</v>
      </c>
      <c r="L116" s="20">
        <v>34929824254</v>
      </c>
      <c r="M116" s="20">
        <v>35506776484</v>
      </c>
      <c r="N116" s="20">
        <v>36061351804</v>
      </c>
      <c r="O116" s="20">
        <v>35414585499</v>
      </c>
      <c r="P116" s="20">
        <v>35976549258</v>
      </c>
    </row>
    <row r="117" spans="1:16" x14ac:dyDescent="0.3">
      <c r="A117" s="17" t="s">
        <v>2466</v>
      </c>
      <c r="B117" s="11" t="s">
        <v>122</v>
      </c>
      <c r="C117" s="20">
        <v>15027610226</v>
      </c>
      <c r="D117" s="20">
        <v>15027610226</v>
      </c>
      <c r="E117" s="20">
        <v>15027610226</v>
      </c>
      <c r="F117" s="20">
        <v>15027610226</v>
      </c>
      <c r="G117" s="20">
        <v>15027610226</v>
      </c>
      <c r="H117" s="20">
        <v>15027610226</v>
      </c>
      <c r="I117" s="20">
        <v>15027610226</v>
      </c>
      <c r="J117" s="20">
        <v>15027610226</v>
      </c>
      <c r="K117" s="20">
        <v>15027610226</v>
      </c>
      <c r="L117" s="20">
        <v>15027610226</v>
      </c>
      <c r="M117" s="20">
        <v>15027610226</v>
      </c>
      <c r="N117" s="20">
        <v>15027610226</v>
      </c>
      <c r="O117" s="20">
        <v>15027610226</v>
      </c>
      <c r="P117" s="20">
        <v>15027610226</v>
      </c>
    </row>
    <row r="118" spans="1:16" x14ac:dyDescent="0.3">
      <c r="A118" s="17" t="s">
        <v>2467</v>
      </c>
      <c r="B118" s="11" t="s">
        <v>121</v>
      </c>
      <c r="C118" s="20">
        <v>10652709707</v>
      </c>
      <c r="D118" s="20">
        <v>10652709707</v>
      </c>
      <c r="E118" s="20">
        <v>10652709707</v>
      </c>
      <c r="F118" s="20">
        <v>10652709707</v>
      </c>
      <c r="G118" s="20">
        <v>10652709707</v>
      </c>
      <c r="H118" s="20">
        <v>10652709707</v>
      </c>
      <c r="I118" s="20">
        <v>10652709707</v>
      </c>
      <c r="J118" s="20">
        <v>10652709707</v>
      </c>
      <c r="K118" s="20">
        <v>10652709707</v>
      </c>
      <c r="L118" s="20">
        <v>10652709707</v>
      </c>
      <c r="M118" s="20">
        <v>10652709707</v>
      </c>
      <c r="N118" s="20">
        <v>10652709707</v>
      </c>
      <c r="O118" s="20">
        <v>10652709707</v>
      </c>
      <c r="P118" s="20">
        <v>10652709707</v>
      </c>
    </row>
    <row r="119" spans="1:16" x14ac:dyDescent="0.3">
      <c r="A119" s="17" t="s">
        <v>2468</v>
      </c>
      <c r="B119" s="11" t="s">
        <v>120</v>
      </c>
      <c r="C119" s="20">
        <v>4374900519</v>
      </c>
      <c r="D119" s="20">
        <v>4374900519</v>
      </c>
      <c r="E119" s="20">
        <v>4374900519</v>
      </c>
      <c r="F119" s="20">
        <v>4374900519</v>
      </c>
      <c r="G119" s="20">
        <v>4374900519</v>
      </c>
      <c r="H119" s="20">
        <v>4374900519</v>
      </c>
      <c r="I119" s="20">
        <v>4374900519</v>
      </c>
      <c r="J119" s="20">
        <v>4374900519</v>
      </c>
      <c r="K119" s="20">
        <v>4374900519</v>
      </c>
      <c r="L119" s="20">
        <v>4374900519</v>
      </c>
      <c r="M119" s="20">
        <v>4374900519</v>
      </c>
      <c r="N119" s="20">
        <v>4374900519</v>
      </c>
      <c r="O119" s="20">
        <v>4374900519</v>
      </c>
      <c r="P119" s="20">
        <v>4374900519</v>
      </c>
    </row>
    <row r="120" spans="1:16" x14ac:dyDescent="0.3">
      <c r="A120" s="17" t="s">
        <v>2469</v>
      </c>
      <c r="B120" s="11" t="s">
        <v>119</v>
      </c>
      <c r="C120" s="20">
        <v>0</v>
      </c>
      <c r="D120" s="20">
        <v>0</v>
      </c>
      <c r="E120" s="20">
        <v>0</v>
      </c>
      <c r="F120" s="20">
        <v>0</v>
      </c>
      <c r="G120" s="20">
        <v>0</v>
      </c>
      <c r="H120" s="20">
        <v>0</v>
      </c>
      <c r="I120" s="20">
        <v>0</v>
      </c>
      <c r="J120" s="20">
        <v>0</v>
      </c>
      <c r="K120" s="20">
        <v>0</v>
      </c>
      <c r="L120" s="20">
        <v>0</v>
      </c>
      <c r="M120" s="20">
        <v>0</v>
      </c>
      <c r="N120" s="20">
        <v>0</v>
      </c>
      <c r="O120" s="20">
        <v>0</v>
      </c>
      <c r="P120" s="20">
        <v>0</v>
      </c>
    </row>
    <row r="121" spans="1:16" x14ac:dyDescent="0.3">
      <c r="A121" s="17" t="s">
        <v>2470</v>
      </c>
      <c r="B121" s="11" t="s">
        <v>118</v>
      </c>
      <c r="C121" s="20">
        <v>17031297187</v>
      </c>
      <c r="D121" s="20">
        <v>17036024598</v>
      </c>
      <c r="E121" s="20">
        <v>17629766037</v>
      </c>
      <c r="F121" s="20">
        <v>18177375057</v>
      </c>
      <c r="G121" s="20">
        <v>18785583978</v>
      </c>
      <c r="H121" s="20">
        <v>19313830592</v>
      </c>
      <c r="I121" s="20">
        <v>18326786602</v>
      </c>
      <c r="J121" s="20">
        <v>18840494709</v>
      </c>
      <c r="K121" s="20">
        <v>19372077154</v>
      </c>
      <c r="L121" s="20">
        <v>19902200923</v>
      </c>
      <c r="M121" s="20">
        <v>20479152690</v>
      </c>
      <c r="N121" s="20">
        <v>21033727809</v>
      </c>
      <c r="O121" s="20">
        <v>20386961286</v>
      </c>
      <c r="P121" s="20">
        <v>20948924806</v>
      </c>
    </row>
    <row r="122" spans="1:16" x14ac:dyDescent="0.3">
      <c r="A122" s="17" t="s">
        <v>2471</v>
      </c>
      <c r="B122" s="11" t="s">
        <v>117</v>
      </c>
      <c r="C122" s="20">
        <v>10463642001</v>
      </c>
      <c r="D122" s="20">
        <v>10463642001</v>
      </c>
      <c r="E122" s="20">
        <v>10463640992</v>
      </c>
      <c r="F122" s="20">
        <v>10463640992</v>
      </c>
      <c r="G122" s="20">
        <v>10461490514</v>
      </c>
      <c r="H122" s="20">
        <v>10461490514</v>
      </c>
      <c r="I122" s="20">
        <v>15459269336</v>
      </c>
      <c r="J122" s="20">
        <v>15455646734</v>
      </c>
      <c r="K122" s="20">
        <v>15449472064</v>
      </c>
      <c r="L122" s="20">
        <v>15443925896</v>
      </c>
      <c r="M122" s="20">
        <v>15442547437</v>
      </c>
      <c r="N122" s="20">
        <v>15428128276</v>
      </c>
      <c r="O122" s="20">
        <v>14312018727</v>
      </c>
      <c r="P122" s="20">
        <v>14298320527</v>
      </c>
    </row>
    <row r="123" spans="1:16" x14ac:dyDescent="0.3">
      <c r="A123" s="17" t="s">
        <v>2472</v>
      </c>
      <c r="B123" s="11" t="s">
        <v>116</v>
      </c>
      <c r="C123" s="20">
        <v>0</v>
      </c>
      <c r="D123" s="20">
        <v>0</v>
      </c>
      <c r="E123" s="20">
        <v>6507474292</v>
      </c>
      <c r="F123" s="20">
        <v>6507475688</v>
      </c>
      <c r="G123" s="20">
        <v>6507476562</v>
      </c>
      <c r="H123" s="20">
        <v>6507476562</v>
      </c>
      <c r="I123" s="20">
        <v>0</v>
      </c>
      <c r="J123" s="20">
        <v>0</v>
      </c>
      <c r="K123" s="20">
        <v>0</v>
      </c>
      <c r="L123" s="20">
        <v>0</v>
      </c>
      <c r="M123" s="20">
        <v>0</v>
      </c>
      <c r="N123" s="20">
        <v>0</v>
      </c>
      <c r="O123" s="20">
        <v>0</v>
      </c>
      <c r="P123" s="20">
        <v>0</v>
      </c>
    </row>
    <row r="124" spans="1:16" x14ac:dyDescent="0.3">
      <c r="A124" s="17" t="s">
        <v>2473</v>
      </c>
      <c r="B124" s="11" t="s">
        <v>115</v>
      </c>
      <c r="C124" s="20">
        <v>6502745125</v>
      </c>
      <c r="D124" s="20">
        <v>6507476562</v>
      </c>
      <c r="E124" s="20">
        <v>559969347</v>
      </c>
      <c r="F124" s="20">
        <v>1087992964</v>
      </c>
      <c r="G124" s="20">
        <v>1625431217</v>
      </c>
      <c r="H124" s="20">
        <v>2140548173</v>
      </c>
      <c r="I124" s="20">
        <v>2656210757</v>
      </c>
      <c r="J124" s="20">
        <v>3261286498</v>
      </c>
      <c r="K124" s="20">
        <v>3766709231</v>
      </c>
      <c r="L124" s="20">
        <v>4267151948</v>
      </c>
      <c r="M124" s="20">
        <v>4785123667</v>
      </c>
      <c r="N124" s="20">
        <v>5344326687</v>
      </c>
      <c r="O124" s="20">
        <v>5953716038</v>
      </c>
      <c r="P124" s="20">
        <v>6584525699</v>
      </c>
    </row>
    <row r="125" spans="1:16" x14ac:dyDescent="0.3">
      <c r="A125" s="17" t="s">
        <v>2474</v>
      </c>
      <c r="B125" s="11" t="s">
        <v>114</v>
      </c>
      <c r="C125" s="20">
        <v>42298396</v>
      </c>
      <c r="D125" s="20">
        <v>42298396</v>
      </c>
      <c r="E125" s="20">
        <v>100080815</v>
      </c>
      <c r="F125" s="20">
        <v>152063248</v>
      </c>
      <c r="G125" s="20">
        <v>237451941</v>
      </c>
      <c r="H125" s="20">
        <v>269131373</v>
      </c>
      <c r="I125" s="20">
        <v>274469429</v>
      </c>
      <c r="J125" s="20">
        <v>190149855</v>
      </c>
      <c r="K125" s="20">
        <v>217380704</v>
      </c>
      <c r="L125" s="20">
        <v>269582634</v>
      </c>
      <c r="M125" s="20">
        <v>338170388</v>
      </c>
      <c r="N125" s="20">
        <v>348710424</v>
      </c>
      <c r="O125" s="20">
        <v>206347217</v>
      </c>
      <c r="P125" s="20">
        <v>128472459</v>
      </c>
    </row>
    <row r="126" spans="1:16" x14ac:dyDescent="0.3">
      <c r="A126" s="17" t="s">
        <v>2475</v>
      </c>
      <c r="B126" s="11" t="s">
        <v>113</v>
      </c>
      <c r="C126" s="20">
        <v>101129649</v>
      </c>
      <c r="D126" s="20">
        <v>101129649</v>
      </c>
      <c r="E126" s="20">
        <v>76656928</v>
      </c>
      <c r="F126" s="20">
        <v>43792828</v>
      </c>
      <c r="G126" s="20">
        <v>30827802</v>
      </c>
      <c r="H126" s="20">
        <v>11781423</v>
      </c>
      <c r="I126" s="20">
        <v>12979170</v>
      </c>
      <c r="J126" s="20">
        <v>9077727</v>
      </c>
      <c r="K126" s="20">
        <v>13705276</v>
      </c>
      <c r="L126" s="20">
        <v>-3745418</v>
      </c>
      <c r="M126" s="20">
        <v>-12450649</v>
      </c>
      <c r="N126" s="20">
        <v>-13278051</v>
      </c>
      <c r="O126" s="20">
        <v>-10571590</v>
      </c>
      <c r="P126" s="20">
        <v>11530429</v>
      </c>
    </row>
    <row r="127" spans="1:16" x14ac:dyDescent="0.3">
      <c r="A127" s="17" t="s">
        <v>2476</v>
      </c>
      <c r="B127" s="11" t="s">
        <v>112</v>
      </c>
      <c r="C127" s="20">
        <v>-78517984</v>
      </c>
      <c r="D127" s="20">
        <v>-78522010</v>
      </c>
      <c r="E127" s="20">
        <v>-78056337</v>
      </c>
      <c r="F127" s="20">
        <v>-77590663</v>
      </c>
      <c r="G127" s="20">
        <v>-77094058</v>
      </c>
      <c r="H127" s="20">
        <v>-76597453</v>
      </c>
      <c r="I127" s="20">
        <v>-76142090</v>
      </c>
      <c r="J127" s="20">
        <v>-75666105</v>
      </c>
      <c r="K127" s="20">
        <v>-75190121</v>
      </c>
      <c r="L127" s="20">
        <v>-74714137</v>
      </c>
      <c r="M127" s="20">
        <v>-74238153</v>
      </c>
      <c r="N127" s="20">
        <v>-74159527</v>
      </c>
      <c r="O127" s="20">
        <v>-74549106</v>
      </c>
      <c r="P127" s="20">
        <v>-73924308</v>
      </c>
    </row>
    <row r="128" spans="1:16" x14ac:dyDescent="0.3">
      <c r="A128" s="17" t="s">
        <v>2477</v>
      </c>
      <c r="B128" s="11" t="s">
        <v>111</v>
      </c>
      <c r="C128" s="20">
        <v>0</v>
      </c>
      <c r="D128" s="20">
        <v>0</v>
      </c>
      <c r="E128" s="20">
        <v>0</v>
      </c>
      <c r="F128" s="20">
        <v>0</v>
      </c>
      <c r="G128" s="20">
        <v>0</v>
      </c>
      <c r="H128" s="20">
        <v>0</v>
      </c>
      <c r="I128" s="20">
        <v>0</v>
      </c>
      <c r="J128" s="20">
        <v>0</v>
      </c>
      <c r="K128" s="20">
        <v>3766709231</v>
      </c>
      <c r="L128" s="20">
        <v>0</v>
      </c>
      <c r="M128" s="20">
        <v>0</v>
      </c>
      <c r="N128" s="20">
        <v>0</v>
      </c>
      <c r="O128" s="20">
        <v>0</v>
      </c>
      <c r="P128" s="20">
        <v>0</v>
      </c>
    </row>
    <row r="129" spans="1:16" x14ac:dyDescent="0.3">
      <c r="A129" s="17" t="s">
        <v>2478</v>
      </c>
      <c r="B129" s="11" t="s">
        <v>110</v>
      </c>
      <c r="C129" s="20">
        <v>9429</v>
      </c>
      <c r="D129" s="20">
        <v>0</v>
      </c>
      <c r="E129" s="20">
        <v>11552</v>
      </c>
      <c r="F129" s="20">
        <v>11777</v>
      </c>
      <c r="G129" s="20">
        <v>12024</v>
      </c>
      <c r="H129" s="20">
        <v>12282</v>
      </c>
      <c r="I129" s="20">
        <v>12482</v>
      </c>
      <c r="J129" s="20">
        <v>12711</v>
      </c>
      <c r="K129" s="20">
        <v>12912</v>
      </c>
      <c r="L129" s="20">
        <v>13105</v>
      </c>
      <c r="M129" s="20">
        <v>13568</v>
      </c>
      <c r="N129" s="20">
        <v>13769</v>
      </c>
      <c r="O129" s="20">
        <v>13987</v>
      </c>
      <c r="P129" s="20">
        <v>14226</v>
      </c>
    </row>
    <row r="130" spans="1:16" x14ac:dyDescent="0.3">
      <c r="A130" s="17" t="s">
        <v>2479</v>
      </c>
      <c r="B130" s="11" t="s">
        <v>109</v>
      </c>
      <c r="C130" s="20">
        <v>498937002401</v>
      </c>
      <c r="D130" s="20">
        <v>498937002401</v>
      </c>
      <c r="E130" s="20">
        <v>516999432106</v>
      </c>
      <c r="F130" s="20">
        <v>519837139821</v>
      </c>
      <c r="G130" s="20">
        <v>521908176151</v>
      </c>
      <c r="H130" s="20">
        <v>533925266411</v>
      </c>
      <c r="I130" s="20">
        <v>539700978542</v>
      </c>
      <c r="J130" s="20">
        <v>536255724955</v>
      </c>
      <c r="K130" s="20">
        <v>521377525567</v>
      </c>
      <c r="L130" s="20">
        <v>590076635162</v>
      </c>
      <c r="M130" s="20">
        <v>593023855630</v>
      </c>
      <c r="N130" s="20">
        <v>583529591435</v>
      </c>
      <c r="O130" s="20">
        <v>544808992097</v>
      </c>
      <c r="P130" s="20">
        <v>536509316131</v>
      </c>
    </row>
    <row r="131" spans="1:16" x14ac:dyDescent="0.3">
      <c r="A131" s="17" t="s">
        <v>2480</v>
      </c>
      <c r="B131" s="11" t="s">
        <v>108</v>
      </c>
      <c r="C131" s="20">
        <v>63315004309</v>
      </c>
      <c r="D131" s="20">
        <v>63315004309</v>
      </c>
      <c r="E131" s="20">
        <v>68984942881</v>
      </c>
      <c r="F131" s="20">
        <v>72843183197</v>
      </c>
      <c r="G131" s="20">
        <v>71449082882</v>
      </c>
      <c r="H131" s="20">
        <v>80531500806</v>
      </c>
      <c r="I131" s="20">
        <v>80996908891</v>
      </c>
      <c r="J131" s="20">
        <v>78914500618</v>
      </c>
      <c r="K131" s="20">
        <v>74314267169</v>
      </c>
      <c r="L131" s="20">
        <v>75275695967</v>
      </c>
      <c r="M131" s="20">
        <v>77249143708</v>
      </c>
      <c r="N131" s="20">
        <v>76638871333</v>
      </c>
      <c r="O131" s="20">
        <v>80750483255</v>
      </c>
      <c r="P131" s="20">
        <v>79733421938</v>
      </c>
    </row>
    <row r="132" spans="1:16" x14ac:dyDescent="0.3">
      <c r="A132" s="17" t="s">
        <v>2481</v>
      </c>
      <c r="B132" s="11" t="s">
        <v>107</v>
      </c>
      <c r="C132" s="20">
        <v>63315004309</v>
      </c>
      <c r="D132" s="20">
        <v>63315004309</v>
      </c>
      <c r="E132" s="20">
        <v>68984942881</v>
      </c>
      <c r="F132" s="20">
        <v>72843183197</v>
      </c>
      <c r="G132" s="20">
        <v>71449082882</v>
      </c>
      <c r="H132" s="20">
        <v>80531500806</v>
      </c>
      <c r="I132" s="20">
        <v>80996908891</v>
      </c>
      <c r="J132" s="20">
        <v>78914500618</v>
      </c>
      <c r="K132" s="20">
        <v>74314267169</v>
      </c>
      <c r="L132" s="20">
        <v>75275695967</v>
      </c>
      <c r="M132" s="20">
        <v>77249143708</v>
      </c>
      <c r="N132" s="20">
        <v>76638871333</v>
      </c>
      <c r="O132" s="20">
        <v>80750483255</v>
      </c>
      <c r="P132" s="20">
        <v>79733421938</v>
      </c>
    </row>
    <row r="133" spans="1:16" x14ac:dyDescent="0.3">
      <c r="A133" s="17" t="s">
        <v>2482</v>
      </c>
      <c r="B133" s="11" t="s">
        <v>106</v>
      </c>
      <c r="C133" s="20">
        <v>435621998092</v>
      </c>
      <c r="D133" s="20">
        <v>435621998092</v>
      </c>
      <c r="E133" s="20">
        <v>448014489225</v>
      </c>
      <c r="F133" s="20">
        <v>446993956624</v>
      </c>
      <c r="G133" s="20">
        <v>450459093269</v>
      </c>
      <c r="H133" s="20">
        <v>453393765605</v>
      </c>
      <c r="I133" s="20">
        <v>458704069651</v>
      </c>
      <c r="J133" s="20">
        <v>457341224337</v>
      </c>
      <c r="K133" s="20">
        <v>447063258398</v>
      </c>
      <c r="L133" s="20">
        <v>514800939195</v>
      </c>
      <c r="M133" s="20">
        <v>515774711922</v>
      </c>
      <c r="N133" s="20">
        <v>506890720102</v>
      </c>
      <c r="O133" s="20">
        <v>464058508842</v>
      </c>
      <c r="P133" s="20">
        <v>456775894193</v>
      </c>
    </row>
    <row r="134" spans="1:16" x14ac:dyDescent="0.3">
      <c r="A134" s="17" t="s">
        <v>2483</v>
      </c>
      <c r="B134" s="11" t="s">
        <v>105</v>
      </c>
      <c r="C134" s="20">
        <v>0</v>
      </c>
      <c r="D134" s="20">
        <v>0</v>
      </c>
      <c r="E134" s="20">
        <v>0</v>
      </c>
      <c r="F134" s="20">
        <v>0</v>
      </c>
      <c r="G134" s="20">
        <v>0</v>
      </c>
      <c r="H134" s="20">
        <v>0</v>
      </c>
      <c r="I134" s="20">
        <v>0</v>
      </c>
      <c r="J134" s="20">
        <v>0</v>
      </c>
      <c r="K134" s="20">
        <v>0</v>
      </c>
      <c r="L134" s="20">
        <v>0</v>
      </c>
      <c r="M134" s="20">
        <v>0</v>
      </c>
      <c r="N134" s="20">
        <v>0</v>
      </c>
      <c r="O134" s="20">
        <v>0</v>
      </c>
      <c r="P134" s="20">
        <v>0</v>
      </c>
    </row>
    <row r="135" spans="1:16" x14ac:dyDescent="0.3">
      <c r="A135" s="17" t="s">
        <v>2484</v>
      </c>
      <c r="B135" s="11" t="s">
        <v>104</v>
      </c>
      <c r="C135" s="20">
        <v>105551136669</v>
      </c>
      <c r="D135" s="20">
        <v>105551136669</v>
      </c>
      <c r="E135" s="20">
        <v>102006652664</v>
      </c>
      <c r="F135" s="20">
        <v>104393560703</v>
      </c>
      <c r="G135" s="20">
        <v>97250309583</v>
      </c>
      <c r="H135" s="20">
        <v>94147156006</v>
      </c>
      <c r="I135" s="20">
        <v>94638030394</v>
      </c>
      <c r="J135" s="20">
        <v>96407785331</v>
      </c>
      <c r="K135" s="20">
        <v>87778363718</v>
      </c>
      <c r="L135" s="20">
        <v>87804209835</v>
      </c>
      <c r="M135" s="20">
        <v>89416650906</v>
      </c>
      <c r="N135" s="20">
        <v>89847059423</v>
      </c>
      <c r="O135" s="20">
        <v>92520364300</v>
      </c>
      <c r="P135" s="20">
        <v>92401201020</v>
      </c>
    </row>
    <row r="136" spans="1:16" x14ac:dyDescent="0.3">
      <c r="A136" s="17" t="s">
        <v>2485</v>
      </c>
      <c r="B136" s="11" t="s">
        <v>103</v>
      </c>
      <c r="C136" s="20">
        <v>163112104319</v>
      </c>
      <c r="D136" s="20">
        <v>163112104319</v>
      </c>
      <c r="E136" s="20">
        <v>172948524433</v>
      </c>
      <c r="F136" s="20">
        <v>175976967853</v>
      </c>
      <c r="G136" s="20">
        <v>176599440351</v>
      </c>
      <c r="H136" s="20">
        <v>184291914815</v>
      </c>
      <c r="I136" s="20">
        <v>188944126785</v>
      </c>
      <c r="J136" s="20">
        <v>187425268322</v>
      </c>
      <c r="K136" s="20">
        <v>183407221495</v>
      </c>
      <c r="L136" s="20">
        <v>249272951511</v>
      </c>
      <c r="M136" s="20">
        <v>248345301286</v>
      </c>
      <c r="N136" s="20">
        <v>246436691583</v>
      </c>
      <c r="O136" s="20">
        <v>199175811163</v>
      </c>
      <c r="P136" s="20">
        <v>200623223503</v>
      </c>
    </row>
    <row r="137" spans="1:16" x14ac:dyDescent="0.3">
      <c r="A137" s="17" t="s">
        <v>2486</v>
      </c>
      <c r="B137" s="11" t="s">
        <v>102</v>
      </c>
      <c r="C137" s="20">
        <v>41802178567</v>
      </c>
      <c r="D137" s="20">
        <v>41802178567</v>
      </c>
      <c r="E137" s="20">
        <v>47662037221</v>
      </c>
      <c r="F137" s="20">
        <v>41762300255</v>
      </c>
      <c r="G137" s="20">
        <v>46528214476</v>
      </c>
      <c r="H137" s="20">
        <v>45086202585</v>
      </c>
      <c r="I137" s="20">
        <v>45176222787</v>
      </c>
      <c r="J137" s="20">
        <v>43254863394</v>
      </c>
      <c r="K137" s="20">
        <v>45736392188</v>
      </c>
      <c r="L137" s="20">
        <v>47425935184</v>
      </c>
      <c r="M137" s="20">
        <v>47169182066</v>
      </c>
      <c r="N137" s="20">
        <v>40987826937</v>
      </c>
      <c r="O137" s="20">
        <v>47247594428</v>
      </c>
      <c r="P137" s="20">
        <v>39296904731</v>
      </c>
    </row>
    <row r="138" spans="1:16" x14ac:dyDescent="0.3">
      <c r="A138" s="17" t="s">
        <v>2487</v>
      </c>
      <c r="B138" s="11" t="s">
        <v>101</v>
      </c>
      <c r="C138" s="20">
        <v>0</v>
      </c>
      <c r="D138" s="20">
        <v>0</v>
      </c>
      <c r="E138" s="20">
        <v>0</v>
      </c>
      <c r="F138" s="20">
        <v>0</v>
      </c>
      <c r="G138" s="20">
        <v>0</v>
      </c>
      <c r="H138" s="20">
        <v>0</v>
      </c>
      <c r="I138" s="20">
        <v>0</v>
      </c>
      <c r="J138" s="20">
        <v>0</v>
      </c>
      <c r="K138" s="20">
        <v>0</v>
      </c>
      <c r="L138" s="20">
        <v>0</v>
      </c>
      <c r="M138" s="20">
        <v>0</v>
      </c>
      <c r="N138" s="20">
        <v>0</v>
      </c>
      <c r="O138" s="20">
        <v>0</v>
      </c>
      <c r="P138" s="20">
        <v>0</v>
      </c>
    </row>
    <row r="139" spans="1:16" x14ac:dyDescent="0.3">
      <c r="A139" s="17" t="s">
        <v>2488</v>
      </c>
      <c r="B139" s="11" t="s">
        <v>100</v>
      </c>
      <c r="C139" s="20">
        <v>0</v>
      </c>
      <c r="D139" s="20">
        <v>0</v>
      </c>
      <c r="E139" s="20">
        <v>0</v>
      </c>
      <c r="F139" s="20">
        <v>0</v>
      </c>
      <c r="G139" s="20">
        <v>0</v>
      </c>
      <c r="H139" s="20">
        <v>0</v>
      </c>
      <c r="I139" s="20">
        <v>0</v>
      </c>
      <c r="J139" s="20">
        <v>0</v>
      </c>
      <c r="K139" s="20">
        <v>0</v>
      </c>
      <c r="L139" s="20">
        <v>0</v>
      </c>
      <c r="M139" s="20">
        <v>0</v>
      </c>
      <c r="N139" s="20">
        <v>0</v>
      </c>
      <c r="O139" s="20">
        <v>0</v>
      </c>
      <c r="P139" s="20">
        <v>0</v>
      </c>
    </row>
    <row r="140" spans="1:16" x14ac:dyDescent="0.3">
      <c r="A140" s="17" t="s">
        <v>2489</v>
      </c>
      <c r="B140" s="11" t="s">
        <v>99</v>
      </c>
      <c r="C140" s="20">
        <v>449294395</v>
      </c>
      <c r="D140" s="20">
        <v>449294395</v>
      </c>
      <c r="E140" s="20">
        <v>242095934</v>
      </c>
      <c r="F140" s="20">
        <v>177439821</v>
      </c>
      <c r="G140" s="20">
        <v>493483291</v>
      </c>
      <c r="H140" s="20">
        <v>494151881</v>
      </c>
      <c r="I140" s="20">
        <v>180225385</v>
      </c>
      <c r="J140" s="20">
        <v>181865951</v>
      </c>
      <c r="K140" s="20">
        <v>185832226</v>
      </c>
      <c r="L140" s="20">
        <v>178600061</v>
      </c>
      <c r="M140" s="20">
        <v>574264965</v>
      </c>
      <c r="N140" s="20">
        <v>190227965</v>
      </c>
      <c r="O140" s="20">
        <v>191385792</v>
      </c>
      <c r="P140" s="20">
        <v>194514987</v>
      </c>
    </row>
    <row r="141" spans="1:16" x14ac:dyDescent="0.3">
      <c r="A141" s="17" t="s">
        <v>2490</v>
      </c>
      <c r="B141" s="11" t="s">
        <v>98</v>
      </c>
      <c r="C141" s="20">
        <v>12401865889</v>
      </c>
      <c r="D141" s="20">
        <v>12401865889</v>
      </c>
      <c r="E141" s="20">
        <v>12720010495</v>
      </c>
      <c r="F141" s="20">
        <v>12701211898</v>
      </c>
      <c r="G141" s="20">
        <v>12647831724</v>
      </c>
      <c r="H141" s="20">
        <v>12558878121</v>
      </c>
      <c r="I141" s="20">
        <v>12594059260</v>
      </c>
      <c r="J141" s="20">
        <v>12279449349</v>
      </c>
      <c r="K141" s="20">
        <v>12046904872</v>
      </c>
      <c r="L141" s="20">
        <v>12142490647</v>
      </c>
      <c r="M141" s="20">
        <v>12265379930</v>
      </c>
      <c r="N141" s="20">
        <v>12025982835</v>
      </c>
      <c r="O141" s="20">
        <v>6805540587</v>
      </c>
      <c r="P141" s="20">
        <v>6739708352</v>
      </c>
    </row>
    <row r="142" spans="1:16" x14ac:dyDescent="0.3">
      <c r="A142" s="17" t="s">
        <v>2491</v>
      </c>
      <c r="B142" s="11" t="s">
        <v>97</v>
      </c>
      <c r="C142" s="20">
        <v>31038803440</v>
      </c>
      <c r="D142" s="20">
        <v>31038803440</v>
      </c>
      <c r="E142" s="20">
        <v>31058629242</v>
      </c>
      <c r="F142" s="20">
        <v>29768204585</v>
      </c>
      <c r="G142" s="20">
        <v>30694199974</v>
      </c>
      <c r="H142" s="20">
        <v>30519372833</v>
      </c>
      <c r="I142" s="20">
        <v>30820935381</v>
      </c>
      <c r="J142" s="20">
        <v>30661006145</v>
      </c>
      <c r="K142" s="20">
        <v>30746038528</v>
      </c>
      <c r="L142" s="20">
        <v>30253370368</v>
      </c>
      <c r="M142" s="20">
        <v>30270044304</v>
      </c>
      <c r="N142" s="20">
        <v>29519732449</v>
      </c>
      <c r="O142" s="20">
        <v>29925617554</v>
      </c>
      <c r="P142" s="20">
        <v>29079033173</v>
      </c>
    </row>
    <row r="143" spans="1:16" x14ac:dyDescent="0.3">
      <c r="A143" s="17" t="s">
        <v>2492</v>
      </c>
      <c r="B143" s="11" t="s">
        <v>96</v>
      </c>
      <c r="C143" s="20">
        <v>81125367646</v>
      </c>
      <c r="D143" s="20">
        <v>81125367646</v>
      </c>
      <c r="E143" s="20">
        <v>81241942761</v>
      </c>
      <c r="F143" s="20">
        <v>82085638720</v>
      </c>
      <c r="G143" s="20">
        <v>86122828104</v>
      </c>
      <c r="H143" s="20">
        <v>86181141665</v>
      </c>
      <c r="I143" s="20">
        <v>86214310912</v>
      </c>
      <c r="J143" s="20">
        <v>86996523317</v>
      </c>
      <c r="K143" s="20">
        <v>87031440261</v>
      </c>
      <c r="L143" s="20">
        <v>87596478550</v>
      </c>
      <c r="M143" s="20">
        <v>87612653730</v>
      </c>
      <c r="N143" s="20">
        <v>87764409450</v>
      </c>
      <c r="O143" s="20">
        <v>88072944214</v>
      </c>
      <c r="P143" s="20">
        <v>88322997735</v>
      </c>
    </row>
    <row r="144" spans="1:16" x14ac:dyDescent="0.3">
      <c r="A144" s="17" t="s">
        <v>2493</v>
      </c>
      <c r="B144" s="11" t="s">
        <v>95</v>
      </c>
      <c r="C144" s="20">
        <v>43206107</v>
      </c>
      <c r="D144" s="20">
        <v>43206107</v>
      </c>
      <c r="E144" s="20">
        <v>42980263</v>
      </c>
      <c r="F144" s="20">
        <v>43816362</v>
      </c>
      <c r="G144" s="20">
        <v>43945539</v>
      </c>
      <c r="H144" s="20">
        <v>44140401</v>
      </c>
      <c r="I144" s="20">
        <v>43452800</v>
      </c>
      <c r="J144" s="20">
        <v>43489514</v>
      </c>
      <c r="K144" s="20">
        <v>43610753</v>
      </c>
      <c r="L144" s="20">
        <v>43839794</v>
      </c>
      <c r="M144" s="20">
        <v>44100940</v>
      </c>
      <c r="N144" s="20">
        <v>44339678</v>
      </c>
      <c r="O144" s="20">
        <v>44549752</v>
      </c>
      <c r="P144" s="20">
        <v>44086868</v>
      </c>
    </row>
    <row r="145" spans="1:16" x14ac:dyDescent="0.3">
      <c r="A145" s="17" t="s">
        <v>2494</v>
      </c>
      <c r="B145" s="11" t="s">
        <v>94</v>
      </c>
      <c r="C145" s="20">
        <v>98041060</v>
      </c>
      <c r="D145" s="20">
        <v>98041060</v>
      </c>
      <c r="E145" s="20">
        <v>91616212</v>
      </c>
      <c r="F145" s="20">
        <v>84816427</v>
      </c>
      <c r="G145" s="20">
        <v>78840227</v>
      </c>
      <c r="H145" s="20">
        <v>70807298</v>
      </c>
      <c r="I145" s="20">
        <v>92705947</v>
      </c>
      <c r="J145" s="20">
        <v>90973014</v>
      </c>
      <c r="K145" s="20">
        <v>87454357</v>
      </c>
      <c r="L145" s="20">
        <v>83063245</v>
      </c>
      <c r="M145" s="20">
        <v>77133795</v>
      </c>
      <c r="N145" s="20">
        <v>74449782</v>
      </c>
      <c r="O145" s="20">
        <v>74701052</v>
      </c>
      <c r="P145" s="20">
        <v>74223824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4"/>
  <sheetViews>
    <sheetView zoomScale="90" zoomScaleNormal="90" workbookViewId="0">
      <pane xSplit="2" ySplit="2" topLeftCell="D3" activePane="bottomRight" state="frozen"/>
      <selection pane="topRight" activeCell="C1" sqref="C1"/>
      <selection pane="bottomLeft" activeCell="A3" sqref="A3"/>
      <selection pane="bottomRight" activeCell="B8" sqref="B8"/>
    </sheetView>
  </sheetViews>
  <sheetFormatPr baseColWidth="10" defaultColWidth="9.44140625" defaultRowHeight="14.4" x14ac:dyDescent="0.3"/>
  <cols>
    <col min="1" max="1" width="14" bestFit="1" customWidth="1"/>
    <col min="2" max="2" width="41.5546875" customWidth="1"/>
    <col min="3" max="7" width="13.5546875" style="1" customWidth="1"/>
  </cols>
  <sheetData>
    <row r="1" spans="1:7" x14ac:dyDescent="0.3">
      <c r="A1" s="11"/>
      <c r="B1" s="11"/>
      <c r="C1" s="12" t="s">
        <v>2013</v>
      </c>
      <c r="D1" s="12" t="s">
        <v>92</v>
      </c>
      <c r="E1" s="12" t="s">
        <v>92</v>
      </c>
      <c r="F1" s="12" t="s">
        <v>92</v>
      </c>
      <c r="G1" s="12" t="s">
        <v>91</v>
      </c>
    </row>
    <row r="2" spans="1:7" x14ac:dyDescent="0.3">
      <c r="A2" s="13" t="s">
        <v>206</v>
      </c>
      <c r="B2" s="13" t="s">
        <v>205</v>
      </c>
      <c r="C2" s="14">
        <v>45261</v>
      </c>
      <c r="D2" s="14">
        <v>45627</v>
      </c>
      <c r="E2" s="14">
        <v>45658</v>
      </c>
      <c r="F2" s="14">
        <v>45689</v>
      </c>
      <c r="G2" s="14">
        <v>45717</v>
      </c>
    </row>
    <row r="3" spans="1:7" x14ac:dyDescent="0.3">
      <c r="A3" s="11" t="s">
        <v>2495</v>
      </c>
      <c r="B3" s="11" t="s">
        <v>204</v>
      </c>
      <c r="C3" s="12"/>
      <c r="D3" s="12"/>
      <c r="E3" s="12"/>
      <c r="F3" s="12"/>
      <c r="G3" s="20">
        <v>255333634518</v>
      </c>
    </row>
    <row r="4" spans="1:7" x14ac:dyDescent="0.3">
      <c r="A4" s="11" t="s">
        <v>2496</v>
      </c>
      <c r="B4" s="11" t="s">
        <v>203</v>
      </c>
      <c r="C4" s="12"/>
      <c r="D4" s="12"/>
      <c r="E4" s="12"/>
      <c r="F4" s="12"/>
      <c r="G4" s="20">
        <v>12529971643</v>
      </c>
    </row>
    <row r="5" spans="1:7" x14ac:dyDescent="0.3">
      <c r="A5" s="11" t="s">
        <v>2497</v>
      </c>
      <c r="B5" s="11" t="s">
        <v>202</v>
      </c>
      <c r="C5" s="12"/>
      <c r="D5" s="12"/>
      <c r="E5" s="12"/>
      <c r="F5" s="12"/>
      <c r="G5" s="20">
        <v>0</v>
      </c>
    </row>
    <row r="6" spans="1:7" x14ac:dyDescent="0.3">
      <c r="A6" s="11" t="s">
        <v>2498</v>
      </c>
      <c r="B6" s="11" t="s">
        <v>82</v>
      </c>
      <c r="C6" s="12"/>
      <c r="D6" s="12"/>
      <c r="E6" s="12"/>
      <c r="F6" s="12"/>
      <c r="G6" s="20">
        <v>46163898470</v>
      </c>
    </row>
    <row r="7" spans="1:7" x14ac:dyDescent="0.3">
      <c r="A7" s="11" t="s">
        <v>2499</v>
      </c>
      <c r="B7" s="11" t="s">
        <v>201</v>
      </c>
      <c r="C7" s="12"/>
      <c r="D7" s="12"/>
      <c r="E7" s="12"/>
      <c r="F7" s="12"/>
      <c r="G7" s="20">
        <v>3077802764</v>
      </c>
    </row>
    <row r="8" spans="1:7" x14ac:dyDescent="0.3">
      <c r="A8" s="11" t="s">
        <v>2500</v>
      </c>
      <c r="B8" s="11" t="s">
        <v>200</v>
      </c>
      <c r="C8" s="12"/>
      <c r="D8" s="12"/>
      <c r="E8" s="12"/>
      <c r="F8" s="12"/>
      <c r="G8" s="20">
        <v>43086095705</v>
      </c>
    </row>
    <row r="9" spans="1:7" x14ac:dyDescent="0.3">
      <c r="A9" s="11" t="s">
        <v>2501</v>
      </c>
      <c r="B9" s="11" t="s">
        <v>199</v>
      </c>
      <c r="C9" s="12"/>
      <c r="D9" s="12"/>
      <c r="E9" s="12"/>
      <c r="F9" s="12"/>
      <c r="G9" s="20">
        <v>1</v>
      </c>
    </row>
    <row r="10" spans="1:7" x14ac:dyDescent="0.3">
      <c r="A10" s="11" t="s">
        <v>2502</v>
      </c>
      <c r="B10" s="11" t="s">
        <v>198</v>
      </c>
      <c r="C10" s="12"/>
      <c r="D10" s="12"/>
      <c r="E10" s="12"/>
      <c r="F10" s="12"/>
      <c r="G10" s="20">
        <v>0</v>
      </c>
    </row>
    <row r="11" spans="1:7" x14ac:dyDescent="0.3">
      <c r="A11" s="11" t="s">
        <v>2503</v>
      </c>
      <c r="B11" s="11" t="s">
        <v>197</v>
      </c>
      <c r="C11" s="12"/>
      <c r="D11" s="12"/>
      <c r="E11" s="12"/>
      <c r="F11" s="12"/>
      <c r="G11" s="20">
        <v>0</v>
      </c>
    </row>
    <row r="12" spans="1:7" x14ac:dyDescent="0.3">
      <c r="A12" s="11" t="s">
        <v>2504</v>
      </c>
      <c r="B12" s="11" t="s">
        <v>147</v>
      </c>
      <c r="C12" s="12"/>
      <c r="D12" s="12"/>
      <c r="E12" s="12"/>
      <c r="F12" s="12"/>
      <c r="G12" s="20">
        <v>0</v>
      </c>
    </row>
    <row r="13" spans="1:7" x14ac:dyDescent="0.3">
      <c r="A13" s="11" t="s">
        <v>2505</v>
      </c>
      <c r="B13" s="11" t="s">
        <v>74</v>
      </c>
      <c r="C13" s="12"/>
      <c r="D13" s="12"/>
      <c r="E13" s="12"/>
      <c r="F13" s="12"/>
      <c r="G13" s="20">
        <v>308590399</v>
      </c>
    </row>
    <row r="14" spans="1:7" x14ac:dyDescent="0.3">
      <c r="A14" s="11" t="s">
        <v>2506</v>
      </c>
      <c r="B14" s="11" t="s">
        <v>142</v>
      </c>
      <c r="C14" s="12"/>
      <c r="D14" s="12"/>
      <c r="E14" s="12"/>
      <c r="F14" s="12"/>
      <c r="G14" s="20">
        <v>264841330</v>
      </c>
    </row>
    <row r="15" spans="1:7" x14ac:dyDescent="0.3">
      <c r="A15" s="11" t="s">
        <v>2507</v>
      </c>
      <c r="B15" s="11" t="s">
        <v>141</v>
      </c>
      <c r="C15" s="12"/>
      <c r="D15" s="12"/>
      <c r="E15" s="12"/>
      <c r="F15" s="12"/>
      <c r="G15" s="20">
        <v>43749069</v>
      </c>
    </row>
    <row r="16" spans="1:7" x14ac:dyDescent="0.3">
      <c r="A16" s="11" t="s">
        <v>2508</v>
      </c>
      <c r="B16" s="11" t="s">
        <v>196</v>
      </c>
      <c r="C16" s="12"/>
      <c r="D16" s="12"/>
      <c r="E16" s="12"/>
      <c r="F16" s="12"/>
      <c r="G16" s="20">
        <v>0</v>
      </c>
    </row>
    <row r="17" spans="1:7" x14ac:dyDescent="0.3">
      <c r="A17" s="11" t="s">
        <v>2509</v>
      </c>
      <c r="B17" s="11" t="s">
        <v>195</v>
      </c>
      <c r="C17" s="12"/>
      <c r="D17" s="12"/>
      <c r="E17" s="12"/>
      <c r="F17" s="12"/>
      <c r="G17" s="20">
        <v>175595467968</v>
      </c>
    </row>
    <row r="18" spans="1:7" x14ac:dyDescent="0.3">
      <c r="A18" s="11" t="s">
        <v>2510</v>
      </c>
      <c r="B18" s="11" t="s">
        <v>192</v>
      </c>
      <c r="C18" s="12"/>
      <c r="D18" s="12"/>
      <c r="E18" s="12"/>
      <c r="F18" s="12"/>
      <c r="G18" s="20">
        <v>147625116836</v>
      </c>
    </row>
    <row r="19" spans="1:7" x14ac:dyDescent="0.3">
      <c r="A19" s="11" t="s">
        <v>2511</v>
      </c>
      <c r="B19" s="11" t="s">
        <v>191</v>
      </c>
      <c r="C19" s="12"/>
      <c r="D19" s="12"/>
      <c r="E19" s="12"/>
      <c r="F19" s="12"/>
      <c r="G19" s="20">
        <v>141703798245</v>
      </c>
    </row>
    <row r="20" spans="1:7" x14ac:dyDescent="0.3">
      <c r="A20" s="11" t="s">
        <v>2512</v>
      </c>
      <c r="B20" s="11" t="s">
        <v>190</v>
      </c>
      <c r="C20" s="12"/>
      <c r="D20" s="12"/>
      <c r="E20" s="12"/>
      <c r="F20" s="12"/>
      <c r="G20" s="20">
        <v>5755608982</v>
      </c>
    </row>
    <row r="21" spans="1:7" x14ac:dyDescent="0.3">
      <c r="A21" s="11" t="s">
        <v>2513</v>
      </c>
      <c r="B21" s="11" t="s">
        <v>189</v>
      </c>
      <c r="C21" s="12"/>
      <c r="D21" s="12"/>
      <c r="E21" s="12"/>
      <c r="F21" s="12"/>
      <c r="G21" s="20">
        <v>165709609</v>
      </c>
    </row>
    <row r="22" spans="1:7" x14ac:dyDescent="0.3">
      <c r="A22" s="11" t="s">
        <v>2514</v>
      </c>
      <c r="B22" s="11" t="s">
        <v>188</v>
      </c>
      <c r="C22" s="12"/>
      <c r="D22" s="12"/>
      <c r="E22" s="12"/>
      <c r="F22" s="12"/>
      <c r="G22" s="20">
        <v>12126140237</v>
      </c>
    </row>
    <row r="23" spans="1:7" x14ac:dyDescent="0.3">
      <c r="A23" s="11" t="s">
        <v>2515</v>
      </c>
      <c r="B23" s="11" t="s">
        <v>187</v>
      </c>
      <c r="C23" s="12"/>
      <c r="D23" s="12"/>
      <c r="E23" s="12"/>
      <c r="F23" s="12"/>
      <c r="G23" s="20">
        <v>15844210895</v>
      </c>
    </row>
    <row r="24" spans="1:7" x14ac:dyDescent="0.3">
      <c r="A24" s="11" t="s">
        <v>2516</v>
      </c>
      <c r="B24" s="11" t="s">
        <v>186</v>
      </c>
      <c r="C24" s="12"/>
      <c r="D24" s="12"/>
      <c r="E24" s="12"/>
      <c r="F24" s="12"/>
      <c r="G24" s="20">
        <v>15844210895</v>
      </c>
    </row>
    <row r="25" spans="1:7" x14ac:dyDescent="0.3">
      <c r="A25" s="11" t="s">
        <v>2517</v>
      </c>
      <c r="B25" s="11" t="s">
        <v>185</v>
      </c>
      <c r="C25" s="12"/>
      <c r="D25" s="12"/>
      <c r="E25" s="12"/>
      <c r="F25" s="12"/>
      <c r="G25" s="20">
        <v>0</v>
      </c>
    </row>
    <row r="26" spans="1:7" x14ac:dyDescent="0.3">
      <c r="A26" s="11" t="s">
        <v>2518</v>
      </c>
      <c r="B26" s="11" t="s">
        <v>184</v>
      </c>
      <c r="C26" s="12"/>
      <c r="D26" s="12"/>
      <c r="E26" s="12"/>
      <c r="F26" s="12"/>
      <c r="G26" s="20">
        <v>0</v>
      </c>
    </row>
    <row r="27" spans="1:7" x14ac:dyDescent="0.3">
      <c r="A27" s="11" t="s">
        <v>2519</v>
      </c>
      <c r="B27" s="11" t="s">
        <v>183</v>
      </c>
      <c r="C27" s="12"/>
      <c r="D27" s="12"/>
      <c r="E27" s="12"/>
      <c r="F27" s="12"/>
      <c r="G27" s="20">
        <v>0</v>
      </c>
    </row>
    <row r="28" spans="1:7" x14ac:dyDescent="0.3">
      <c r="A28" s="11" t="s">
        <v>2520</v>
      </c>
      <c r="B28" s="11" t="s">
        <v>182</v>
      </c>
      <c r="C28" s="12"/>
      <c r="D28" s="12"/>
      <c r="E28" s="12"/>
      <c r="F28" s="12"/>
      <c r="G28" s="20">
        <v>0</v>
      </c>
    </row>
    <row r="29" spans="1:7" x14ac:dyDescent="0.3">
      <c r="A29" s="11" t="s">
        <v>2521</v>
      </c>
      <c r="B29" s="11" t="s">
        <v>194</v>
      </c>
      <c r="C29" s="12"/>
      <c r="D29" s="12"/>
      <c r="E29" s="12"/>
      <c r="F29" s="12"/>
      <c r="G29" s="20">
        <v>3007058405</v>
      </c>
    </row>
    <row r="30" spans="1:7" x14ac:dyDescent="0.3">
      <c r="A30" s="11" t="s">
        <v>2522</v>
      </c>
      <c r="B30" s="11" t="s">
        <v>192</v>
      </c>
      <c r="C30" s="12"/>
      <c r="D30" s="12"/>
      <c r="E30" s="12"/>
      <c r="F30" s="12"/>
      <c r="G30" s="20">
        <v>2133616354</v>
      </c>
    </row>
    <row r="31" spans="1:7" x14ac:dyDescent="0.3">
      <c r="A31" s="11" t="s">
        <v>2523</v>
      </c>
      <c r="B31" s="11" t="s">
        <v>191</v>
      </c>
      <c r="C31" s="12"/>
      <c r="D31" s="12"/>
      <c r="E31" s="12"/>
      <c r="F31" s="12"/>
      <c r="G31" s="20">
        <v>2133616354</v>
      </c>
    </row>
    <row r="32" spans="1:7" x14ac:dyDescent="0.3">
      <c r="A32" s="11" t="s">
        <v>2524</v>
      </c>
      <c r="B32" s="11" t="s">
        <v>190</v>
      </c>
      <c r="C32" s="12"/>
      <c r="D32" s="12"/>
      <c r="E32" s="12"/>
      <c r="F32" s="12"/>
      <c r="G32" s="20">
        <v>0</v>
      </c>
    </row>
    <row r="33" spans="1:7" x14ac:dyDescent="0.3">
      <c r="A33" s="11" t="s">
        <v>2525</v>
      </c>
      <c r="B33" s="11" t="s">
        <v>189</v>
      </c>
      <c r="C33" s="12"/>
      <c r="D33" s="12"/>
      <c r="E33" s="12"/>
      <c r="F33" s="12"/>
      <c r="G33" s="20">
        <v>0</v>
      </c>
    </row>
    <row r="34" spans="1:7" x14ac:dyDescent="0.3">
      <c r="A34" s="11" t="s">
        <v>2526</v>
      </c>
      <c r="B34" s="11" t="s">
        <v>188</v>
      </c>
      <c r="C34" s="12"/>
      <c r="D34" s="12"/>
      <c r="E34" s="12"/>
      <c r="F34" s="12"/>
      <c r="G34" s="20">
        <v>330556514</v>
      </c>
    </row>
    <row r="35" spans="1:7" x14ac:dyDescent="0.3">
      <c r="A35" s="11" t="s">
        <v>2527</v>
      </c>
      <c r="B35" s="11" t="s">
        <v>187</v>
      </c>
      <c r="C35" s="12"/>
      <c r="D35" s="12"/>
      <c r="E35" s="12"/>
      <c r="F35" s="12"/>
      <c r="G35" s="20">
        <v>542885537</v>
      </c>
    </row>
    <row r="36" spans="1:7" x14ac:dyDescent="0.3">
      <c r="A36" s="11" t="s">
        <v>2528</v>
      </c>
      <c r="B36" s="11" t="s">
        <v>186</v>
      </c>
      <c r="C36" s="12"/>
      <c r="D36" s="12"/>
      <c r="E36" s="12"/>
      <c r="F36" s="12"/>
      <c r="G36" s="20">
        <v>542885537</v>
      </c>
    </row>
    <row r="37" spans="1:7" x14ac:dyDescent="0.3">
      <c r="A37" s="11" t="s">
        <v>2529</v>
      </c>
      <c r="B37" s="11" t="s">
        <v>185</v>
      </c>
      <c r="C37" s="12"/>
      <c r="D37" s="12"/>
      <c r="E37" s="12"/>
      <c r="F37" s="12"/>
      <c r="G37" s="20">
        <v>0</v>
      </c>
    </row>
    <row r="38" spans="1:7" x14ac:dyDescent="0.3">
      <c r="A38" s="11" t="s">
        <v>2530</v>
      </c>
      <c r="B38" s="11" t="s">
        <v>184</v>
      </c>
      <c r="C38" s="12"/>
      <c r="D38" s="12"/>
      <c r="E38" s="12"/>
      <c r="F38" s="12"/>
      <c r="G38" s="20">
        <v>0</v>
      </c>
    </row>
    <row r="39" spans="1:7" x14ac:dyDescent="0.3">
      <c r="A39" s="11" t="s">
        <v>2531</v>
      </c>
      <c r="B39" s="11" t="s">
        <v>183</v>
      </c>
      <c r="C39" s="12"/>
      <c r="D39" s="12"/>
      <c r="E39" s="12"/>
      <c r="F39" s="12"/>
      <c r="G39" s="20">
        <v>0</v>
      </c>
    </row>
    <row r="40" spans="1:7" x14ac:dyDescent="0.3">
      <c r="A40" s="11" t="s">
        <v>2532</v>
      </c>
      <c r="B40" s="11" t="s">
        <v>182</v>
      </c>
      <c r="C40" s="12"/>
      <c r="D40" s="12"/>
      <c r="E40" s="12"/>
      <c r="F40" s="12"/>
      <c r="G40" s="20">
        <v>0</v>
      </c>
    </row>
    <row r="41" spans="1:7" x14ac:dyDescent="0.3">
      <c r="A41" s="11" t="s">
        <v>2533</v>
      </c>
      <c r="B41" s="11" t="s">
        <v>193</v>
      </c>
      <c r="C41" s="12"/>
      <c r="D41" s="12"/>
      <c r="E41" s="12"/>
      <c r="F41" s="12"/>
      <c r="G41" s="20">
        <v>2456482757</v>
      </c>
    </row>
    <row r="42" spans="1:7" x14ac:dyDescent="0.3">
      <c r="A42" s="11" t="s">
        <v>2534</v>
      </c>
      <c r="B42" s="11" t="s">
        <v>192</v>
      </c>
      <c r="C42" s="12"/>
      <c r="D42" s="12"/>
      <c r="E42" s="12"/>
      <c r="F42" s="12"/>
      <c r="G42" s="20">
        <v>1963275400</v>
      </c>
    </row>
    <row r="43" spans="1:7" x14ac:dyDescent="0.3">
      <c r="A43" s="11" t="s">
        <v>2535</v>
      </c>
      <c r="B43" s="11" t="s">
        <v>191</v>
      </c>
      <c r="C43" s="12"/>
      <c r="D43" s="12"/>
      <c r="E43" s="12"/>
      <c r="F43" s="12"/>
      <c r="G43" s="20">
        <v>1963275400</v>
      </c>
    </row>
    <row r="44" spans="1:7" x14ac:dyDescent="0.3">
      <c r="A44" s="11" t="s">
        <v>2536</v>
      </c>
      <c r="B44" s="11" t="s">
        <v>190</v>
      </c>
      <c r="C44" s="12"/>
      <c r="D44" s="12"/>
      <c r="E44" s="12"/>
      <c r="F44" s="12"/>
      <c r="G44" s="20">
        <v>0</v>
      </c>
    </row>
    <row r="45" spans="1:7" x14ac:dyDescent="0.3">
      <c r="A45" s="11" t="s">
        <v>2537</v>
      </c>
      <c r="B45" s="11" t="s">
        <v>189</v>
      </c>
      <c r="C45" s="12"/>
      <c r="D45" s="12"/>
      <c r="E45" s="12"/>
      <c r="F45" s="12"/>
      <c r="G45" s="20">
        <v>0</v>
      </c>
    </row>
    <row r="46" spans="1:7" x14ac:dyDescent="0.3">
      <c r="A46" s="11" t="s">
        <v>2538</v>
      </c>
      <c r="B46" s="11" t="s">
        <v>188</v>
      </c>
      <c r="C46" s="12"/>
      <c r="D46" s="12"/>
      <c r="E46" s="12"/>
      <c r="F46" s="12"/>
      <c r="G46" s="20">
        <v>269489112</v>
      </c>
    </row>
    <row r="47" spans="1:7" x14ac:dyDescent="0.3">
      <c r="A47" s="11" t="s">
        <v>2539</v>
      </c>
      <c r="B47" s="11" t="s">
        <v>187</v>
      </c>
      <c r="C47" s="12"/>
      <c r="D47" s="12"/>
      <c r="E47" s="12"/>
      <c r="F47" s="12"/>
      <c r="G47" s="20">
        <v>223718245</v>
      </c>
    </row>
    <row r="48" spans="1:7" x14ac:dyDescent="0.3">
      <c r="A48" s="11" t="s">
        <v>2540</v>
      </c>
      <c r="B48" s="11" t="s">
        <v>186</v>
      </c>
      <c r="C48" s="12"/>
      <c r="D48" s="12"/>
      <c r="E48" s="12"/>
      <c r="F48" s="12"/>
      <c r="G48" s="20">
        <v>223718245</v>
      </c>
    </row>
    <row r="49" spans="1:7" x14ac:dyDescent="0.3">
      <c r="A49" s="11" t="s">
        <v>2541</v>
      </c>
      <c r="B49" s="11" t="s">
        <v>185</v>
      </c>
      <c r="C49" s="12"/>
      <c r="D49" s="12"/>
      <c r="E49" s="12"/>
      <c r="F49" s="12"/>
      <c r="G49" s="20">
        <v>0</v>
      </c>
    </row>
    <row r="50" spans="1:7" x14ac:dyDescent="0.3">
      <c r="A50" s="11" t="s">
        <v>2542</v>
      </c>
      <c r="B50" s="11" t="s">
        <v>184</v>
      </c>
      <c r="C50" s="12"/>
      <c r="D50" s="12"/>
      <c r="E50" s="12"/>
      <c r="F50" s="12"/>
      <c r="G50" s="20">
        <v>0</v>
      </c>
    </row>
    <row r="51" spans="1:7" x14ac:dyDescent="0.3">
      <c r="A51" s="11" t="s">
        <v>2543</v>
      </c>
      <c r="B51" s="11" t="s">
        <v>183</v>
      </c>
      <c r="C51" s="12"/>
      <c r="D51" s="12"/>
      <c r="E51" s="12"/>
      <c r="F51" s="12"/>
      <c r="G51" s="20">
        <v>0</v>
      </c>
    </row>
    <row r="52" spans="1:7" x14ac:dyDescent="0.3">
      <c r="A52" s="11" t="s">
        <v>2544</v>
      </c>
      <c r="B52" s="11" t="s">
        <v>182</v>
      </c>
      <c r="C52" s="12"/>
      <c r="D52" s="12"/>
      <c r="E52" s="12"/>
      <c r="F52" s="12"/>
      <c r="G52" s="20">
        <v>0</v>
      </c>
    </row>
    <row r="53" spans="1:7" x14ac:dyDescent="0.3">
      <c r="A53" s="11" t="s">
        <v>2545</v>
      </c>
      <c r="B53" s="11" t="s">
        <v>181</v>
      </c>
      <c r="C53" s="12"/>
      <c r="D53" s="12"/>
      <c r="E53" s="12"/>
      <c r="F53" s="12"/>
      <c r="G53" s="20">
        <v>0</v>
      </c>
    </row>
    <row r="54" spans="1:7" x14ac:dyDescent="0.3">
      <c r="A54" s="11" t="s">
        <v>2546</v>
      </c>
      <c r="B54" s="11" t="s">
        <v>180</v>
      </c>
      <c r="C54" s="12"/>
      <c r="D54" s="12"/>
      <c r="E54" s="12"/>
      <c r="F54" s="12"/>
      <c r="G54" s="20">
        <v>181059009130</v>
      </c>
    </row>
    <row r="55" spans="1:7" x14ac:dyDescent="0.3">
      <c r="A55" s="11" t="s">
        <v>2547</v>
      </c>
      <c r="B55" s="11" t="s">
        <v>179</v>
      </c>
      <c r="C55" s="12"/>
      <c r="D55" s="12"/>
      <c r="E55" s="12"/>
      <c r="F55" s="12"/>
      <c r="G55" s="20">
        <v>597378095</v>
      </c>
    </row>
    <row r="56" spans="1:7" x14ac:dyDescent="0.3">
      <c r="A56" s="11" t="s">
        <v>2548</v>
      </c>
      <c r="B56" s="11" t="s">
        <v>232</v>
      </c>
      <c r="C56" s="12"/>
      <c r="D56" s="12"/>
      <c r="E56" s="12"/>
      <c r="F56" s="12"/>
      <c r="G56" s="20">
        <v>-3713474004</v>
      </c>
    </row>
    <row r="57" spans="1:7" x14ac:dyDescent="0.3">
      <c r="A57" s="11" t="s">
        <v>2549</v>
      </c>
      <c r="B57" s="11" t="s">
        <v>177</v>
      </c>
      <c r="C57" s="12"/>
      <c r="D57" s="12"/>
      <c r="E57" s="12"/>
      <c r="F57" s="12"/>
      <c r="G57" s="20">
        <v>177942913221</v>
      </c>
    </row>
    <row r="58" spans="1:7" x14ac:dyDescent="0.3">
      <c r="A58" s="11" t="s">
        <v>2550</v>
      </c>
      <c r="B58" s="11" t="s">
        <v>175</v>
      </c>
      <c r="C58" s="12"/>
      <c r="D58" s="12"/>
      <c r="E58" s="12"/>
      <c r="F58" s="12"/>
      <c r="G58" s="20">
        <v>0</v>
      </c>
    </row>
    <row r="59" spans="1:7" x14ac:dyDescent="0.3">
      <c r="A59" s="11" t="s">
        <v>2551</v>
      </c>
      <c r="B59" s="11" t="s">
        <v>231</v>
      </c>
      <c r="C59" s="12"/>
      <c r="D59" s="12"/>
      <c r="E59" s="12"/>
      <c r="F59" s="12"/>
      <c r="G59" s="20">
        <v>39198913</v>
      </c>
    </row>
    <row r="60" spans="1:7" x14ac:dyDescent="0.3">
      <c r="A60" s="11" t="s">
        <v>2552</v>
      </c>
      <c r="B60" s="11" t="s">
        <v>230</v>
      </c>
      <c r="C60" s="12"/>
      <c r="D60" s="12"/>
      <c r="E60" s="12"/>
      <c r="F60" s="12"/>
      <c r="G60" s="20">
        <v>177982112134</v>
      </c>
    </row>
    <row r="61" spans="1:7" x14ac:dyDescent="0.3">
      <c r="A61" s="11" t="s">
        <v>2553</v>
      </c>
      <c r="B61" s="11" t="s">
        <v>173</v>
      </c>
      <c r="C61" s="12"/>
      <c r="D61" s="12"/>
      <c r="E61" s="12"/>
      <c r="F61" s="12"/>
      <c r="G61" s="20">
        <v>0</v>
      </c>
    </row>
    <row r="62" spans="1:7" x14ac:dyDescent="0.3">
      <c r="A62" s="11" t="s">
        <v>2554</v>
      </c>
      <c r="B62" s="11" t="s">
        <v>172</v>
      </c>
      <c r="C62" s="12"/>
      <c r="D62" s="12"/>
      <c r="E62" s="12"/>
      <c r="F62" s="12"/>
      <c r="G62" s="20">
        <v>0</v>
      </c>
    </row>
    <row r="63" spans="1:7" x14ac:dyDescent="0.3">
      <c r="A63" s="11" t="s">
        <v>2555</v>
      </c>
      <c r="B63" s="11" t="s">
        <v>171</v>
      </c>
      <c r="C63" s="12"/>
      <c r="D63" s="12"/>
      <c r="E63" s="12"/>
      <c r="F63" s="12"/>
      <c r="G63" s="20">
        <v>6967823116</v>
      </c>
    </row>
    <row r="64" spans="1:7" x14ac:dyDescent="0.3">
      <c r="A64" s="11" t="s">
        <v>2556</v>
      </c>
      <c r="B64" s="11" t="s">
        <v>170</v>
      </c>
      <c r="C64" s="12"/>
      <c r="D64" s="12"/>
      <c r="E64" s="12"/>
      <c r="F64" s="12"/>
      <c r="G64" s="20">
        <v>1926227044</v>
      </c>
    </row>
    <row r="65" spans="1:7" x14ac:dyDescent="0.3">
      <c r="A65" s="11" t="s">
        <v>2557</v>
      </c>
      <c r="B65" s="11" t="s">
        <v>169</v>
      </c>
      <c r="C65" s="12"/>
      <c r="D65" s="12"/>
      <c r="E65" s="12"/>
      <c r="F65" s="12"/>
      <c r="G65" s="20">
        <v>0</v>
      </c>
    </row>
    <row r="66" spans="1:7" x14ac:dyDescent="0.3">
      <c r="A66" s="11" t="s">
        <v>2558</v>
      </c>
      <c r="B66" s="11" t="s">
        <v>168</v>
      </c>
      <c r="C66" s="12"/>
      <c r="D66" s="12"/>
      <c r="E66" s="12"/>
      <c r="F66" s="12"/>
      <c r="G66" s="20">
        <v>536745453</v>
      </c>
    </row>
    <row r="67" spans="1:7" x14ac:dyDescent="0.3">
      <c r="A67" s="11" t="s">
        <v>2559</v>
      </c>
      <c r="B67" s="11" t="s">
        <v>229</v>
      </c>
      <c r="C67" s="12"/>
      <c r="D67" s="12"/>
      <c r="E67" s="12"/>
      <c r="F67" s="12"/>
      <c r="G67" s="20">
        <v>204560778</v>
      </c>
    </row>
    <row r="68" spans="1:7" x14ac:dyDescent="0.3">
      <c r="A68" s="11" t="s">
        <v>2560</v>
      </c>
      <c r="B68" s="11" t="s">
        <v>228</v>
      </c>
      <c r="C68" s="12"/>
      <c r="D68" s="12"/>
      <c r="E68" s="12"/>
      <c r="F68" s="12"/>
      <c r="G68" s="20">
        <v>2896003783</v>
      </c>
    </row>
    <row r="69" spans="1:7" x14ac:dyDescent="0.3">
      <c r="A69" s="11" t="s">
        <v>2561</v>
      </c>
      <c r="B69" s="11" t="s">
        <v>165</v>
      </c>
      <c r="C69" s="12"/>
      <c r="D69" s="12"/>
      <c r="E69" s="12"/>
      <c r="F69" s="12"/>
      <c r="G69" s="20">
        <v>1308519465</v>
      </c>
    </row>
    <row r="70" spans="1:7" x14ac:dyDescent="0.3">
      <c r="A70" s="11" t="s">
        <v>2562</v>
      </c>
      <c r="B70" s="11" t="s">
        <v>164</v>
      </c>
      <c r="C70" s="12"/>
      <c r="D70" s="12"/>
      <c r="E70" s="12"/>
      <c r="F70" s="12"/>
      <c r="G70" s="20">
        <v>98644413</v>
      </c>
    </row>
    <row r="71" spans="1:7" x14ac:dyDescent="0.3">
      <c r="A71" s="11" t="s">
        <v>2563</v>
      </c>
      <c r="B71" s="11" t="s">
        <v>163</v>
      </c>
      <c r="C71" s="12"/>
      <c r="D71" s="12"/>
      <c r="E71" s="12"/>
      <c r="F71" s="12"/>
      <c r="G71" s="20">
        <v>1633139638</v>
      </c>
    </row>
    <row r="72" spans="1:7" x14ac:dyDescent="0.3">
      <c r="A72" s="11" t="s">
        <v>2564</v>
      </c>
      <c r="B72" s="11" t="s">
        <v>162</v>
      </c>
      <c r="C72" s="12"/>
      <c r="D72" s="12"/>
      <c r="E72" s="12"/>
      <c r="F72" s="12"/>
      <c r="G72" s="20">
        <v>2739427945</v>
      </c>
    </row>
    <row r="73" spans="1:7" x14ac:dyDescent="0.3">
      <c r="A73" s="11" t="s">
        <v>2565</v>
      </c>
      <c r="B73" s="11" t="s">
        <v>161</v>
      </c>
      <c r="C73" s="12"/>
      <c r="D73" s="12"/>
      <c r="E73" s="12"/>
      <c r="F73" s="12"/>
      <c r="G73" s="20">
        <v>0</v>
      </c>
    </row>
    <row r="74" spans="1:7" x14ac:dyDescent="0.3">
      <c r="A74" s="11" t="s">
        <v>2566</v>
      </c>
      <c r="B74" s="11" t="s">
        <v>160</v>
      </c>
      <c r="C74" s="12"/>
      <c r="D74" s="12"/>
      <c r="E74" s="12"/>
      <c r="F74" s="12"/>
      <c r="G74" s="20">
        <v>37970236</v>
      </c>
    </row>
    <row r="75" spans="1:7" x14ac:dyDescent="0.3">
      <c r="A75" s="11" t="s">
        <v>2567</v>
      </c>
      <c r="B75" s="11" t="s">
        <v>159</v>
      </c>
      <c r="C75" s="12"/>
      <c r="D75" s="12"/>
      <c r="E75" s="12"/>
      <c r="F75" s="12"/>
      <c r="G75" s="20">
        <v>223095842065</v>
      </c>
    </row>
    <row r="76" spans="1:7" x14ac:dyDescent="0.3">
      <c r="A76" s="11" t="s">
        <v>2568</v>
      </c>
      <c r="B76" s="11" t="s">
        <v>227</v>
      </c>
      <c r="C76" s="12"/>
      <c r="D76" s="12"/>
      <c r="E76" s="12"/>
      <c r="F76" s="12"/>
      <c r="G76" s="20">
        <v>182595570897</v>
      </c>
    </row>
    <row r="77" spans="1:7" x14ac:dyDescent="0.3">
      <c r="A77" s="11" t="s">
        <v>2569</v>
      </c>
      <c r="B77" s="11" t="s">
        <v>157</v>
      </c>
      <c r="C77" s="12"/>
      <c r="D77" s="12"/>
      <c r="E77" s="12"/>
      <c r="F77" s="12"/>
      <c r="G77" s="20">
        <v>80018183088</v>
      </c>
    </row>
    <row r="78" spans="1:7" x14ac:dyDescent="0.3">
      <c r="A78" s="11" t="s">
        <v>2570</v>
      </c>
      <c r="B78" s="11" t="s">
        <v>156</v>
      </c>
      <c r="C78" s="12"/>
      <c r="D78" s="12"/>
      <c r="E78" s="12"/>
      <c r="F78" s="12"/>
      <c r="G78" s="20">
        <v>97947445477</v>
      </c>
    </row>
    <row r="79" spans="1:7" x14ac:dyDescent="0.3">
      <c r="A79" s="11" t="s">
        <v>2571</v>
      </c>
      <c r="B79" s="11" t="s">
        <v>226</v>
      </c>
      <c r="C79" s="12"/>
      <c r="D79" s="12"/>
      <c r="E79" s="12"/>
      <c r="F79" s="12"/>
      <c r="G79" s="20">
        <v>96849273939</v>
      </c>
    </row>
    <row r="80" spans="1:7" x14ac:dyDescent="0.3">
      <c r="A80" s="11" t="s">
        <v>2572</v>
      </c>
      <c r="B80" s="11" t="s">
        <v>225</v>
      </c>
      <c r="C80" s="12"/>
      <c r="D80" s="12"/>
      <c r="E80" s="12"/>
      <c r="F80" s="12"/>
      <c r="G80" s="20">
        <v>1098171538</v>
      </c>
    </row>
    <row r="81" spans="1:7" x14ac:dyDescent="0.3">
      <c r="A81" s="11" t="s">
        <v>2573</v>
      </c>
      <c r="B81" s="11" t="s">
        <v>224</v>
      </c>
      <c r="C81" s="12"/>
      <c r="D81" s="12"/>
      <c r="E81" s="12"/>
      <c r="F81" s="12"/>
      <c r="G81" s="20">
        <v>4589182046</v>
      </c>
    </row>
    <row r="82" spans="1:7" x14ac:dyDescent="0.3">
      <c r="A82" s="11" t="s">
        <v>2574</v>
      </c>
      <c r="B82" s="11" t="s">
        <v>223</v>
      </c>
      <c r="C82" s="12"/>
      <c r="D82" s="12"/>
      <c r="E82" s="12"/>
      <c r="F82" s="12"/>
      <c r="G82" s="20">
        <v>40760286</v>
      </c>
    </row>
    <row r="83" spans="1:7" x14ac:dyDescent="0.3">
      <c r="A83" s="11" t="s">
        <v>2575</v>
      </c>
      <c r="B83" s="11" t="s">
        <v>151</v>
      </c>
      <c r="C83" s="12"/>
      <c r="D83" s="12"/>
      <c r="E83" s="12"/>
      <c r="F83" s="12"/>
      <c r="G83" s="20">
        <v>3363122959</v>
      </c>
    </row>
    <row r="84" spans="1:7" x14ac:dyDescent="0.3">
      <c r="A84" s="11" t="s">
        <v>2576</v>
      </c>
      <c r="B84" s="11" t="s">
        <v>222</v>
      </c>
      <c r="C84" s="12"/>
      <c r="D84" s="12"/>
      <c r="E84" s="12"/>
      <c r="F84" s="12"/>
      <c r="G84" s="20">
        <v>0</v>
      </c>
    </row>
    <row r="85" spans="1:7" x14ac:dyDescent="0.3">
      <c r="A85" s="11" t="s">
        <v>2577</v>
      </c>
      <c r="B85" s="11" t="s">
        <v>221</v>
      </c>
      <c r="C85" s="12"/>
      <c r="D85" s="12"/>
      <c r="E85" s="12"/>
      <c r="F85" s="12"/>
      <c r="G85" s="20">
        <v>1452405261</v>
      </c>
    </row>
    <row r="86" spans="1:7" x14ac:dyDescent="0.3">
      <c r="A86" s="11" t="s">
        <v>2578</v>
      </c>
      <c r="B86" s="11" t="s">
        <v>220</v>
      </c>
      <c r="C86" s="12"/>
      <c r="D86" s="12"/>
      <c r="E86" s="12"/>
      <c r="F86" s="12"/>
      <c r="G86" s="20">
        <v>1910717698</v>
      </c>
    </row>
    <row r="87" spans="1:7" x14ac:dyDescent="0.3">
      <c r="A87" s="11" t="s">
        <v>2579</v>
      </c>
      <c r="B87" s="11" t="s">
        <v>12</v>
      </c>
      <c r="C87" s="12"/>
      <c r="D87" s="12"/>
      <c r="E87" s="12"/>
      <c r="F87" s="12"/>
      <c r="G87" s="20">
        <v>25364743261</v>
      </c>
    </row>
    <row r="88" spans="1:7" x14ac:dyDescent="0.3">
      <c r="A88" s="11" t="s">
        <v>2580</v>
      </c>
      <c r="B88" s="11" t="s">
        <v>147</v>
      </c>
      <c r="C88" s="12"/>
      <c r="D88" s="12"/>
      <c r="E88" s="12"/>
      <c r="F88" s="12"/>
      <c r="G88" s="20">
        <v>0</v>
      </c>
    </row>
    <row r="89" spans="1:7" x14ac:dyDescent="0.3">
      <c r="A89" s="11" t="s">
        <v>2581</v>
      </c>
      <c r="B89" s="11" t="s">
        <v>219</v>
      </c>
      <c r="C89" s="12"/>
      <c r="D89" s="12"/>
      <c r="E89" s="12"/>
      <c r="F89" s="12"/>
      <c r="G89" s="20">
        <v>0</v>
      </c>
    </row>
    <row r="90" spans="1:7" x14ac:dyDescent="0.3">
      <c r="A90" s="11" t="s">
        <v>2582</v>
      </c>
      <c r="B90" s="11" t="s">
        <v>145</v>
      </c>
      <c r="C90" s="12"/>
      <c r="D90" s="12"/>
      <c r="E90" s="12"/>
      <c r="F90" s="12"/>
      <c r="G90" s="20">
        <v>0</v>
      </c>
    </row>
    <row r="91" spans="1:7" x14ac:dyDescent="0.3">
      <c r="A91" s="11" t="s">
        <v>2583</v>
      </c>
      <c r="B91" s="11" t="s">
        <v>144</v>
      </c>
      <c r="C91" s="12"/>
      <c r="D91" s="12"/>
      <c r="E91" s="12"/>
      <c r="F91" s="12"/>
      <c r="G91" s="20">
        <v>0</v>
      </c>
    </row>
    <row r="92" spans="1:7" x14ac:dyDescent="0.3">
      <c r="A92" s="11" t="s">
        <v>2584</v>
      </c>
      <c r="B92" s="11" t="s">
        <v>74</v>
      </c>
      <c r="C92" s="12"/>
      <c r="D92" s="12"/>
      <c r="E92" s="12"/>
      <c r="F92" s="12"/>
      <c r="G92" s="20">
        <v>0</v>
      </c>
    </row>
    <row r="93" spans="1:7" x14ac:dyDescent="0.3">
      <c r="A93" s="11" t="s">
        <v>2585</v>
      </c>
      <c r="B93" s="11" t="s">
        <v>143</v>
      </c>
      <c r="C93" s="12"/>
      <c r="D93" s="12"/>
      <c r="E93" s="12"/>
      <c r="F93" s="12"/>
      <c r="G93" s="20">
        <v>0</v>
      </c>
    </row>
    <row r="94" spans="1:7" x14ac:dyDescent="0.3">
      <c r="A94" s="11" t="s">
        <v>2586</v>
      </c>
      <c r="B94" s="11" t="s">
        <v>74</v>
      </c>
      <c r="C94" s="12"/>
      <c r="D94" s="12"/>
      <c r="E94" s="12"/>
      <c r="F94" s="12"/>
      <c r="G94" s="20">
        <v>280013201</v>
      </c>
    </row>
    <row r="95" spans="1:7" x14ac:dyDescent="0.3">
      <c r="A95" s="11" t="s">
        <v>2587</v>
      </c>
      <c r="B95" s="11" t="s">
        <v>142</v>
      </c>
      <c r="C95" s="12"/>
      <c r="D95" s="12"/>
      <c r="E95" s="12"/>
      <c r="F95" s="12"/>
      <c r="G95" s="20">
        <v>280013201</v>
      </c>
    </row>
    <row r="96" spans="1:7" x14ac:dyDescent="0.3">
      <c r="A96" s="11" t="s">
        <v>2588</v>
      </c>
      <c r="B96" s="11" t="s">
        <v>141</v>
      </c>
      <c r="C96" s="12"/>
      <c r="D96" s="12"/>
      <c r="E96" s="12"/>
      <c r="F96" s="12"/>
      <c r="G96" s="20">
        <v>0</v>
      </c>
    </row>
    <row r="97" spans="1:7" x14ac:dyDescent="0.3">
      <c r="A97" s="11" t="s">
        <v>2589</v>
      </c>
      <c r="B97" s="11" t="s">
        <v>140</v>
      </c>
      <c r="C97" s="12"/>
      <c r="D97" s="12"/>
      <c r="E97" s="12"/>
      <c r="F97" s="12"/>
      <c r="G97" s="20">
        <v>0</v>
      </c>
    </row>
    <row r="98" spans="1:7" x14ac:dyDescent="0.3">
      <c r="A98" s="11" t="s">
        <v>2590</v>
      </c>
      <c r="B98" s="11" t="s">
        <v>139</v>
      </c>
      <c r="C98" s="12"/>
      <c r="D98" s="12"/>
      <c r="E98" s="12"/>
      <c r="F98" s="12"/>
      <c r="G98" s="20">
        <v>0</v>
      </c>
    </row>
    <row r="99" spans="1:7" x14ac:dyDescent="0.3">
      <c r="A99" s="11" t="s">
        <v>2591</v>
      </c>
      <c r="B99" s="11" t="s">
        <v>138</v>
      </c>
      <c r="C99" s="12"/>
      <c r="D99" s="12"/>
      <c r="E99" s="12"/>
      <c r="F99" s="12"/>
      <c r="G99" s="20">
        <v>1501724341</v>
      </c>
    </row>
    <row r="100" spans="1:7" x14ac:dyDescent="0.3">
      <c r="A100" s="11" t="s">
        <v>2592</v>
      </c>
      <c r="B100" s="11" t="s">
        <v>137</v>
      </c>
      <c r="C100" s="12"/>
      <c r="D100" s="12"/>
      <c r="E100" s="12"/>
      <c r="F100" s="12"/>
      <c r="G100" s="20">
        <v>8392993639</v>
      </c>
    </row>
    <row r="101" spans="1:7" x14ac:dyDescent="0.3">
      <c r="A101" s="11" t="s">
        <v>2593</v>
      </c>
      <c r="B101" s="11" t="s">
        <v>218</v>
      </c>
      <c r="C101" s="12"/>
      <c r="D101" s="12"/>
      <c r="E101" s="12"/>
      <c r="F101" s="12"/>
      <c r="G101" s="20">
        <v>2077836445</v>
      </c>
    </row>
    <row r="102" spans="1:7" x14ac:dyDescent="0.3">
      <c r="A102" s="11" t="s">
        <v>2594</v>
      </c>
      <c r="B102" s="11" t="s">
        <v>135</v>
      </c>
      <c r="C102" s="12"/>
      <c r="D102" s="12"/>
      <c r="E102" s="12"/>
      <c r="F102" s="12"/>
      <c r="G102" s="20">
        <v>0</v>
      </c>
    </row>
    <row r="103" spans="1:7" x14ac:dyDescent="0.3">
      <c r="A103" s="11" t="s">
        <v>2595</v>
      </c>
      <c r="B103" s="11" t="s">
        <v>217</v>
      </c>
      <c r="C103" s="12"/>
      <c r="D103" s="12"/>
      <c r="E103" s="12"/>
      <c r="F103" s="12"/>
      <c r="G103" s="20">
        <v>1638248866</v>
      </c>
    </row>
    <row r="104" spans="1:7" x14ac:dyDescent="0.3">
      <c r="A104" s="11" t="s">
        <v>2596</v>
      </c>
      <c r="B104" s="11" t="s">
        <v>133</v>
      </c>
      <c r="C104" s="12"/>
      <c r="D104" s="12"/>
      <c r="E104" s="12"/>
      <c r="F104" s="12"/>
      <c r="G104" s="20">
        <v>109274319</v>
      </c>
    </row>
    <row r="105" spans="1:7" x14ac:dyDescent="0.3">
      <c r="A105" s="11" t="s">
        <v>2597</v>
      </c>
      <c r="B105" s="11" t="s">
        <v>132</v>
      </c>
      <c r="C105" s="12"/>
      <c r="D105" s="12"/>
      <c r="E105" s="12"/>
      <c r="F105" s="12"/>
      <c r="G105" s="20">
        <v>4567634009</v>
      </c>
    </row>
    <row r="106" spans="1:7" x14ac:dyDescent="0.3">
      <c r="A106" s="11" t="s">
        <v>2598</v>
      </c>
      <c r="B106" s="11" t="s">
        <v>131</v>
      </c>
      <c r="C106" s="12"/>
      <c r="D106" s="12"/>
      <c r="E106" s="12"/>
      <c r="F106" s="12"/>
      <c r="G106" s="20">
        <v>0</v>
      </c>
    </row>
    <row r="107" spans="1:7" x14ac:dyDescent="0.3">
      <c r="A107" s="11" t="s">
        <v>2599</v>
      </c>
      <c r="B107" s="11" t="s">
        <v>130</v>
      </c>
      <c r="C107" s="12"/>
      <c r="D107" s="12"/>
      <c r="E107" s="12"/>
      <c r="F107" s="12"/>
      <c r="G107" s="20">
        <v>0</v>
      </c>
    </row>
    <row r="108" spans="1:7" x14ac:dyDescent="0.3">
      <c r="A108" s="11" t="s">
        <v>2600</v>
      </c>
      <c r="B108" s="11" t="s">
        <v>129</v>
      </c>
      <c r="C108" s="12"/>
      <c r="D108" s="12"/>
      <c r="E108" s="12"/>
      <c r="F108" s="12"/>
      <c r="G108" s="20">
        <v>0</v>
      </c>
    </row>
    <row r="109" spans="1:7" x14ac:dyDescent="0.3">
      <c r="A109" s="11" t="s">
        <v>2601</v>
      </c>
      <c r="B109" s="11" t="s">
        <v>128</v>
      </c>
      <c r="C109" s="12"/>
      <c r="D109" s="12"/>
      <c r="E109" s="12"/>
      <c r="F109" s="12"/>
      <c r="G109" s="20">
        <v>0</v>
      </c>
    </row>
    <row r="110" spans="1:7" x14ac:dyDescent="0.3">
      <c r="A110" s="11" t="s">
        <v>2602</v>
      </c>
      <c r="B110" s="11" t="s">
        <v>53</v>
      </c>
      <c r="C110" s="12"/>
      <c r="D110" s="12"/>
      <c r="E110" s="12"/>
      <c r="F110" s="12"/>
      <c r="G110" s="20">
        <v>0</v>
      </c>
    </row>
    <row r="111" spans="1:7" x14ac:dyDescent="0.3">
      <c r="A111" s="11" t="s">
        <v>2603</v>
      </c>
      <c r="B111" s="11" t="s">
        <v>127</v>
      </c>
      <c r="C111" s="12"/>
      <c r="D111" s="12"/>
      <c r="E111" s="12"/>
      <c r="F111" s="12"/>
      <c r="G111" s="20">
        <v>0</v>
      </c>
    </row>
    <row r="112" spans="1:7" x14ac:dyDescent="0.3">
      <c r="A112" s="11" t="s">
        <v>2604</v>
      </c>
      <c r="B112" s="11" t="s">
        <v>126</v>
      </c>
      <c r="C112" s="12"/>
      <c r="D112" s="12"/>
      <c r="E112" s="12"/>
      <c r="F112" s="12"/>
      <c r="G112" s="20">
        <v>286253220</v>
      </c>
    </row>
    <row r="113" spans="1:7" x14ac:dyDescent="0.3">
      <c r="A113" s="11" t="s">
        <v>2605</v>
      </c>
      <c r="B113" s="11" t="s">
        <v>125</v>
      </c>
      <c r="C113" s="12"/>
      <c r="D113" s="12"/>
      <c r="E113" s="12"/>
      <c r="F113" s="12"/>
      <c r="G113" s="20">
        <v>911025909</v>
      </c>
    </row>
    <row r="114" spans="1:7" x14ac:dyDescent="0.3">
      <c r="A114" s="11" t="s">
        <v>2606</v>
      </c>
      <c r="B114" s="11" t="s">
        <v>216</v>
      </c>
      <c r="C114" s="12"/>
      <c r="D114" s="12"/>
      <c r="E114" s="12"/>
      <c r="F114" s="12"/>
      <c r="G114" s="20">
        <v>400394637</v>
      </c>
    </row>
    <row r="115" spans="1:7" x14ac:dyDescent="0.3">
      <c r="A115" s="11" t="s">
        <v>2607</v>
      </c>
      <c r="B115" s="11" t="s">
        <v>123</v>
      </c>
      <c r="C115" s="12"/>
      <c r="D115" s="12"/>
      <c r="E115" s="12"/>
      <c r="F115" s="12"/>
      <c r="G115" s="20">
        <v>32237792453</v>
      </c>
    </row>
    <row r="116" spans="1:7" x14ac:dyDescent="0.3">
      <c r="A116" s="11" t="s">
        <v>2608</v>
      </c>
      <c r="B116" s="11" t="s">
        <v>122</v>
      </c>
      <c r="C116" s="12"/>
      <c r="D116" s="12"/>
      <c r="E116" s="12"/>
      <c r="F116" s="12"/>
      <c r="G116" s="20">
        <v>5990222340</v>
      </c>
    </row>
    <row r="117" spans="1:7" x14ac:dyDescent="0.3">
      <c r="A117" s="11" t="s">
        <v>2609</v>
      </c>
      <c r="B117" s="11" t="s">
        <v>121</v>
      </c>
      <c r="C117" s="12"/>
      <c r="D117" s="12"/>
      <c r="E117" s="12"/>
      <c r="F117" s="12"/>
      <c r="G117" s="20">
        <v>5985071348</v>
      </c>
    </row>
    <row r="118" spans="1:7" x14ac:dyDescent="0.3">
      <c r="A118" s="11" t="s">
        <v>2610</v>
      </c>
      <c r="B118" s="11" t="s">
        <v>119</v>
      </c>
      <c r="C118" s="12"/>
      <c r="D118" s="12"/>
      <c r="E118" s="12"/>
      <c r="F118" s="12"/>
      <c r="G118" s="20">
        <v>5150992</v>
      </c>
    </row>
    <row r="119" spans="1:7" x14ac:dyDescent="0.3">
      <c r="A119" s="11" t="s">
        <v>2611</v>
      </c>
      <c r="B119" s="11" t="s">
        <v>118</v>
      </c>
      <c r="C119" s="12"/>
      <c r="D119" s="12"/>
      <c r="E119" s="12"/>
      <c r="F119" s="12"/>
      <c r="G119" s="20">
        <v>26247559547</v>
      </c>
    </row>
    <row r="120" spans="1:7" x14ac:dyDescent="0.3">
      <c r="A120" s="11" t="s">
        <v>2612</v>
      </c>
      <c r="B120" s="11" t="s">
        <v>117</v>
      </c>
      <c r="C120" s="12"/>
      <c r="D120" s="12"/>
      <c r="E120" s="12"/>
      <c r="F120" s="12"/>
      <c r="G120" s="20">
        <v>18003355542</v>
      </c>
    </row>
    <row r="121" spans="1:7" x14ac:dyDescent="0.3">
      <c r="A121" s="11" t="s">
        <v>2613</v>
      </c>
      <c r="B121" s="11" t="s">
        <v>116</v>
      </c>
      <c r="C121" s="12"/>
      <c r="D121" s="12"/>
      <c r="E121" s="12"/>
      <c r="F121" s="12"/>
      <c r="G121" s="20">
        <v>6461729551</v>
      </c>
    </row>
    <row r="122" spans="1:7" x14ac:dyDescent="0.3">
      <c r="A122" s="11" t="s">
        <v>2614</v>
      </c>
      <c r="B122" s="11" t="s">
        <v>115</v>
      </c>
      <c r="C122" s="12"/>
      <c r="D122" s="12"/>
      <c r="E122" s="12"/>
      <c r="F122" s="12"/>
      <c r="G122" s="20">
        <v>1601463887</v>
      </c>
    </row>
    <row r="123" spans="1:7" x14ac:dyDescent="0.3">
      <c r="A123" s="11" t="s">
        <v>2615</v>
      </c>
      <c r="B123" s="11" t="s">
        <v>114</v>
      </c>
      <c r="C123" s="12"/>
      <c r="D123" s="12"/>
      <c r="E123" s="12"/>
      <c r="F123" s="12"/>
      <c r="G123" s="20">
        <v>236922283</v>
      </c>
    </row>
    <row r="124" spans="1:7" x14ac:dyDescent="0.3">
      <c r="A124" s="11" t="s">
        <v>2616</v>
      </c>
      <c r="B124" s="11" t="s">
        <v>113</v>
      </c>
      <c r="C124" s="12"/>
      <c r="D124" s="12"/>
      <c r="E124" s="12"/>
      <c r="F124" s="12"/>
      <c r="G124" s="20">
        <v>19195881</v>
      </c>
    </row>
    <row r="125" spans="1:7" x14ac:dyDescent="0.3">
      <c r="A125" s="11" t="s">
        <v>2617</v>
      </c>
      <c r="B125" s="11" t="s">
        <v>112</v>
      </c>
      <c r="C125" s="12"/>
      <c r="D125" s="12"/>
      <c r="E125" s="12"/>
      <c r="F125" s="12"/>
      <c r="G125" s="20">
        <v>-75107597</v>
      </c>
    </row>
    <row r="126" spans="1:7" x14ac:dyDescent="0.3">
      <c r="A126" s="11" t="s">
        <v>2618</v>
      </c>
      <c r="B126" s="11" t="s">
        <v>215</v>
      </c>
      <c r="C126" s="12"/>
      <c r="D126" s="12"/>
      <c r="E126" s="12"/>
      <c r="F126" s="12"/>
      <c r="G126" s="20">
        <v>10566</v>
      </c>
    </row>
    <row r="127" spans="1:7" x14ac:dyDescent="0.3">
      <c r="A127" s="11" t="s">
        <v>2619</v>
      </c>
      <c r="B127" s="11" t="s">
        <v>109</v>
      </c>
      <c r="C127" s="12"/>
      <c r="D127" s="12"/>
      <c r="E127" s="12"/>
      <c r="F127" s="12"/>
      <c r="G127" s="20">
        <v>504279416726</v>
      </c>
    </row>
    <row r="128" spans="1:7" x14ac:dyDescent="0.3">
      <c r="A128" s="11" t="s">
        <v>2620</v>
      </c>
      <c r="B128" s="11" t="s">
        <v>214</v>
      </c>
      <c r="C128" s="12"/>
      <c r="D128" s="12"/>
      <c r="E128" s="12"/>
      <c r="F128" s="12"/>
      <c r="G128" s="20">
        <v>0</v>
      </c>
    </row>
    <row r="129" spans="1:7" x14ac:dyDescent="0.3">
      <c r="A129" s="11" t="s">
        <v>2621</v>
      </c>
      <c r="B129" s="11" t="s">
        <v>105</v>
      </c>
      <c r="C129" s="12"/>
      <c r="D129" s="12"/>
      <c r="E129" s="12"/>
      <c r="F129" s="12"/>
      <c r="G129" s="20">
        <v>0</v>
      </c>
    </row>
    <row r="130" spans="1:7" x14ac:dyDescent="0.3">
      <c r="A130" s="11" t="s">
        <v>2622</v>
      </c>
      <c r="B130" s="11" t="s">
        <v>98</v>
      </c>
      <c r="C130" s="12"/>
      <c r="D130" s="12"/>
      <c r="E130" s="12"/>
      <c r="F130" s="12"/>
      <c r="G130" s="20">
        <v>12647831724</v>
      </c>
    </row>
    <row r="131" spans="1:7" x14ac:dyDescent="0.3">
      <c r="A131" s="11" t="s">
        <v>2623</v>
      </c>
      <c r="B131" s="11" t="s">
        <v>97</v>
      </c>
      <c r="C131" s="12"/>
      <c r="D131" s="12"/>
      <c r="E131" s="12"/>
      <c r="F131" s="12"/>
      <c r="G131" s="20">
        <v>30694199974</v>
      </c>
    </row>
    <row r="132" spans="1:7" x14ac:dyDescent="0.3">
      <c r="A132" s="11" t="s">
        <v>2624</v>
      </c>
      <c r="B132" s="11" t="s">
        <v>213</v>
      </c>
      <c r="C132" s="12"/>
      <c r="D132" s="12"/>
      <c r="E132" s="12"/>
      <c r="F132" s="12"/>
      <c r="G132" s="20">
        <v>71449082882</v>
      </c>
    </row>
    <row r="133" spans="1:7" x14ac:dyDescent="0.3">
      <c r="A133" s="11" t="s">
        <v>2625</v>
      </c>
      <c r="B133" s="11" t="s">
        <v>96</v>
      </c>
      <c r="C133" s="12"/>
      <c r="D133" s="12"/>
      <c r="E133" s="12"/>
      <c r="F133" s="12"/>
      <c r="G133" s="20">
        <v>68494068679</v>
      </c>
    </row>
    <row r="134" spans="1:7" x14ac:dyDescent="0.3">
      <c r="A134" s="11" t="s">
        <v>2626</v>
      </c>
      <c r="B134" s="11" t="s">
        <v>212</v>
      </c>
      <c r="C134" s="12"/>
      <c r="D134" s="12"/>
      <c r="E134" s="12"/>
      <c r="F134" s="12"/>
      <c r="G134" s="20">
        <v>43945539</v>
      </c>
    </row>
    <row r="135" spans="1:7" x14ac:dyDescent="0.3">
      <c r="A135" s="11" t="s">
        <v>2627</v>
      </c>
      <c r="B135" s="11" t="s">
        <v>211</v>
      </c>
      <c r="C135" s="12"/>
      <c r="D135" s="12"/>
      <c r="E135" s="12"/>
      <c r="F135" s="12"/>
      <c r="G135" s="20">
        <v>78840227</v>
      </c>
    </row>
    <row r="136" spans="1:7" x14ac:dyDescent="0.3">
      <c r="A136" s="11" t="s">
        <v>2628</v>
      </c>
      <c r="B136" s="11" t="s">
        <v>210</v>
      </c>
      <c r="C136" s="12"/>
      <c r="D136" s="12"/>
      <c r="E136" s="12"/>
      <c r="F136" s="12"/>
      <c r="G136" s="20">
        <v>0</v>
      </c>
    </row>
    <row r="137" spans="1:7" x14ac:dyDescent="0.3">
      <c r="A137" s="11" t="s">
        <v>2629</v>
      </c>
      <c r="B137" s="11" t="s">
        <v>104</v>
      </c>
      <c r="C137" s="12"/>
      <c r="D137" s="12"/>
      <c r="E137" s="12"/>
      <c r="F137" s="12"/>
      <c r="G137" s="20">
        <v>97250309583</v>
      </c>
    </row>
    <row r="138" spans="1:7" x14ac:dyDescent="0.3">
      <c r="A138" s="11" t="s">
        <v>2630</v>
      </c>
      <c r="B138" s="11" t="s">
        <v>103</v>
      </c>
      <c r="C138" s="12"/>
      <c r="D138" s="12"/>
      <c r="E138" s="12"/>
      <c r="F138" s="12"/>
      <c r="G138" s="20">
        <v>176599440351</v>
      </c>
    </row>
    <row r="139" spans="1:7" x14ac:dyDescent="0.3">
      <c r="A139" s="11" t="s">
        <v>2631</v>
      </c>
      <c r="B139" s="11" t="s">
        <v>209</v>
      </c>
      <c r="C139" s="12"/>
      <c r="D139" s="12"/>
      <c r="E139" s="12"/>
      <c r="F139" s="12"/>
      <c r="G139" s="20">
        <v>173816564872</v>
      </c>
    </row>
    <row r="140" spans="1:7" x14ac:dyDescent="0.3">
      <c r="A140" s="11" t="s">
        <v>2632</v>
      </c>
      <c r="B140" s="11" t="s">
        <v>208</v>
      </c>
      <c r="C140" s="12"/>
      <c r="D140" s="12"/>
      <c r="E140" s="12"/>
      <c r="F140" s="12"/>
      <c r="G140" s="20">
        <v>2782875479</v>
      </c>
    </row>
    <row r="141" spans="1:7" x14ac:dyDescent="0.3">
      <c r="A141" s="11" t="s">
        <v>2633</v>
      </c>
      <c r="B141" s="11" t="s">
        <v>102</v>
      </c>
      <c r="C141" s="12"/>
      <c r="D141" s="12"/>
      <c r="E141" s="12"/>
      <c r="F141" s="12"/>
      <c r="G141" s="20">
        <v>46528214476</v>
      </c>
    </row>
    <row r="142" spans="1:7" x14ac:dyDescent="0.3">
      <c r="A142" s="11" t="s">
        <v>2634</v>
      </c>
      <c r="B142" s="11" t="s">
        <v>207</v>
      </c>
      <c r="C142" s="12"/>
      <c r="D142" s="12"/>
      <c r="E142" s="12"/>
      <c r="F142" s="12"/>
      <c r="G142" s="20">
        <v>0</v>
      </c>
    </row>
    <row r="143" spans="1:7" x14ac:dyDescent="0.3">
      <c r="A143" s="11" t="s">
        <v>2635</v>
      </c>
      <c r="B143" s="11" t="s">
        <v>100</v>
      </c>
      <c r="C143" s="12"/>
      <c r="D143" s="12"/>
      <c r="E143" s="12"/>
      <c r="F143" s="12"/>
      <c r="G143" s="20">
        <v>0</v>
      </c>
    </row>
    <row r="144" spans="1:7" x14ac:dyDescent="0.3">
      <c r="A144" s="11" t="s">
        <v>2636</v>
      </c>
      <c r="B144" s="11" t="s">
        <v>99</v>
      </c>
      <c r="C144" s="12"/>
      <c r="D144" s="12"/>
      <c r="E144" s="12"/>
      <c r="F144" s="12"/>
      <c r="G144" s="20">
        <v>493483291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40"/>
  <sheetViews>
    <sheetView zoomScaleNormal="100" workbookViewId="0">
      <pane xSplit="2" ySplit="2" topLeftCell="N3" activePane="bottomRight" state="frozen"/>
      <selection pane="topRight" activeCell="C1" sqref="C1"/>
      <selection pane="bottomLeft" activeCell="A3" sqref="A3"/>
      <selection pane="bottomRight" activeCell="P3" sqref="P3:P140"/>
    </sheetView>
  </sheetViews>
  <sheetFormatPr baseColWidth="10" defaultColWidth="9.44140625" defaultRowHeight="14.4" x14ac:dyDescent="0.3"/>
  <cols>
    <col min="1" max="1" width="14" bestFit="1" customWidth="1"/>
    <col min="2" max="2" width="40.77734375" customWidth="1"/>
    <col min="3" max="8" width="13.5546875" style="1" customWidth="1"/>
    <col min="9" max="11" width="13.5546875" customWidth="1"/>
    <col min="12" max="16" width="13.44140625" customWidth="1"/>
  </cols>
  <sheetData>
    <row r="1" spans="1:16"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t="s">
        <v>2637</v>
      </c>
      <c r="B3" s="11" t="s">
        <v>204</v>
      </c>
      <c r="C3" s="20">
        <v>243132953702</v>
      </c>
      <c r="D3" s="20">
        <v>243132953702</v>
      </c>
      <c r="E3" s="20">
        <v>245467239463</v>
      </c>
      <c r="F3" s="20">
        <v>251887580703</v>
      </c>
      <c r="G3" s="20">
        <v>251245794479</v>
      </c>
      <c r="H3" s="20">
        <v>254389512617</v>
      </c>
      <c r="I3" s="20">
        <v>259040284956</v>
      </c>
      <c r="J3" s="20">
        <v>258533740914</v>
      </c>
      <c r="K3" s="20">
        <v>257067601122</v>
      </c>
      <c r="L3" s="20">
        <v>260829665192</v>
      </c>
      <c r="M3" s="20">
        <v>266422927073</v>
      </c>
      <c r="N3" s="20">
        <v>267564805231</v>
      </c>
      <c r="O3" s="20">
        <v>272081776882</v>
      </c>
      <c r="P3" s="20">
        <v>272974653666</v>
      </c>
    </row>
    <row r="4" spans="1:16" x14ac:dyDescent="0.3">
      <c r="A4" s="11" t="s">
        <v>2638</v>
      </c>
      <c r="B4" s="11" t="s">
        <v>203</v>
      </c>
      <c r="C4" s="20"/>
      <c r="D4" s="20">
        <v>12997925743</v>
      </c>
      <c r="E4" s="20">
        <v>14696558461</v>
      </c>
      <c r="F4" s="20">
        <v>13309973569</v>
      </c>
      <c r="G4" s="20">
        <v>12529862363</v>
      </c>
      <c r="H4" s="20">
        <v>14641270239</v>
      </c>
      <c r="I4" s="20">
        <v>14454469473</v>
      </c>
      <c r="J4" s="20">
        <v>16426224278</v>
      </c>
      <c r="K4" s="20">
        <v>15884406343</v>
      </c>
      <c r="L4" s="20">
        <v>16316027563</v>
      </c>
      <c r="M4" s="20">
        <v>15751816843</v>
      </c>
      <c r="N4" s="20">
        <v>14090420541</v>
      </c>
      <c r="O4" s="20">
        <v>15936044740</v>
      </c>
      <c r="P4" s="20">
        <v>18046195366</v>
      </c>
    </row>
    <row r="5" spans="1:16" x14ac:dyDescent="0.3">
      <c r="A5" s="11" t="s">
        <v>2639</v>
      </c>
      <c r="B5" s="11" t="s">
        <v>202</v>
      </c>
      <c r="C5" s="20"/>
      <c r="D5" s="20">
        <v>0</v>
      </c>
      <c r="E5" s="20">
        <v>0</v>
      </c>
      <c r="F5" s="20">
        <v>0</v>
      </c>
      <c r="G5" s="20">
        <v>0</v>
      </c>
      <c r="H5" s="20">
        <v>0</v>
      </c>
      <c r="I5" s="20">
        <v>0</v>
      </c>
      <c r="J5" s="20">
        <v>0</v>
      </c>
      <c r="K5" s="20">
        <v>0</v>
      </c>
      <c r="L5" s="20">
        <v>0</v>
      </c>
      <c r="M5" s="20">
        <v>0</v>
      </c>
      <c r="N5" s="20">
        <v>0</v>
      </c>
      <c r="O5" s="20">
        <v>0</v>
      </c>
      <c r="P5" s="20">
        <v>0</v>
      </c>
    </row>
    <row r="6" spans="1:16" x14ac:dyDescent="0.3">
      <c r="A6" s="11" t="s">
        <v>2640</v>
      </c>
      <c r="B6" s="11" t="s">
        <v>82</v>
      </c>
      <c r="C6" s="20"/>
      <c r="D6" s="20">
        <v>43929063800</v>
      </c>
      <c r="E6" s="20">
        <v>40605789950</v>
      </c>
      <c r="F6" s="20">
        <v>44434063933</v>
      </c>
      <c r="G6" s="20">
        <v>46163898470</v>
      </c>
      <c r="H6" s="20">
        <v>48181190250</v>
      </c>
      <c r="I6" s="20">
        <v>50588109284</v>
      </c>
      <c r="J6" s="20">
        <v>49181408971</v>
      </c>
      <c r="K6" s="20">
        <v>48548964268</v>
      </c>
      <c r="L6" s="20">
        <v>50042132561</v>
      </c>
      <c r="M6" s="20">
        <v>54460140798</v>
      </c>
      <c r="N6" s="20">
        <v>56596615176</v>
      </c>
      <c r="O6" s="20">
        <v>58043620136</v>
      </c>
      <c r="P6" s="20">
        <v>56031091404</v>
      </c>
    </row>
    <row r="7" spans="1:16" x14ac:dyDescent="0.3">
      <c r="A7" s="11" t="s">
        <v>2641</v>
      </c>
      <c r="B7" s="11" t="s">
        <v>201</v>
      </c>
      <c r="C7" s="20"/>
      <c r="D7" s="20">
        <v>4675436252</v>
      </c>
      <c r="E7" s="20">
        <v>2665166448</v>
      </c>
      <c r="F7" s="20">
        <v>3080134992</v>
      </c>
      <c r="G7" s="20">
        <v>3077802764</v>
      </c>
      <c r="H7" s="20">
        <v>1987217518</v>
      </c>
      <c r="I7" s="20">
        <v>3009412771</v>
      </c>
      <c r="J7" s="20">
        <v>1716633418</v>
      </c>
      <c r="K7" s="20">
        <v>3004300939</v>
      </c>
      <c r="L7" s="20">
        <v>1660068635</v>
      </c>
      <c r="M7" s="20">
        <v>2235210571</v>
      </c>
      <c r="N7" s="20">
        <v>4519413788</v>
      </c>
      <c r="O7" s="20">
        <v>3156180953</v>
      </c>
      <c r="P7" s="20">
        <v>2777180701</v>
      </c>
    </row>
    <row r="8" spans="1:16" x14ac:dyDescent="0.3">
      <c r="A8" s="11" t="s">
        <v>2642</v>
      </c>
      <c r="B8" s="11" t="s">
        <v>200</v>
      </c>
      <c r="C8" s="20"/>
      <c r="D8" s="20">
        <v>37654093345</v>
      </c>
      <c r="E8" s="20">
        <v>37330577929</v>
      </c>
      <c r="F8" s="20">
        <v>40739529062</v>
      </c>
      <c r="G8" s="20">
        <v>43086095705</v>
      </c>
      <c r="H8" s="20">
        <v>46193972731</v>
      </c>
      <c r="I8" s="20">
        <v>47578696512</v>
      </c>
      <c r="J8" s="20">
        <v>47464775552</v>
      </c>
      <c r="K8" s="20">
        <v>45544663329</v>
      </c>
      <c r="L8" s="20">
        <v>48382063926</v>
      </c>
      <c r="M8" s="20">
        <v>52224930227</v>
      </c>
      <c r="N8" s="20">
        <v>52077201388</v>
      </c>
      <c r="O8" s="20">
        <v>54887439183</v>
      </c>
      <c r="P8" s="20">
        <v>53253910703</v>
      </c>
    </row>
    <row r="9" spans="1:16" x14ac:dyDescent="0.3">
      <c r="A9" s="11" t="s">
        <v>2643</v>
      </c>
      <c r="B9" s="11" t="s">
        <v>199</v>
      </c>
      <c r="C9" s="20"/>
      <c r="D9" s="20">
        <v>1599566602</v>
      </c>
      <c r="E9" s="20">
        <v>610138491</v>
      </c>
      <c r="F9" s="20">
        <v>614404822</v>
      </c>
      <c r="G9" s="20">
        <v>1</v>
      </c>
      <c r="H9" s="20">
        <v>1</v>
      </c>
      <c r="I9" s="20">
        <v>1</v>
      </c>
      <c r="J9" s="20">
        <v>1</v>
      </c>
      <c r="K9" s="20">
        <v>0</v>
      </c>
      <c r="L9" s="20">
        <v>0</v>
      </c>
      <c r="M9" s="20">
        <v>0</v>
      </c>
      <c r="N9" s="20">
        <v>0</v>
      </c>
      <c r="O9" s="20">
        <v>0</v>
      </c>
      <c r="P9" s="20">
        <v>0</v>
      </c>
    </row>
    <row r="10" spans="1:16" x14ac:dyDescent="0.3">
      <c r="A10" s="11" t="s">
        <v>2644</v>
      </c>
      <c r="B10" s="11" t="s">
        <v>198</v>
      </c>
      <c r="C10" s="20"/>
      <c r="D10" s="20">
        <v>-32399</v>
      </c>
      <c r="E10" s="20">
        <v>-92918</v>
      </c>
      <c r="F10" s="20">
        <v>-4943</v>
      </c>
      <c r="G10" s="20">
        <v>0</v>
      </c>
      <c r="H10" s="20">
        <v>0</v>
      </c>
      <c r="I10" s="20">
        <v>0</v>
      </c>
      <c r="J10" s="20">
        <v>0</v>
      </c>
      <c r="K10" s="20">
        <v>0</v>
      </c>
      <c r="L10" s="20">
        <v>0</v>
      </c>
      <c r="M10" s="20">
        <v>0</v>
      </c>
      <c r="N10" s="20">
        <v>0</v>
      </c>
      <c r="O10" s="20">
        <v>0</v>
      </c>
      <c r="P10" s="20">
        <v>0</v>
      </c>
    </row>
    <row r="11" spans="1:16" x14ac:dyDescent="0.3">
      <c r="A11" s="11" t="s">
        <v>2645</v>
      </c>
      <c r="B11" s="11" t="s">
        <v>197</v>
      </c>
      <c r="C11" s="20"/>
      <c r="D11" s="20">
        <v>0</v>
      </c>
      <c r="E11" s="20">
        <v>0</v>
      </c>
      <c r="F11" s="20">
        <v>0</v>
      </c>
      <c r="G11" s="20">
        <v>0</v>
      </c>
      <c r="H11" s="20">
        <v>0</v>
      </c>
      <c r="I11" s="20">
        <v>0</v>
      </c>
      <c r="J11" s="20">
        <v>0</v>
      </c>
      <c r="K11" s="20">
        <v>0</v>
      </c>
      <c r="L11" s="20">
        <v>0</v>
      </c>
      <c r="M11" s="20">
        <v>0</v>
      </c>
      <c r="N11" s="20">
        <v>0</v>
      </c>
      <c r="O11" s="20">
        <v>0</v>
      </c>
      <c r="P11" s="20">
        <v>0</v>
      </c>
    </row>
    <row r="12" spans="1:16" x14ac:dyDescent="0.3">
      <c r="A12" s="11" t="s">
        <v>2646</v>
      </c>
      <c r="B12" s="11" t="s">
        <v>147</v>
      </c>
      <c r="C12" s="20"/>
      <c r="D12" s="20">
        <v>0</v>
      </c>
      <c r="E12" s="20">
        <v>0</v>
      </c>
      <c r="F12" s="20">
        <v>0</v>
      </c>
      <c r="G12" s="20">
        <v>0</v>
      </c>
      <c r="H12" s="20">
        <v>0</v>
      </c>
      <c r="I12" s="20">
        <v>0</v>
      </c>
      <c r="J12" s="20">
        <v>0</v>
      </c>
      <c r="K12" s="20">
        <v>0</v>
      </c>
      <c r="L12" s="20">
        <v>0</v>
      </c>
      <c r="M12" s="20">
        <v>0</v>
      </c>
      <c r="N12" s="20">
        <v>0</v>
      </c>
      <c r="O12" s="20">
        <v>0</v>
      </c>
      <c r="P12" s="20">
        <v>0</v>
      </c>
    </row>
    <row r="13" spans="1:16" x14ac:dyDescent="0.3">
      <c r="A13" s="11" t="s">
        <v>2647</v>
      </c>
      <c r="B13" s="11" t="s">
        <v>74</v>
      </c>
      <c r="C13" s="20"/>
      <c r="D13" s="20">
        <v>413447504</v>
      </c>
      <c r="E13" s="20">
        <v>360042020</v>
      </c>
      <c r="F13" s="20">
        <v>332851989</v>
      </c>
      <c r="G13" s="20">
        <v>308590399</v>
      </c>
      <c r="H13" s="20">
        <v>328488117</v>
      </c>
      <c r="I13" s="20">
        <v>332939679</v>
      </c>
      <c r="J13" s="20">
        <v>316025390</v>
      </c>
      <c r="K13" s="20">
        <v>313530068</v>
      </c>
      <c r="L13" s="20">
        <v>318288873</v>
      </c>
      <c r="M13" s="20">
        <v>335384202</v>
      </c>
      <c r="N13" s="20">
        <v>339943701</v>
      </c>
      <c r="O13" s="20">
        <v>500656006</v>
      </c>
      <c r="P13" s="20">
        <v>491248582</v>
      </c>
    </row>
    <row r="14" spans="1:16" x14ac:dyDescent="0.3">
      <c r="A14" s="11" t="s">
        <v>2648</v>
      </c>
      <c r="B14" s="11" t="s">
        <v>142</v>
      </c>
      <c r="C14" s="20"/>
      <c r="D14" s="20">
        <v>267595330</v>
      </c>
      <c r="E14" s="20">
        <v>248698725</v>
      </c>
      <c r="F14" s="20">
        <v>269322590</v>
      </c>
      <c r="G14" s="20">
        <v>264841330</v>
      </c>
      <c r="H14" s="20">
        <v>315007849</v>
      </c>
      <c r="I14" s="20">
        <v>316729323</v>
      </c>
      <c r="J14" s="20">
        <v>305371137</v>
      </c>
      <c r="K14" s="20">
        <v>295237285</v>
      </c>
      <c r="L14" s="20">
        <v>311436135</v>
      </c>
      <c r="M14" s="20">
        <v>329768520</v>
      </c>
      <c r="N14" s="20">
        <v>334673420</v>
      </c>
      <c r="O14" s="20">
        <v>495689387</v>
      </c>
      <c r="P14" s="20">
        <v>486099162</v>
      </c>
    </row>
    <row r="15" spans="1:16" x14ac:dyDescent="0.3">
      <c r="A15" s="11" t="s">
        <v>2649</v>
      </c>
      <c r="B15" s="11" t="s">
        <v>141</v>
      </c>
      <c r="C15" s="20"/>
      <c r="D15" s="20">
        <v>145852174</v>
      </c>
      <c r="E15" s="20">
        <v>111343295</v>
      </c>
      <c r="F15" s="20">
        <v>63529399</v>
      </c>
      <c r="G15" s="20">
        <v>43749069</v>
      </c>
      <c r="H15" s="20">
        <v>13480268</v>
      </c>
      <c r="I15" s="20">
        <v>16210356</v>
      </c>
      <c r="J15" s="20">
        <v>10654253</v>
      </c>
      <c r="K15" s="20">
        <v>18292783</v>
      </c>
      <c r="L15" s="20">
        <v>6852738</v>
      </c>
      <c r="M15" s="20">
        <v>5615682</v>
      </c>
      <c r="N15" s="20">
        <v>5270281</v>
      </c>
      <c r="O15" s="20">
        <v>4966619</v>
      </c>
      <c r="P15" s="20">
        <v>5149420</v>
      </c>
    </row>
    <row r="16" spans="1:16" x14ac:dyDescent="0.3">
      <c r="A16" s="11" t="s">
        <v>2650</v>
      </c>
      <c r="B16" s="11" t="s">
        <v>196</v>
      </c>
      <c r="C16" s="20"/>
      <c r="D16" s="20">
        <v>0</v>
      </c>
      <c r="E16" s="20">
        <v>0</v>
      </c>
      <c r="F16" s="20">
        <v>0</v>
      </c>
      <c r="G16" s="20">
        <v>0</v>
      </c>
      <c r="H16" s="20">
        <v>0</v>
      </c>
      <c r="I16" s="20">
        <v>0</v>
      </c>
      <c r="J16" s="20">
        <v>0</v>
      </c>
      <c r="K16" s="20">
        <v>0</v>
      </c>
      <c r="L16" s="20">
        <v>0</v>
      </c>
      <c r="M16" s="20">
        <v>0</v>
      </c>
      <c r="N16" s="20">
        <v>0</v>
      </c>
      <c r="O16" s="20">
        <v>0</v>
      </c>
      <c r="P16" s="20">
        <v>0</v>
      </c>
    </row>
    <row r="17" spans="1:16" x14ac:dyDescent="0.3">
      <c r="A17" s="11" t="s">
        <v>2651</v>
      </c>
      <c r="B17" s="11" t="s">
        <v>195</v>
      </c>
      <c r="C17" s="20"/>
      <c r="D17" s="20">
        <v>163896151638</v>
      </c>
      <c r="E17" s="20">
        <v>165975302389</v>
      </c>
      <c r="F17" s="20">
        <v>165489968536</v>
      </c>
      <c r="G17" s="20">
        <v>167499874946</v>
      </c>
      <c r="H17" s="20">
        <v>166846273147</v>
      </c>
      <c r="I17" s="20">
        <v>169173580102</v>
      </c>
      <c r="J17" s="20">
        <v>169627937554</v>
      </c>
      <c r="K17" s="20">
        <v>169719242978</v>
      </c>
      <c r="L17" s="20">
        <v>171114335580</v>
      </c>
      <c r="M17" s="20">
        <v>172995062421</v>
      </c>
      <c r="N17" s="20">
        <v>172774640058</v>
      </c>
      <c r="O17" s="20">
        <v>173289471523</v>
      </c>
      <c r="P17" s="20">
        <v>175710942854</v>
      </c>
    </row>
    <row r="18" spans="1:16" x14ac:dyDescent="0.3">
      <c r="A18" s="11" t="s">
        <v>2652</v>
      </c>
      <c r="B18" s="11" t="s">
        <v>192</v>
      </c>
      <c r="C18" s="20"/>
      <c r="D18" s="20">
        <v>136354392914</v>
      </c>
      <c r="E18" s="20">
        <v>138451536886</v>
      </c>
      <c r="F18" s="20">
        <v>137865299356</v>
      </c>
      <c r="G18" s="20">
        <v>139637711288</v>
      </c>
      <c r="H18" s="20">
        <v>138869801468</v>
      </c>
      <c r="I18" s="20">
        <v>140991348781</v>
      </c>
      <c r="J18" s="20">
        <v>141062142867</v>
      </c>
      <c r="K18" s="20">
        <v>140806197285</v>
      </c>
      <c r="L18" s="20">
        <v>141965886112</v>
      </c>
      <c r="M18" s="20">
        <v>143662968649</v>
      </c>
      <c r="N18" s="20">
        <v>143308874679</v>
      </c>
      <c r="O18" s="20">
        <v>143462560251</v>
      </c>
      <c r="P18" s="20">
        <v>145563951130</v>
      </c>
    </row>
    <row r="19" spans="1:16" x14ac:dyDescent="0.3">
      <c r="A19" s="11" t="s">
        <v>2653</v>
      </c>
      <c r="B19" s="11" t="s">
        <v>191</v>
      </c>
      <c r="C19" s="20"/>
      <c r="D19" s="20">
        <v>113292450145</v>
      </c>
      <c r="E19" s="20">
        <v>114904012884</v>
      </c>
      <c r="F19" s="20">
        <v>114587502026</v>
      </c>
      <c r="G19" s="20">
        <v>115029415673</v>
      </c>
      <c r="H19" s="20">
        <v>114866571120</v>
      </c>
      <c r="I19" s="20">
        <v>117068382914</v>
      </c>
      <c r="J19" s="20">
        <v>116985753262</v>
      </c>
      <c r="K19" s="20">
        <v>117552056604</v>
      </c>
      <c r="L19" s="20">
        <v>118584489536</v>
      </c>
      <c r="M19" s="20">
        <v>120248611313</v>
      </c>
      <c r="N19" s="20">
        <v>120214726745</v>
      </c>
      <c r="O19" s="20">
        <v>120710544696</v>
      </c>
      <c r="P19" s="20">
        <v>119669150153</v>
      </c>
    </row>
    <row r="20" spans="1:16" x14ac:dyDescent="0.3">
      <c r="A20" s="11" t="s">
        <v>2654</v>
      </c>
      <c r="B20" s="11" t="s">
        <v>190</v>
      </c>
      <c r="C20" s="20"/>
      <c r="D20" s="20">
        <v>23061942769</v>
      </c>
      <c r="E20" s="20">
        <v>23547524002</v>
      </c>
      <c r="F20" s="20">
        <v>23277797330</v>
      </c>
      <c r="G20" s="20">
        <v>24608295615</v>
      </c>
      <c r="H20" s="20">
        <v>24003230348</v>
      </c>
      <c r="I20" s="20">
        <v>23922965867</v>
      </c>
      <c r="J20" s="20">
        <v>24076389605</v>
      </c>
      <c r="K20" s="20">
        <v>23254140681</v>
      </c>
      <c r="L20" s="20">
        <v>23381396576</v>
      </c>
      <c r="M20" s="20">
        <v>23414357336</v>
      </c>
      <c r="N20" s="20">
        <v>23094147934</v>
      </c>
      <c r="O20" s="20">
        <v>22752015555</v>
      </c>
      <c r="P20" s="20">
        <v>22980236841</v>
      </c>
    </row>
    <row r="21" spans="1:16" x14ac:dyDescent="0.3">
      <c r="A21" s="11" t="s">
        <v>2655</v>
      </c>
      <c r="B21" s="11" t="s">
        <v>189</v>
      </c>
      <c r="C21" s="20"/>
      <c r="D21" s="20">
        <v>0</v>
      </c>
      <c r="E21" s="20">
        <v>0</v>
      </c>
      <c r="F21" s="20">
        <v>0</v>
      </c>
      <c r="G21" s="20">
        <v>0</v>
      </c>
      <c r="H21" s="20">
        <v>0</v>
      </c>
      <c r="I21" s="20">
        <v>0</v>
      </c>
      <c r="J21" s="20">
        <v>0</v>
      </c>
      <c r="K21" s="20">
        <v>0</v>
      </c>
      <c r="L21" s="20">
        <v>0</v>
      </c>
      <c r="M21" s="20">
        <v>0</v>
      </c>
      <c r="N21" s="20">
        <v>0</v>
      </c>
      <c r="O21" s="20">
        <v>0</v>
      </c>
      <c r="P21" s="20">
        <v>2914564136</v>
      </c>
    </row>
    <row r="22" spans="1:16" x14ac:dyDescent="0.3">
      <c r="A22" s="11" t="s">
        <v>2656</v>
      </c>
      <c r="B22" s="11" t="s">
        <v>188</v>
      </c>
      <c r="C22" s="20"/>
      <c r="D22" s="20">
        <v>11986023515</v>
      </c>
      <c r="E22" s="20">
        <v>12014659026</v>
      </c>
      <c r="F22" s="20">
        <v>11967394375</v>
      </c>
      <c r="G22" s="20">
        <v>12043465734</v>
      </c>
      <c r="H22" s="20">
        <v>12142585862</v>
      </c>
      <c r="I22" s="20">
        <v>12277092276</v>
      </c>
      <c r="J22" s="20">
        <v>12502129970</v>
      </c>
      <c r="K22" s="20">
        <v>12634531720</v>
      </c>
      <c r="L22" s="20">
        <v>12751259442</v>
      </c>
      <c r="M22" s="20">
        <v>12836666797</v>
      </c>
      <c r="N22" s="20">
        <v>12973833186</v>
      </c>
      <c r="O22" s="20">
        <v>13250326502</v>
      </c>
      <c r="P22" s="20">
        <v>13365535487</v>
      </c>
    </row>
    <row r="23" spans="1:16" x14ac:dyDescent="0.3">
      <c r="A23" s="11" t="s">
        <v>2657</v>
      </c>
      <c r="B23" s="11" t="s">
        <v>187</v>
      </c>
      <c r="C23" s="20"/>
      <c r="D23" s="20">
        <v>15555735209</v>
      </c>
      <c r="E23" s="20">
        <v>15509106477</v>
      </c>
      <c r="F23" s="20">
        <v>15657274805</v>
      </c>
      <c r="G23" s="20">
        <v>15818697924</v>
      </c>
      <c r="H23" s="20">
        <v>15833885817</v>
      </c>
      <c r="I23" s="20">
        <v>15905139045</v>
      </c>
      <c r="J23" s="20">
        <v>16063664717</v>
      </c>
      <c r="K23" s="20">
        <v>16278513973</v>
      </c>
      <c r="L23" s="20">
        <v>16397190026</v>
      </c>
      <c r="M23" s="20">
        <v>16495426975</v>
      </c>
      <c r="N23" s="20">
        <v>16491932193</v>
      </c>
      <c r="O23" s="20">
        <v>16576584770</v>
      </c>
      <c r="P23" s="20">
        <v>16781456237</v>
      </c>
    </row>
    <row r="24" spans="1:16" x14ac:dyDescent="0.3">
      <c r="A24" s="11" t="s">
        <v>2658</v>
      </c>
      <c r="B24" s="11" t="s">
        <v>186</v>
      </c>
      <c r="C24" s="20"/>
      <c r="D24" s="20">
        <v>15555735209</v>
      </c>
      <c r="E24" s="20">
        <v>15509106477</v>
      </c>
      <c r="F24" s="20">
        <v>15657274805</v>
      </c>
      <c r="G24" s="20">
        <v>15818697924</v>
      </c>
      <c r="H24" s="20">
        <v>15833885817</v>
      </c>
      <c r="I24" s="20">
        <v>15905139045</v>
      </c>
      <c r="J24" s="20">
        <v>16063664717</v>
      </c>
      <c r="K24" s="20">
        <v>16278513973</v>
      </c>
      <c r="L24" s="20">
        <v>16397190026</v>
      </c>
      <c r="M24" s="20">
        <v>16495426975</v>
      </c>
      <c r="N24" s="20">
        <v>16491932193</v>
      </c>
      <c r="O24" s="20">
        <v>16576584770</v>
      </c>
      <c r="P24" s="20">
        <v>16781456237</v>
      </c>
    </row>
    <row r="25" spans="1:16" x14ac:dyDescent="0.3">
      <c r="A25" s="11" t="s">
        <v>2659</v>
      </c>
      <c r="B25" s="11" t="s">
        <v>185</v>
      </c>
      <c r="C25" s="20"/>
      <c r="D25" s="20">
        <v>0</v>
      </c>
      <c r="E25" s="20">
        <v>0</v>
      </c>
      <c r="F25" s="20">
        <v>0</v>
      </c>
      <c r="G25" s="20">
        <v>0</v>
      </c>
      <c r="H25" s="20">
        <v>0</v>
      </c>
      <c r="I25" s="20">
        <v>0</v>
      </c>
      <c r="J25" s="20">
        <v>0</v>
      </c>
      <c r="K25" s="20">
        <v>0</v>
      </c>
      <c r="L25" s="20">
        <v>0</v>
      </c>
      <c r="M25" s="20">
        <v>0</v>
      </c>
      <c r="N25" s="20">
        <v>0</v>
      </c>
      <c r="O25" s="20">
        <v>0</v>
      </c>
      <c r="P25" s="20">
        <v>0</v>
      </c>
    </row>
    <row r="26" spans="1:16" x14ac:dyDescent="0.3">
      <c r="A26" s="11" t="s">
        <v>2660</v>
      </c>
      <c r="B26" s="11" t="s">
        <v>184</v>
      </c>
      <c r="C26" s="20"/>
      <c r="D26" s="20">
        <v>0</v>
      </c>
      <c r="E26" s="20">
        <v>0</v>
      </c>
      <c r="F26" s="20">
        <v>0</v>
      </c>
      <c r="G26" s="20">
        <v>0</v>
      </c>
      <c r="H26" s="20">
        <v>0</v>
      </c>
      <c r="I26" s="20">
        <v>0</v>
      </c>
      <c r="J26" s="20">
        <v>0</v>
      </c>
      <c r="K26" s="20">
        <v>0</v>
      </c>
      <c r="L26" s="20">
        <v>0</v>
      </c>
      <c r="M26" s="20">
        <v>0</v>
      </c>
      <c r="N26" s="20">
        <v>0</v>
      </c>
      <c r="O26" s="20">
        <v>0</v>
      </c>
      <c r="P26" s="20">
        <v>0</v>
      </c>
    </row>
    <row r="27" spans="1:16" x14ac:dyDescent="0.3">
      <c r="A27" s="11" t="s">
        <v>2661</v>
      </c>
      <c r="B27" s="11" t="s">
        <v>183</v>
      </c>
      <c r="C27" s="20"/>
      <c r="D27" s="20">
        <v>0</v>
      </c>
      <c r="E27" s="20">
        <v>0</v>
      </c>
      <c r="F27" s="20">
        <v>0</v>
      </c>
      <c r="G27" s="20">
        <v>0</v>
      </c>
      <c r="H27" s="20">
        <v>0</v>
      </c>
      <c r="I27" s="20">
        <v>0</v>
      </c>
      <c r="J27" s="20">
        <v>0</v>
      </c>
      <c r="K27" s="20">
        <v>0</v>
      </c>
      <c r="L27" s="20">
        <v>0</v>
      </c>
      <c r="M27" s="20">
        <v>0</v>
      </c>
      <c r="N27" s="20">
        <v>0</v>
      </c>
      <c r="O27" s="20">
        <v>0</v>
      </c>
      <c r="P27" s="20">
        <v>0</v>
      </c>
    </row>
    <row r="28" spans="1:16" x14ac:dyDescent="0.3">
      <c r="A28" s="11" t="s">
        <v>2662</v>
      </c>
      <c r="B28" s="11" t="s">
        <v>182</v>
      </c>
      <c r="C28" s="20"/>
      <c r="D28" s="20">
        <v>0</v>
      </c>
      <c r="E28" s="20">
        <v>0</v>
      </c>
      <c r="F28" s="20">
        <v>0</v>
      </c>
      <c r="G28" s="20">
        <v>0</v>
      </c>
      <c r="H28" s="20">
        <v>0</v>
      </c>
      <c r="I28" s="20">
        <v>0</v>
      </c>
      <c r="J28" s="20">
        <v>0</v>
      </c>
      <c r="K28" s="20">
        <v>0</v>
      </c>
      <c r="L28" s="20">
        <v>0</v>
      </c>
      <c r="M28" s="20">
        <v>0</v>
      </c>
      <c r="N28" s="20">
        <v>0</v>
      </c>
      <c r="O28" s="20">
        <v>0</v>
      </c>
      <c r="P28" s="20">
        <v>0</v>
      </c>
    </row>
    <row r="29" spans="1:16" x14ac:dyDescent="0.3">
      <c r="A29" s="11" t="s">
        <v>2663</v>
      </c>
      <c r="B29" s="11" t="s">
        <v>194</v>
      </c>
      <c r="C29" s="20"/>
      <c r="D29" s="20">
        <v>3020397290</v>
      </c>
      <c r="E29" s="20">
        <v>3054784891</v>
      </c>
      <c r="F29" s="20">
        <v>2886320175</v>
      </c>
      <c r="G29" s="20">
        <v>2830292321</v>
      </c>
      <c r="H29" s="20">
        <v>3395499255</v>
      </c>
      <c r="I29" s="20">
        <v>2951543650</v>
      </c>
      <c r="J29" s="20">
        <v>2762689828</v>
      </c>
      <c r="K29" s="20">
        <v>2860394789</v>
      </c>
      <c r="L29" s="20">
        <v>3015968197</v>
      </c>
      <c r="M29" s="20">
        <v>3177605331</v>
      </c>
      <c r="N29" s="20">
        <v>2894216560</v>
      </c>
      <c r="O29" s="20">
        <v>3040969660</v>
      </c>
      <c r="P29" s="20">
        <v>3458237849</v>
      </c>
    </row>
    <row r="30" spans="1:16" x14ac:dyDescent="0.3">
      <c r="A30" s="11" t="s">
        <v>2664</v>
      </c>
      <c r="B30" s="11" t="s">
        <v>192</v>
      </c>
      <c r="C30" s="20"/>
      <c r="D30" s="20">
        <v>2179626983</v>
      </c>
      <c r="E30" s="20">
        <v>2148460451</v>
      </c>
      <c r="F30" s="20">
        <v>1987311761</v>
      </c>
      <c r="G30" s="20">
        <v>1963801413</v>
      </c>
      <c r="H30" s="20">
        <v>2523883479</v>
      </c>
      <c r="I30" s="20">
        <v>2061091937</v>
      </c>
      <c r="J30" s="20">
        <v>1855193468</v>
      </c>
      <c r="K30" s="20">
        <v>1972041574</v>
      </c>
      <c r="L30" s="20">
        <v>2100255669</v>
      </c>
      <c r="M30" s="20">
        <v>2276809043</v>
      </c>
      <c r="N30" s="20">
        <v>2531765394</v>
      </c>
      <c r="O30" s="20">
        <v>2085784048</v>
      </c>
      <c r="P30" s="20">
        <v>2585565411</v>
      </c>
    </row>
    <row r="31" spans="1:16" x14ac:dyDescent="0.3">
      <c r="A31" s="11" t="s">
        <v>2665</v>
      </c>
      <c r="B31" s="11" t="s">
        <v>191</v>
      </c>
      <c r="C31" s="20"/>
      <c r="D31" s="20">
        <v>2179626983</v>
      </c>
      <c r="E31" s="20">
        <v>2148460451</v>
      </c>
      <c r="F31" s="20">
        <v>1987311761</v>
      </c>
      <c r="G31" s="20">
        <v>1963801413</v>
      </c>
      <c r="H31" s="20">
        <v>2523883479</v>
      </c>
      <c r="I31" s="20">
        <v>2061091937</v>
      </c>
      <c r="J31" s="20">
        <v>1855193468</v>
      </c>
      <c r="K31" s="20">
        <v>1972041574</v>
      </c>
      <c r="L31" s="20">
        <v>2100255669</v>
      </c>
      <c r="M31" s="20">
        <v>2276809043</v>
      </c>
      <c r="N31" s="20">
        <v>2531765394</v>
      </c>
      <c r="O31" s="20">
        <v>2085784048</v>
      </c>
      <c r="P31" s="20">
        <v>2585565411</v>
      </c>
    </row>
    <row r="32" spans="1:16" x14ac:dyDescent="0.3">
      <c r="A32" s="11" t="s">
        <v>2666</v>
      </c>
      <c r="B32" s="11" t="s">
        <v>190</v>
      </c>
      <c r="C32" s="20"/>
      <c r="D32" s="20">
        <v>0</v>
      </c>
      <c r="E32" s="20">
        <v>0</v>
      </c>
      <c r="F32" s="20">
        <v>0</v>
      </c>
      <c r="G32" s="20">
        <v>0</v>
      </c>
      <c r="H32" s="20">
        <v>0</v>
      </c>
      <c r="I32" s="20">
        <v>0</v>
      </c>
      <c r="J32" s="20">
        <v>0</v>
      </c>
      <c r="K32" s="20">
        <v>0</v>
      </c>
      <c r="L32" s="20">
        <v>0</v>
      </c>
      <c r="M32" s="20">
        <v>0</v>
      </c>
      <c r="N32" s="20">
        <v>0</v>
      </c>
      <c r="O32" s="20">
        <v>0</v>
      </c>
      <c r="P32" s="20">
        <v>0</v>
      </c>
    </row>
    <row r="33" spans="1:16" x14ac:dyDescent="0.3">
      <c r="A33" s="11" t="s">
        <v>2667</v>
      </c>
      <c r="B33" s="11" t="s">
        <v>189</v>
      </c>
      <c r="C33" s="20"/>
      <c r="D33" s="20">
        <v>0</v>
      </c>
      <c r="E33" s="20">
        <v>0</v>
      </c>
      <c r="F33" s="20">
        <v>0</v>
      </c>
      <c r="G33" s="20">
        <v>0</v>
      </c>
      <c r="H33" s="20">
        <v>0</v>
      </c>
      <c r="I33" s="20">
        <v>0</v>
      </c>
      <c r="J33" s="20">
        <v>0</v>
      </c>
      <c r="K33" s="20">
        <v>0</v>
      </c>
      <c r="L33" s="20">
        <v>0</v>
      </c>
      <c r="M33" s="20">
        <v>0</v>
      </c>
      <c r="N33" s="20">
        <v>0</v>
      </c>
      <c r="O33" s="20">
        <v>0</v>
      </c>
      <c r="P33" s="20">
        <v>0</v>
      </c>
    </row>
    <row r="34" spans="1:16" x14ac:dyDescent="0.3">
      <c r="A34" s="11" t="s">
        <v>2668</v>
      </c>
      <c r="B34" s="11" t="s">
        <v>188</v>
      </c>
      <c r="C34" s="20"/>
      <c r="D34" s="20">
        <v>312915274</v>
      </c>
      <c r="E34" s="20">
        <v>304815064</v>
      </c>
      <c r="F34" s="20">
        <v>322739703</v>
      </c>
      <c r="G34" s="20">
        <v>329522511</v>
      </c>
      <c r="H34" s="20">
        <v>329756332</v>
      </c>
      <c r="I34" s="20">
        <v>324351476</v>
      </c>
      <c r="J34" s="20">
        <v>324597619</v>
      </c>
      <c r="K34" s="20">
        <v>317176746</v>
      </c>
      <c r="L34" s="20">
        <v>332915618</v>
      </c>
      <c r="M34" s="20">
        <v>340674891</v>
      </c>
      <c r="N34" s="20">
        <v>362451166</v>
      </c>
      <c r="O34" s="20">
        <v>376332662</v>
      </c>
      <c r="P34" s="20">
        <v>342690200</v>
      </c>
    </row>
    <row r="35" spans="1:16" x14ac:dyDescent="0.3">
      <c r="A35" s="11" t="s">
        <v>2669</v>
      </c>
      <c r="B35" s="11" t="s">
        <v>187</v>
      </c>
      <c r="C35" s="20"/>
      <c r="D35" s="20">
        <v>527855033</v>
      </c>
      <c r="E35" s="20">
        <v>601509376</v>
      </c>
      <c r="F35" s="20">
        <v>576268711</v>
      </c>
      <c r="G35" s="20">
        <v>536968397</v>
      </c>
      <c r="H35" s="20">
        <v>541859444</v>
      </c>
      <c r="I35" s="20">
        <v>566100237</v>
      </c>
      <c r="J35" s="20">
        <v>582898741</v>
      </c>
      <c r="K35" s="20">
        <v>571176469</v>
      </c>
      <c r="L35" s="20">
        <v>582796910</v>
      </c>
      <c r="M35" s="20">
        <v>560121397</v>
      </c>
      <c r="N35" s="20">
        <v>576874939</v>
      </c>
      <c r="O35" s="20">
        <v>578852950</v>
      </c>
      <c r="P35" s="20">
        <v>529982238</v>
      </c>
    </row>
    <row r="36" spans="1:16" x14ac:dyDescent="0.3">
      <c r="A36" s="11" t="s">
        <v>2670</v>
      </c>
      <c r="B36" s="11" t="s">
        <v>186</v>
      </c>
      <c r="C36" s="20"/>
      <c r="D36" s="20">
        <v>527855033</v>
      </c>
      <c r="E36" s="20">
        <v>601509376</v>
      </c>
      <c r="F36" s="20">
        <v>576268711</v>
      </c>
      <c r="G36" s="20">
        <v>536968397</v>
      </c>
      <c r="H36" s="20">
        <v>541859444</v>
      </c>
      <c r="I36" s="20">
        <v>566100237</v>
      </c>
      <c r="J36" s="20">
        <v>582898741</v>
      </c>
      <c r="K36" s="20">
        <v>571176469</v>
      </c>
      <c r="L36" s="20">
        <v>582796910</v>
      </c>
      <c r="M36" s="20">
        <v>560121397</v>
      </c>
      <c r="N36" s="20">
        <v>576874939</v>
      </c>
      <c r="O36" s="20">
        <v>578852950</v>
      </c>
      <c r="P36" s="20">
        <v>529982238</v>
      </c>
    </row>
    <row r="37" spans="1:16" x14ac:dyDescent="0.3">
      <c r="A37" s="11" t="s">
        <v>2671</v>
      </c>
      <c r="B37" s="11" t="s">
        <v>185</v>
      </c>
      <c r="C37" s="20"/>
      <c r="D37" s="20">
        <v>0</v>
      </c>
      <c r="E37" s="20">
        <v>0</v>
      </c>
      <c r="F37" s="20">
        <v>0</v>
      </c>
      <c r="G37" s="20">
        <v>0</v>
      </c>
      <c r="H37" s="20">
        <v>0</v>
      </c>
      <c r="I37" s="20">
        <v>0</v>
      </c>
      <c r="J37" s="20">
        <v>0</v>
      </c>
      <c r="K37" s="20">
        <v>0</v>
      </c>
      <c r="L37" s="20">
        <v>0</v>
      </c>
      <c r="M37" s="20">
        <v>0</v>
      </c>
      <c r="N37" s="20">
        <v>0</v>
      </c>
      <c r="O37" s="20">
        <v>0</v>
      </c>
      <c r="P37" s="20">
        <v>0</v>
      </c>
    </row>
    <row r="38" spans="1:16" x14ac:dyDescent="0.3">
      <c r="A38" s="11" t="s">
        <v>2672</v>
      </c>
      <c r="B38" s="11" t="s">
        <v>184</v>
      </c>
      <c r="C38" s="20"/>
      <c r="D38" s="20">
        <v>0</v>
      </c>
      <c r="E38" s="20">
        <v>0</v>
      </c>
      <c r="F38" s="20">
        <v>0</v>
      </c>
      <c r="G38" s="20">
        <v>0</v>
      </c>
      <c r="H38" s="20">
        <v>0</v>
      </c>
      <c r="I38" s="20">
        <v>0</v>
      </c>
      <c r="J38" s="20">
        <v>0</v>
      </c>
      <c r="K38" s="20">
        <v>0</v>
      </c>
      <c r="L38" s="20">
        <v>0</v>
      </c>
      <c r="M38" s="20">
        <v>0</v>
      </c>
      <c r="N38" s="20">
        <v>0</v>
      </c>
      <c r="O38" s="20">
        <v>0</v>
      </c>
      <c r="P38" s="20">
        <v>0</v>
      </c>
    </row>
    <row r="39" spans="1:16" x14ac:dyDescent="0.3">
      <c r="A39" s="11" t="s">
        <v>2673</v>
      </c>
      <c r="B39" s="11" t="s">
        <v>183</v>
      </c>
      <c r="C39" s="20"/>
      <c r="D39" s="20">
        <v>0</v>
      </c>
      <c r="E39" s="20">
        <v>0</v>
      </c>
      <c r="F39" s="20">
        <v>0</v>
      </c>
      <c r="G39" s="20">
        <v>0</v>
      </c>
      <c r="H39" s="20">
        <v>0</v>
      </c>
      <c r="I39" s="20">
        <v>0</v>
      </c>
      <c r="J39" s="20">
        <v>0</v>
      </c>
      <c r="K39" s="20">
        <v>0</v>
      </c>
      <c r="L39" s="20">
        <v>0</v>
      </c>
      <c r="M39" s="20">
        <v>0</v>
      </c>
      <c r="N39" s="20">
        <v>0</v>
      </c>
      <c r="O39" s="20">
        <v>0</v>
      </c>
      <c r="P39" s="20">
        <v>0</v>
      </c>
    </row>
    <row r="40" spans="1:16" x14ac:dyDescent="0.3">
      <c r="A40" s="11" t="s">
        <v>2674</v>
      </c>
      <c r="B40" s="11" t="s">
        <v>182</v>
      </c>
      <c r="C40" s="20"/>
      <c r="D40" s="20">
        <v>0</v>
      </c>
      <c r="E40" s="20">
        <v>0</v>
      </c>
      <c r="F40" s="20">
        <v>0</v>
      </c>
      <c r="G40" s="20">
        <v>0</v>
      </c>
      <c r="H40" s="20">
        <v>0</v>
      </c>
      <c r="I40" s="20">
        <v>0</v>
      </c>
      <c r="J40" s="20">
        <v>0</v>
      </c>
      <c r="K40" s="20">
        <v>0</v>
      </c>
      <c r="L40" s="20">
        <v>0</v>
      </c>
      <c r="M40" s="20">
        <v>0</v>
      </c>
      <c r="N40" s="20">
        <v>0</v>
      </c>
      <c r="O40" s="20">
        <v>0</v>
      </c>
      <c r="P40" s="20">
        <v>0</v>
      </c>
    </row>
    <row r="41" spans="1:16" x14ac:dyDescent="0.3">
      <c r="A41" s="11" t="s">
        <v>2675</v>
      </c>
      <c r="B41" s="11" t="s">
        <v>193</v>
      </c>
      <c r="C41" s="20"/>
      <c r="D41" s="20">
        <v>2046717302</v>
      </c>
      <c r="E41" s="20">
        <v>2015129007</v>
      </c>
      <c r="F41" s="20">
        <v>2187709783</v>
      </c>
      <c r="G41" s="20">
        <v>2265387223</v>
      </c>
      <c r="H41" s="20">
        <v>2323172080</v>
      </c>
      <c r="I41" s="20">
        <v>2496620828</v>
      </c>
      <c r="J41" s="20">
        <v>2511187031</v>
      </c>
      <c r="K41" s="20">
        <v>2505285452</v>
      </c>
      <c r="L41" s="20">
        <v>2702249305</v>
      </c>
      <c r="M41" s="20">
        <v>2792467392</v>
      </c>
      <c r="N41" s="20">
        <v>3043286238</v>
      </c>
      <c r="O41" s="20">
        <v>3122467835</v>
      </c>
      <c r="P41" s="20">
        <v>2515604829</v>
      </c>
    </row>
    <row r="42" spans="1:16" x14ac:dyDescent="0.3">
      <c r="A42" s="11" t="s">
        <v>2676</v>
      </c>
      <c r="B42" s="11" t="s">
        <v>192</v>
      </c>
      <c r="C42" s="20"/>
      <c r="D42" s="20">
        <v>1630946421</v>
      </c>
      <c r="E42" s="20">
        <v>1610961469</v>
      </c>
      <c r="F42" s="20">
        <v>1747136308</v>
      </c>
      <c r="G42" s="20">
        <v>1789353337</v>
      </c>
      <c r="H42" s="20">
        <v>1826414138</v>
      </c>
      <c r="I42" s="20">
        <v>1989900580</v>
      </c>
      <c r="J42" s="20">
        <v>2006355498</v>
      </c>
      <c r="K42" s="20">
        <v>2000029857</v>
      </c>
      <c r="L42" s="20">
        <v>2196709108</v>
      </c>
      <c r="M42" s="20">
        <v>2282100252</v>
      </c>
      <c r="N42" s="20">
        <v>2547299922</v>
      </c>
      <c r="O42" s="20">
        <v>2602811918</v>
      </c>
      <c r="P42" s="20">
        <v>1988603216</v>
      </c>
    </row>
    <row r="43" spans="1:16" x14ac:dyDescent="0.3">
      <c r="A43" s="11" t="s">
        <v>2677</v>
      </c>
      <c r="B43" s="11" t="s">
        <v>191</v>
      </c>
      <c r="C43" s="20"/>
      <c r="D43" s="20">
        <v>1630946421</v>
      </c>
      <c r="E43" s="20">
        <v>1610961469</v>
      </c>
      <c r="F43" s="20">
        <v>1747136308</v>
      </c>
      <c r="G43" s="20">
        <v>1789353337</v>
      </c>
      <c r="H43" s="20">
        <v>1826414138</v>
      </c>
      <c r="I43" s="20">
        <v>1989900580</v>
      </c>
      <c r="J43" s="20">
        <v>2006355498</v>
      </c>
      <c r="K43" s="20">
        <v>2000029857</v>
      </c>
      <c r="L43" s="20">
        <v>2196709108</v>
      </c>
      <c r="M43" s="20">
        <v>2282100252</v>
      </c>
      <c r="N43" s="20">
        <v>2547299922</v>
      </c>
      <c r="O43" s="20">
        <v>2602811918</v>
      </c>
      <c r="P43" s="20">
        <v>1988603216</v>
      </c>
    </row>
    <row r="44" spans="1:16" x14ac:dyDescent="0.3">
      <c r="A44" s="11" t="s">
        <v>2678</v>
      </c>
      <c r="B44" s="11" t="s">
        <v>190</v>
      </c>
      <c r="C44" s="20"/>
      <c r="D44" s="20">
        <v>0</v>
      </c>
      <c r="E44" s="20">
        <v>0</v>
      </c>
      <c r="F44" s="20">
        <v>0</v>
      </c>
      <c r="G44" s="20">
        <v>0</v>
      </c>
      <c r="H44" s="20">
        <v>0</v>
      </c>
      <c r="I44" s="20">
        <v>0</v>
      </c>
      <c r="J44" s="20">
        <v>0</v>
      </c>
      <c r="K44" s="20">
        <v>0</v>
      </c>
      <c r="L44" s="20">
        <v>0</v>
      </c>
      <c r="M44" s="20">
        <v>0</v>
      </c>
      <c r="N44" s="20">
        <v>0</v>
      </c>
      <c r="O44" s="20">
        <v>0</v>
      </c>
      <c r="P44" s="20">
        <v>0</v>
      </c>
    </row>
    <row r="45" spans="1:16" x14ac:dyDescent="0.3">
      <c r="A45" s="11" t="s">
        <v>2679</v>
      </c>
      <c r="B45" s="11" t="s">
        <v>189</v>
      </c>
      <c r="C45" s="20"/>
      <c r="D45" s="20">
        <v>0</v>
      </c>
      <c r="E45" s="20">
        <v>0</v>
      </c>
      <c r="F45" s="20">
        <v>0</v>
      </c>
      <c r="G45" s="20">
        <v>0</v>
      </c>
      <c r="H45" s="20">
        <v>0</v>
      </c>
      <c r="I45" s="20">
        <v>0</v>
      </c>
      <c r="J45" s="20">
        <v>0</v>
      </c>
      <c r="K45" s="20">
        <v>0</v>
      </c>
      <c r="L45" s="20">
        <v>0</v>
      </c>
      <c r="M45" s="20">
        <v>0</v>
      </c>
      <c r="N45" s="20">
        <v>0</v>
      </c>
      <c r="O45" s="20">
        <v>0</v>
      </c>
      <c r="P45" s="20">
        <v>0</v>
      </c>
    </row>
    <row r="46" spans="1:16" x14ac:dyDescent="0.3">
      <c r="A46" s="11" t="s">
        <v>2680</v>
      </c>
      <c r="B46" s="11" t="s">
        <v>188</v>
      </c>
      <c r="C46" s="20"/>
      <c r="D46" s="20">
        <v>212566002</v>
      </c>
      <c r="E46" s="20">
        <v>207977048</v>
      </c>
      <c r="F46" s="20">
        <v>241968333</v>
      </c>
      <c r="G46" s="20">
        <v>268703241</v>
      </c>
      <c r="H46" s="20">
        <v>291187465</v>
      </c>
      <c r="I46" s="20">
        <v>293738632</v>
      </c>
      <c r="J46" s="20">
        <v>300169462</v>
      </c>
      <c r="K46" s="20">
        <v>295216710</v>
      </c>
      <c r="L46" s="20">
        <v>297027068</v>
      </c>
      <c r="M46" s="20">
        <v>296336456</v>
      </c>
      <c r="N46" s="20">
        <v>294532132</v>
      </c>
      <c r="O46" s="20">
        <v>308452522</v>
      </c>
      <c r="P46" s="20">
        <v>325506088</v>
      </c>
    </row>
    <row r="47" spans="1:16" x14ac:dyDescent="0.3">
      <c r="A47" s="11" t="s">
        <v>2681</v>
      </c>
      <c r="B47" s="11" t="s">
        <v>187</v>
      </c>
      <c r="C47" s="20"/>
      <c r="D47" s="20">
        <v>203204879</v>
      </c>
      <c r="E47" s="20">
        <v>196190490</v>
      </c>
      <c r="F47" s="20">
        <v>198605142</v>
      </c>
      <c r="G47" s="20">
        <v>207330645</v>
      </c>
      <c r="H47" s="20">
        <v>205570477</v>
      </c>
      <c r="I47" s="20">
        <v>212981616</v>
      </c>
      <c r="J47" s="20">
        <v>204662071</v>
      </c>
      <c r="K47" s="20">
        <v>210038885</v>
      </c>
      <c r="L47" s="20">
        <v>208513129</v>
      </c>
      <c r="M47" s="20">
        <v>214030684</v>
      </c>
      <c r="N47" s="20">
        <v>201454184</v>
      </c>
      <c r="O47" s="20">
        <v>211203395</v>
      </c>
      <c r="P47" s="20">
        <v>201495525</v>
      </c>
    </row>
    <row r="48" spans="1:16" x14ac:dyDescent="0.3">
      <c r="A48" s="11" t="s">
        <v>2682</v>
      </c>
      <c r="B48" s="11" t="s">
        <v>186</v>
      </c>
      <c r="C48" s="20"/>
      <c r="D48" s="20">
        <v>203204879</v>
      </c>
      <c r="E48" s="20">
        <v>196190490</v>
      </c>
      <c r="F48" s="20">
        <v>198605142</v>
      </c>
      <c r="G48" s="20">
        <v>207330645</v>
      </c>
      <c r="H48" s="20">
        <v>205570477</v>
      </c>
      <c r="I48" s="20">
        <v>212981616</v>
      </c>
      <c r="J48" s="20">
        <v>204662071</v>
      </c>
      <c r="K48" s="20">
        <v>210038885</v>
      </c>
      <c r="L48" s="20">
        <v>208513129</v>
      </c>
      <c r="M48" s="20">
        <v>214030684</v>
      </c>
      <c r="N48" s="20">
        <v>201454184</v>
      </c>
      <c r="O48" s="20">
        <v>211203395</v>
      </c>
      <c r="P48" s="20">
        <v>201495525</v>
      </c>
    </row>
    <row r="49" spans="1:16" x14ac:dyDescent="0.3">
      <c r="A49" s="11" t="s">
        <v>2683</v>
      </c>
      <c r="B49" s="11" t="s">
        <v>185</v>
      </c>
      <c r="C49" s="20"/>
      <c r="D49" s="20">
        <v>0</v>
      </c>
      <c r="E49" s="20">
        <v>0</v>
      </c>
      <c r="F49" s="20">
        <v>0</v>
      </c>
      <c r="G49" s="20">
        <v>0</v>
      </c>
      <c r="H49" s="20">
        <v>0</v>
      </c>
      <c r="I49" s="20">
        <v>0</v>
      </c>
      <c r="J49" s="20">
        <v>0</v>
      </c>
      <c r="K49" s="20">
        <v>0</v>
      </c>
      <c r="L49" s="20">
        <v>0</v>
      </c>
      <c r="M49" s="20">
        <v>0</v>
      </c>
      <c r="N49" s="20">
        <v>0</v>
      </c>
      <c r="O49" s="20">
        <v>0</v>
      </c>
      <c r="P49" s="20">
        <v>0</v>
      </c>
    </row>
    <row r="50" spans="1:16" x14ac:dyDescent="0.3">
      <c r="A50" s="11" t="s">
        <v>2684</v>
      </c>
      <c r="B50" s="11" t="s">
        <v>184</v>
      </c>
      <c r="C50" s="20"/>
      <c r="D50" s="20">
        <v>0</v>
      </c>
      <c r="E50" s="20">
        <v>0</v>
      </c>
      <c r="F50" s="20">
        <v>0</v>
      </c>
      <c r="G50" s="20">
        <v>0</v>
      </c>
      <c r="H50" s="20">
        <v>0</v>
      </c>
      <c r="I50" s="20">
        <v>0</v>
      </c>
      <c r="J50" s="20">
        <v>0</v>
      </c>
      <c r="K50" s="20">
        <v>0</v>
      </c>
      <c r="L50" s="20">
        <v>0</v>
      </c>
      <c r="M50" s="20">
        <v>0</v>
      </c>
      <c r="N50" s="20">
        <v>0</v>
      </c>
      <c r="O50" s="20">
        <v>0</v>
      </c>
      <c r="P50" s="20">
        <v>0</v>
      </c>
    </row>
    <row r="51" spans="1:16" x14ac:dyDescent="0.3">
      <c r="A51" s="11" t="s">
        <v>2685</v>
      </c>
      <c r="B51" s="11" t="s">
        <v>183</v>
      </c>
      <c r="C51" s="20"/>
      <c r="D51" s="20">
        <v>0</v>
      </c>
      <c r="E51" s="20">
        <v>0</v>
      </c>
      <c r="F51" s="20">
        <v>0</v>
      </c>
      <c r="G51" s="20">
        <v>0</v>
      </c>
      <c r="H51" s="20">
        <v>0</v>
      </c>
      <c r="I51" s="20">
        <v>0</v>
      </c>
      <c r="J51" s="20">
        <v>0</v>
      </c>
      <c r="K51" s="20">
        <v>0</v>
      </c>
      <c r="L51" s="20">
        <v>0</v>
      </c>
      <c r="M51" s="20">
        <v>0</v>
      </c>
      <c r="N51" s="20">
        <v>0</v>
      </c>
      <c r="O51" s="20">
        <v>0</v>
      </c>
      <c r="P51" s="20">
        <v>0</v>
      </c>
    </row>
    <row r="52" spans="1:16" x14ac:dyDescent="0.3">
      <c r="A52" s="11" t="s">
        <v>2686</v>
      </c>
      <c r="B52" s="11" t="s">
        <v>182</v>
      </c>
      <c r="C52" s="20"/>
      <c r="D52" s="20">
        <v>0</v>
      </c>
      <c r="E52" s="20">
        <v>0</v>
      </c>
      <c r="F52" s="20">
        <v>0</v>
      </c>
      <c r="G52" s="20">
        <v>0</v>
      </c>
      <c r="H52" s="20">
        <v>0</v>
      </c>
      <c r="I52" s="20">
        <v>0</v>
      </c>
      <c r="J52" s="20">
        <v>0</v>
      </c>
      <c r="K52" s="20">
        <v>0</v>
      </c>
      <c r="L52" s="20">
        <v>0</v>
      </c>
      <c r="M52" s="20">
        <v>0</v>
      </c>
      <c r="N52" s="20">
        <v>0</v>
      </c>
      <c r="O52" s="20">
        <v>0</v>
      </c>
      <c r="P52" s="20">
        <v>0</v>
      </c>
    </row>
    <row r="53" spans="1:16" x14ac:dyDescent="0.3">
      <c r="A53" s="11" t="s">
        <v>2687</v>
      </c>
      <c r="B53" s="11" t="s">
        <v>181</v>
      </c>
      <c r="C53" s="20"/>
      <c r="D53" s="20">
        <v>0</v>
      </c>
      <c r="E53" s="20">
        <v>0</v>
      </c>
      <c r="F53" s="20">
        <v>0</v>
      </c>
      <c r="G53" s="20">
        <v>0</v>
      </c>
      <c r="H53" s="20">
        <v>0</v>
      </c>
      <c r="I53" s="20">
        <v>0</v>
      </c>
      <c r="J53" s="20">
        <v>0</v>
      </c>
      <c r="K53" s="20">
        <v>0</v>
      </c>
      <c r="L53" s="20">
        <v>0</v>
      </c>
      <c r="M53" s="20">
        <v>0</v>
      </c>
      <c r="N53" s="20">
        <v>0</v>
      </c>
      <c r="O53" s="20">
        <v>0</v>
      </c>
      <c r="P53" s="20">
        <v>0</v>
      </c>
    </row>
    <row r="54" spans="1:16" x14ac:dyDescent="0.3">
      <c r="A54" s="11" t="s">
        <v>2688</v>
      </c>
      <c r="B54" s="11" t="s">
        <v>180</v>
      </c>
      <c r="C54" s="20"/>
      <c r="D54" s="20">
        <v>168963266230</v>
      </c>
      <c r="E54" s="20">
        <v>171045216287</v>
      </c>
      <c r="F54" s="20">
        <v>170563998494</v>
      </c>
      <c r="G54" s="20">
        <v>172595554490</v>
      </c>
      <c r="H54" s="20">
        <v>172564944482</v>
      </c>
      <c r="I54" s="20">
        <v>174621744580</v>
      </c>
      <c r="J54" s="20">
        <v>174901814413</v>
      </c>
      <c r="K54" s="20">
        <v>175084923219</v>
      </c>
      <c r="L54" s="20">
        <v>176832553082</v>
      </c>
      <c r="M54" s="20">
        <v>178965135144</v>
      </c>
      <c r="N54" s="20">
        <v>178712142856</v>
      </c>
      <c r="O54" s="20">
        <v>179452909018</v>
      </c>
      <c r="P54" s="20">
        <v>181684785532</v>
      </c>
    </row>
    <row r="55" spans="1:16" x14ac:dyDescent="0.3">
      <c r="A55" s="11" t="s">
        <v>2689</v>
      </c>
      <c r="B55" s="11" t="s">
        <v>179</v>
      </c>
      <c r="C55" s="20"/>
      <c r="D55" s="20">
        <v>483471127</v>
      </c>
      <c r="E55" s="20">
        <v>492752213</v>
      </c>
      <c r="F55" s="20">
        <v>511193708</v>
      </c>
      <c r="G55" s="20">
        <v>523320043</v>
      </c>
      <c r="H55" s="20">
        <v>529186706</v>
      </c>
      <c r="I55" s="20">
        <v>541837849</v>
      </c>
      <c r="J55" s="20">
        <v>557535486</v>
      </c>
      <c r="K55" s="20">
        <v>571584925</v>
      </c>
      <c r="L55" s="20">
        <v>582880319</v>
      </c>
      <c r="M55" s="20">
        <v>595506955</v>
      </c>
      <c r="N55" s="20">
        <v>632463301</v>
      </c>
      <c r="O55" s="20">
        <v>641240537</v>
      </c>
      <c r="P55" s="20">
        <v>652196099</v>
      </c>
    </row>
    <row r="56" spans="1:16" x14ac:dyDescent="0.3">
      <c r="A56" s="11" t="s">
        <v>2690</v>
      </c>
      <c r="B56" s="11" t="s">
        <v>232</v>
      </c>
      <c r="C56" s="20"/>
      <c r="D56" s="20">
        <v>-3282248974</v>
      </c>
      <c r="E56" s="20">
        <v>-3301137603</v>
      </c>
      <c r="F56" s="20">
        <v>-3330747954</v>
      </c>
      <c r="G56" s="20">
        <v>-3338355511</v>
      </c>
      <c r="H56" s="20">
        <v>-3409926735</v>
      </c>
      <c r="I56" s="20">
        <v>-3481868979</v>
      </c>
      <c r="J56" s="20">
        <v>-3497782296</v>
      </c>
      <c r="K56" s="20">
        <v>-3569768605</v>
      </c>
      <c r="L56" s="20">
        <v>-3572405754</v>
      </c>
      <c r="M56" s="20">
        <v>-3593277576</v>
      </c>
      <c r="N56" s="20">
        <v>-3695990695</v>
      </c>
      <c r="O56" s="20">
        <v>-3734131136</v>
      </c>
      <c r="P56" s="20">
        <v>-3615276737</v>
      </c>
    </row>
    <row r="57" spans="1:16" x14ac:dyDescent="0.3">
      <c r="A57" s="11" t="s">
        <v>2691</v>
      </c>
      <c r="B57" s="11" t="s">
        <v>177</v>
      </c>
      <c r="C57" s="20"/>
      <c r="D57" s="20">
        <v>166164488383</v>
      </c>
      <c r="E57" s="20">
        <v>168236830897</v>
      </c>
      <c r="F57" s="20">
        <v>167744444248</v>
      </c>
      <c r="G57" s="20">
        <v>169780519022</v>
      </c>
      <c r="H57" s="20">
        <v>169684204453</v>
      </c>
      <c r="I57" s="20">
        <v>171681713450</v>
      </c>
      <c r="J57" s="20">
        <v>171961567603</v>
      </c>
      <c r="K57" s="20">
        <v>172086739539</v>
      </c>
      <c r="L57" s="20">
        <v>173843027647</v>
      </c>
      <c r="M57" s="20">
        <v>175967364523</v>
      </c>
      <c r="N57" s="20">
        <v>175648615462</v>
      </c>
      <c r="O57" s="20">
        <v>176360018419</v>
      </c>
      <c r="P57" s="20">
        <v>178721704894</v>
      </c>
    </row>
    <row r="58" spans="1:16" x14ac:dyDescent="0.3">
      <c r="A58" s="11" t="s">
        <v>2692</v>
      </c>
      <c r="B58" s="11" t="s">
        <v>175</v>
      </c>
      <c r="C58" s="20"/>
      <c r="D58" s="20">
        <v>0</v>
      </c>
      <c r="E58" s="20">
        <v>0</v>
      </c>
      <c r="F58" s="20">
        <v>0</v>
      </c>
      <c r="G58" s="20">
        <v>0</v>
      </c>
      <c r="H58" s="20">
        <v>0</v>
      </c>
      <c r="I58" s="20">
        <v>0</v>
      </c>
      <c r="J58" s="20">
        <v>0</v>
      </c>
      <c r="K58" s="20">
        <v>0</v>
      </c>
      <c r="L58" s="20">
        <v>0</v>
      </c>
      <c r="M58" s="20">
        <v>0</v>
      </c>
      <c r="N58" s="20">
        <v>0</v>
      </c>
      <c r="O58" s="20">
        <v>0</v>
      </c>
      <c r="P58" s="20">
        <v>0</v>
      </c>
    </row>
    <row r="59" spans="1:16" x14ac:dyDescent="0.3">
      <c r="A59" s="11" t="s">
        <v>2693</v>
      </c>
      <c r="B59" s="11" t="s">
        <v>231</v>
      </c>
      <c r="C59" s="20"/>
      <c r="D59" s="20">
        <v>40123379</v>
      </c>
      <c r="E59" s="20">
        <v>39634654</v>
      </c>
      <c r="F59" s="20">
        <v>39477872</v>
      </c>
      <c r="G59" s="20">
        <v>39198913</v>
      </c>
      <c r="H59" s="20">
        <v>38983420</v>
      </c>
      <c r="I59" s="20">
        <v>38743533</v>
      </c>
      <c r="J59" s="20">
        <v>38478626</v>
      </c>
      <c r="K59" s="20">
        <v>38220248</v>
      </c>
      <c r="L59" s="20">
        <v>37986831</v>
      </c>
      <c r="M59" s="20">
        <v>37583652</v>
      </c>
      <c r="N59" s="20">
        <v>37085618</v>
      </c>
      <c r="O59" s="20">
        <v>36569652</v>
      </c>
      <c r="P59" s="20">
        <v>35995721</v>
      </c>
    </row>
    <row r="60" spans="1:16" x14ac:dyDescent="0.3">
      <c r="A60" s="11" t="s">
        <v>2694</v>
      </c>
      <c r="B60" s="11" t="s">
        <v>230</v>
      </c>
      <c r="C60" s="20"/>
      <c r="D60" s="20">
        <v>166204611762</v>
      </c>
      <c r="E60" s="20">
        <v>168276465551</v>
      </c>
      <c r="F60" s="20">
        <v>167783922120</v>
      </c>
      <c r="G60" s="20">
        <v>169819717935</v>
      </c>
      <c r="H60" s="20">
        <v>169723187873</v>
      </c>
      <c r="I60" s="20">
        <v>171720456983</v>
      </c>
      <c r="J60" s="20">
        <v>172000046229</v>
      </c>
      <c r="K60" s="20">
        <v>172124959787</v>
      </c>
      <c r="L60" s="20">
        <v>173881014478</v>
      </c>
      <c r="M60" s="20">
        <v>176004948175</v>
      </c>
      <c r="N60" s="20">
        <v>176262576019</v>
      </c>
      <c r="O60" s="20">
        <v>176396588071</v>
      </c>
      <c r="P60" s="20">
        <v>178757700615</v>
      </c>
    </row>
    <row r="61" spans="1:16" x14ac:dyDescent="0.3">
      <c r="A61" s="11" t="s">
        <v>2695</v>
      </c>
      <c r="B61" s="11" t="s">
        <v>173</v>
      </c>
      <c r="C61" s="20"/>
      <c r="D61" s="20">
        <v>0</v>
      </c>
      <c r="E61" s="20">
        <v>0</v>
      </c>
      <c r="F61" s="20">
        <v>0</v>
      </c>
      <c r="G61" s="20">
        <v>0</v>
      </c>
      <c r="H61" s="20">
        <v>0</v>
      </c>
      <c r="I61" s="20">
        <v>0</v>
      </c>
      <c r="J61" s="20">
        <v>0</v>
      </c>
      <c r="K61" s="20">
        <v>0</v>
      </c>
      <c r="L61" s="20">
        <v>0</v>
      </c>
      <c r="M61" s="20">
        <v>0</v>
      </c>
      <c r="N61" s="20">
        <v>0</v>
      </c>
      <c r="O61" s="20">
        <v>0</v>
      </c>
      <c r="P61" s="20">
        <v>0</v>
      </c>
    </row>
    <row r="62" spans="1:16" x14ac:dyDescent="0.3">
      <c r="A62" s="11" t="s">
        <v>2696</v>
      </c>
      <c r="B62" s="11" t="s">
        <v>172</v>
      </c>
      <c r="C62" s="20"/>
      <c r="D62" s="20">
        <v>0</v>
      </c>
      <c r="E62" s="20">
        <v>0</v>
      </c>
      <c r="F62" s="20">
        <v>0</v>
      </c>
      <c r="G62" s="20">
        <v>0</v>
      </c>
      <c r="H62" s="20">
        <v>0</v>
      </c>
      <c r="I62" s="20">
        <v>0</v>
      </c>
      <c r="J62" s="20">
        <v>0</v>
      </c>
      <c r="K62" s="20">
        <v>0</v>
      </c>
      <c r="L62" s="20">
        <v>0</v>
      </c>
      <c r="M62" s="20">
        <v>0</v>
      </c>
      <c r="N62" s="20">
        <v>0</v>
      </c>
      <c r="O62" s="20">
        <v>0</v>
      </c>
      <c r="P62" s="20">
        <v>0</v>
      </c>
    </row>
    <row r="63" spans="1:16" x14ac:dyDescent="0.3">
      <c r="A63" s="11" t="s">
        <v>2697</v>
      </c>
      <c r="B63" s="11" t="s">
        <v>171</v>
      </c>
      <c r="C63" s="20"/>
      <c r="D63" s="20">
        <v>4925318365</v>
      </c>
      <c r="E63" s="20">
        <v>6310320137</v>
      </c>
      <c r="F63" s="20">
        <v>10324032598</v>
      </c>
      <c r="G63" s="20">
        <v>6547660783</v>
      </c>
      <c r="H63" s="20">
        <v>5453034350</v>
      </c>
      <c r="I63" s="20">
        <v>5786105522</v>
      </c>
      <c r="J63" s="20">
        <v>4356003713</v>
      </c>
      <c r="K63" s="20">
        <v>3735248847</v>
      </c>
      <c r="L63" s="20">
        <v>3841490167</v>
      </c>
      <c r="M63" s="20">
        <v>3347875068</v>
      </c>
      <c r="N63" s="20">
        <v>4242292002</v>
      </c>
      <c r="O63" s="20">
        <v>4485410298</v>
      </c>
      <c r="P63" s="20">
        <v>2599568735</v>
      </c>
    </row>
    <row r="64" spans="1:16" x14ac:dyDescent="0.3">
      <c r="A64" s="11" t="s">
        <v>2698</v>
      </c>
      <c r="B64" s="11" t="s">
        <v>170</v>
      </c>
      <c r="C64" s="20"/>
      <c r="D64" s="20">
        <v>1788249142</v>
      </c>
      <c r="E64" s="20">
        <v>1769895992</v>
      </c>
      <c r="F64" s="20">
        <v>1915759051</v>
      </c>
      <c r="G64" s="20">
        <v>1903453606</v>
      </c>
      <c r="H64" s="20">
        <v>1928266968</v>
      </c>
      <c r="I64" s="20">
        <v>1846111708</v>
      </c>
      <c r="J64" s="20">
        <v>1850842914</v>
      </c>
      <c r="K64" s="20">
        <v>1826286465</v>
      </c>
      <c r="L64" s="20">
        <v>1831000408</v>
      </c>
      <c r="M64" s="20">
        <v>1866860449</v>
      </c>
      <c r="N64" s="20">
        <v>1850637241</v>
      </c>
      <c r="O64" s="20">
        <v>1834995596</v>
      </c>
      <c r="P64" s="20">
        <v>2009041574</v>
      </c>
    </row>
    <row r="65" spans="1:16" x14ac:dyDescent="0.3">
      <c r="A65" s="11" t="s">
        <v>2699</v>
      </c>
      <c r="B65" s="11" t="s">
        <v>169</v>
      </c>
      <c r="C65" s="20"/>
      <c r="D65" s="20">
        <v>0</v>
      </c>
      <c r="E65" s="20">
        <v>0</v>
      </c>
      <c r="F65" s="20">
        <v>0</v>
      </c>
      <c r="G65" s="20">
        <v>0</v>
      </c>
      <c r="H65" s="20">
        <v>0</v>
      </c>
      <c r="I65" s="20">
        <v>0</v>
      </c>
      <c r="J65" s="20">
        <v>0</v>
      </c>
      <c r="K65" s="20">
        <v>0</v>
      </c>
      <c r="L65" s="20">
        <v>0</v>
      </c>
      <c r="M65" s="20">
        <v>0</v>
      </c>
      <c r="N65" s="20">
        <v>0</v>
      </c>
      <c r="O65" s="20">
        <v>0</v>
      </c>
      <c r="P65" s="20">
        <v>0</v>
      </c>
    </row>
    <row r="66" spans="1:16" x14ac:dyDescent="0.3">
      <c r="A66" s="11" t="s">
        <v>2700</v>
      </c>
      <c r="B66" s="11" t="s">
        <v>168</v>
      </c>
      <c r="C66" s="20"/>
      <c r="D66" s="20">
        <v>490745032</v>
      </c>
      <c r="E66" s="20">
        <v>523722316</v>
      </c>
      <c r="F66" s="20">
        <v>482551192</v>
      </c>
      <c r="G66" s="20">
        <v>557326087</v>
      </c>
      <c r="H66" s="20">
        <v>551653495</v>
      </c>
      <c r="I66" s="20">
        <v>567371822</v>
      </c>
      <c r="J66" s="20">
        <v>562840593</v>
      </c>
      <c r="K66" s="20">
        <v>545923197</v>
      </c>
      <c r="L66" s="20">
        <v>497039055</v>
      </c>
      <c r="M66" s="20">
        <v>447090411</v>
      </c>
      <c r="N66" s="20">
        <v>430788451</v>
      </c>
      <c r="O66" s="20">
        <v>438736869</v>
      </c>
      <c r="P66" s="20">
        <v>395359921</v>
      </c>
    </row>
    <row r="67" spans="1:16" x14ac:dyDescent="0.3">
      <c r="A67" s="11" t="s">
        <v>2701</v>
      </c>
      <c r="B67" s="11" t="s">
        <v>228</v>
      </c>
      <c r="C67" s="20"/>
      <c r="D67" s="20">
        <v>810650415</v>
      </c>
      <c r="E67" s="20">
        <v>813374969</v>
      </c>
      <c r="F67" s="20">
        <v>803999394</v>
      </c>
      <c r="G67" s="20">
        <v>797616555</v>
      </c>
      <c r="H67" s="20">
        <v>796286670</v>
      </c>
      <c r="I67" s="20">
        <v>793062427</v>
      </c>
      <c r="J67" s="20">
        <v>788769626</v>
      </c>
      <c r="K67" s="20">
        <v>789409081</v>
      </c>
      <c r="L67" s="20">
        <v>781783227</v>
      </c>
      <c r="M67" s="20">
        <v>774013156</v>
      </c>
      <c r="N67" s="20">
        <v>779480579</v>
      </c>
      <c r="O67" s="20">
        <v>774520592</v>
      </c>
      <c r="P67" s="20">
        <v>828189264</v>
      </c>
    </row>
    <row r="68" spans="1:16" x14ac:dyDescent="0.3">
      <c r="A68" s="11" t="s">
        <v>2702</v>
      </c>
      <c r="B68" s="11" t="s">
        <v>165</v>
      </c>
      <c r="C68" s="20"/>
      <c r="D68" s="20">
        <v>2490942170</v>
      </c>
      <c r="E68" s="20">
        <v>2660701613</v>
      </c>
      <c r="F68" s="20">
        <v>2917649860</v>
      </c>
      <c r="G68" s="20">
        <v>2887495258</v>
      </c>
      <c r="H68" s="20">
        <v>2951678539</v>
      </c>
      <c r="I68" s="20">
        <v>2919566572</v>
      </c>
      <c r="J68" s="20">
        <v>2862943482</v>
      </c>
      <c r="K68" s="20">
        <v>2924238907</v>
      </c>
      <c r="L68" s="20">
        <v>2870300234</v>
      </c>
      <c r="M68" s="20">
        <v>2833789389</v>
      </c>
      <c r="N68" s="20">
        <v>2802552850</v>
      </c>
      <c r="O68" s="20">
        <v>2752266308</v>
      </c>
      <c r="P68" s="20">
        <v>2794911192</v>
      </c>
    </row>
    <row r="69" spans="1:16" x14ac:dyDescent="0.3">
      <c r="A69" s="11" t="s">
        <v>2703</v>
      </c>
      <c r="B69" s="11" t="s">
        <v>164</v>
      </c>
      <c r="C69" s="20"/>
      <c r="D69" s="20">
        <v>5839401425</v>
      </c>
      <c r="E69" s="20">
        <v>6171441326</v>
      </c>
      <c r="F69" s="20">
        <v>6248918484</v>
      </c>
      <c r="G69" s="20">
        <v>6378522676</v>
      </c>
      <c r="H69" s="20">
        <v>6490069912</v>
      </c>
      <c r="I69" s="20">
        <v>6615273579</v>
      </c>
      <c r="J69" s="20">
        <v>6714173546</v>
      </c>
      <c r="K69" s="20">
        <v>6818427603</v>
      </c>
      <c r="L69" s="20">
        <v>6908325933</v>
      </c>
      <c r="M69" s="20">
        <v>7042784380</v>
      </c>
      <c r="N69" s="20">
        <v>7158744483</v>
      </c>
      <c r="O69" s="20">
        <v>7254006611</v>
      </c>
      <c r="P69" s="20">
        <v>7355921602</v>
      </c>
    </row>
    <row r="70" spans="1:16" x14ac:dyDescent="0.3">
      <c r="A70" s="11" t="s">
        <v>2704</v>
      </c>
      <c r="B70" s="11" t="s">
        <v>163</v>
      </c>
      <c r="C70" s="20"/>
      <c r="D70" s="20">
        <v>629466295</v>
      </c>
      <c r="E70" s="20">
        <v>624628481</v>
      </c>
      <c r="F70" s="20">
        <v>640311354</v>
      </c>
      <c r="G70" s="20">
        <v>612727988</v>
      </c>
      <c r="H70" s="20">
        <v>568175276</v>
      </c>
      <c r="I70" s="20">
        <v>597262516</v>
      </c>
      <c r="J70" s="20">
        <v>612761934</v>
      </c>
      <c r="K70" s="20">
        <v>656268888</v>
      </c>
      <c r="L70" s="20">
        <v>606105148</v>
      </c>
      <c r="M70" s="20">
        <v>610455959</v>
      </c>
      <c r="N70" s="20">
        <v>633969557</v>
      </c>
      <c r="O70" s="20">
        <v>703976762</v>
      </c>
      <c r="P70" s="20">
        <v>702282165</v>
      </c>
    </row>
    <row r="71" spans="1:16" x14ac:dyDescent="0.3">
      <c r="A71" s="11" t="s">
        <v>2705</v>
      </c>
      <c r="B71" s="11" t="s">
        <v>162</v>
      </c>
      <c r="C71" s="20"/>
      <c r="D71" s="20">
        <v>2613132049</v>
      </c>
      <c r="E71" s="20">
        <v>2654298647</v>
      </c>
      <c r="F71" s="20">
        <v>2693547159</v>
      </c>
      <c r="G71" s="20">
        <v>2738922359</v>
      </c>
      <c r="H71" s="20">
        <v>2776210928</v>
      </c>
      <c r="I71" s="20">
        <v>2819555391</v>
      </c>
      <c r="J71" s="20">
        <v>2861700238</v>
      </c>
      <c r="K71" s="20">
        <v>2899937668</v>
      </c>
      <c r="L71" s="20">
        <v>2936157545</v>
      </c>
      <c r="M71" s="20">
        <v>2947768243</v>
      </c>
      <c r="N71" s="20">
        <v>2953659570</v>
      </c>
      <c r="O71" s="20">
        <v>2960954893</v>
      </c>
      <c r="P71" s="20">
        <v>2963143246</v>
      </c>
    </row>
    <row r="72" spans="1:16" x14ac:dyDescent="0.3">
      <c r="A72" s="11" t="s">
        <v>2706</v>
      </c>
      <c r="B72" s="11" t="s">
        <v>161</v>
      </c>
      <c r="C72" s="20"/>
      <c r="D72" s="20">
        <v>0</v>
      </c>
      <c r="E72" s="20">
        <v>0</v>
      </c>
      <c r="F72" s="20">
        <v>0</v>
      </c>
      <c r="G72" s="20">
        <v>0</v>
      </c>
      <c r="H72" s="20">
        <v>0</v>
      </c>
      <c r="I72" s="20">
        <v>0</v>
      </c>
      <c r="J72" s="20">
        <v>0</v>
      </c>
      <c r="K72" s="20">
        <v>0</v>
      </c>
      <c r="L72" s="20">
        <v>0</v>
      </c>
      <c r="M72" s="20">
        <v>0</v>
      </c>
      <c r="N72" s="20">
        <v>0</v>
      </c>
      <c r="O72" s="20">
        <v>0</v>
      </c>
      <c r="P72" s="20">
        <v>0</v>
      </c>
    </row>
    <row r="73" spans="1:16" x14ac:dyDescent="0.3">
      <c r="A73" s="11" t="s">
        <v>2707</v>
      </c>
      <c r="B73" s="11" t="s">
        <v>160</v>
      </c>
      <c r="C73" s="20"/>
      <c r="D73" s="20">
        <v>0</v>
      </c>
      <c r="E73" s="20">
        <v>0</v>
      </c>
      <c r="F73" s="20">
        <v>0</v>
      </c>
      <c r="G73" s="20">
        <v>0</v>
      </c>
      <c r="H73" s="20">
        <v>0</v>
      </c>
      <c r="I73" s="20">
        <v>0</v>
      </c>
      <c r="J73" s="20">
        <v>0</v>
      </c>
      <c r="K73" s="20">
        <v>0</v>
      </c>
      <c r="L73" s="20">
        <v>0</v>
      </c>
      <c r="M73" s="20">
        <v>0</v>
      </c>
      <c r="N73" s="20">
        <v>0</v>
      </c>
      <c r="O73" s="20">
        <v>0</v>
      </c>
      <c r="P73" s="20">
        <v>0</v>
      </c>
    </row>
    <row r="74" spans="1:16" x14ac:dyDescent="0.3">
      <c r="A74" s="11" t="s">
        <v>2708</v>
      </c>
      <c r="B74" s="11" t="s">
        <v>159</v>
      </c>
      <c r="C74" s="20"/>
      <c r="D74" s="20">
        <v>212846698277</v>
      </c>
      <c r="E74" s="20">
        <v>214370841006</v>
      </c>
      <c r="F74" s="20">
        <v>220250200312</v>
      </c>
      <c r="G74" s="20">
        <v>219008012593</v>
      </c>
      <c r="H74" s="20">
        <v>221630677540</v>
      </c>
      <c r="I74" s="20">
        <v>227274101672</v>
      </c>
      <c r="J74" s="20">
        <v>226257999048</v>
      </c>
      <c r="K74" s="20">
        <v>224262964587</v>
      </c>
      <c r="L74" s="20">
        <v>227498410973</v>
      </c>
      <c r="M74" s="20">
        <v>232517682142</v>
      </c>
      <c r="N74" s="20">
        <v>233683594859</v>
      </c>
      <c r="O74" s="20">
        <v>238273743756</v>
      </c>
      <c r="P74" s="20">
        <v>238606770143</v>
      </c>
    </row>
    <row r="75" spans="1:16" x14ac:dyDescent="0.3">
      <c r="A75" s="11" t="s">
        <v>2709</v>
      </c>
      <c r="B75" s="11" t="s">
        <v>227</v>
      </c>
      <c r="C75" s="20"/>
      <c r="D75" s="20">
        <v>169572808796</v>
      </c>
      <c r="E75" s="20">
        <v>178851082738</v>
      </c>
      <c r="F75" s="20">
        <v>171137899594</v>
      </c>
      <c r="G75" s="20">
        <v>178039933572</v>
      </c>
      <c r="H75" s="20">
        <v>177087814317</v>
      </c>
      <c r="I75" s="20">
        <v>182539472228</v>
      </c>
      <c r="J75" s="20">
        <v>175945550570</v>
      </c>
      <c r="K75" s="20">
        <v>180891189148</v>
      </c>
      <c r="L75" s="20">
        <v>178726728304</v>
      </c>
      <c r="M75" s="20">
        <v>184680220882</v>
      </c>
      <c r="N75" s="20">
        <v>180221870754</v>
      </c>
      <c r="O75" s="20">
        <v>184588335923</v>
      </c>
      <c r="P75" s="20">
        <v>192003078333</v>
      </c>
    </row>
    <row r="76" spans="1:16" x14ac:dyDescent="0.3">
      <c r="A76" s="11" t="s">
        <v>2710</v>
      </c>
      <c r="B76" s="11" t="s">
        <v>157</v>
      </c>
      <c r="C76" s="20"/>
      <c r="D76" s="20">
        <v>76710340625</v>
      </c>
      <c r="E76" s="20">
        <v>78561611368</v>
      </c>
      <c r="F76" s="20">
        <v>79603583951</v>
      </c>
      <c r="G76" s="20">
        <v>80051727809</v>
      </c>
      <c r="H76" s="20">
        <v>81016739221</v>
      </c>
      <c r="I76" s="20">
        <v>78858954494</v>
      </c>
      <c r="J76" s="20">
        <v>82364349219</v>
      </c>
      <c r="K76" s="20">
        <v>82290632851</v>
      </c>
      <c r="L76" s="20">
        <v>83780202793</v>
      </c>
      <c r="M76" s="20">
        <v>81725739957</v>
      </c>
      <c r="N76" s="20">
        <v>85073354666</v>
      </c>
      <c r="O76" s="20">
        <v>86571273814</v>
      </c>
      <c r="P76" s="20">
        <v>87198510722</v>
      </c>
    </row>
    <row r="77" spans="1:16" x14ac:dyDescent="0.3">
      <c r="A77" s="11" t="s">
        <v>2711</v>
      </c>
      <c r="B77" s="11" t="s">
        <v>156</v>
      </c>
      <c r="C77" s="20"/>
      <c r="D77" s="20">
        <v>92823473028</v>
      </c>
      <c r="E77" s="20">
        <v>100247662322</v>
      </c>
      <c r="F77" s="20">
        <v>91491546389</v>
      </c>
      <c r="G77" s="20">
        <v>97947445477</v>
      </c>
      <c r="H77" s="20">
        <v>96017144422</v>
      </c>
      <c r="I77" s="20">
        <v>103621887881</v>
      </c>
      <c r="J77" s="20">
        <v>93522673933</v>
      </c>
      <c r="K77" s="20">
        <v>98535088148</v>
      </c>
      <c r="L77" s="20">
        <v>94890914527</v>
      </c>
      <c r="M77" s="20">
        <v>102897114189</v>
      </c>
      <c r="N77" s="20">
        <v>95090071861</v>
      </c>
      <c r="O77" s="20">
        <v>97958389836</v>
      </c>
      <c r="P77" s="20">
        <v>104744965948</v>
      </c>
    </row>
    <row r="78" spans="1:16" x14ac:dyDescent="0.3">
      <c r="A78" s="11" t="s">
        <v>2712</v>
      </c>
      <c r="B78" s="11" t="s">
        <v>226</v>
      </c>
      <c r="C78" s="20"/>
      <c r="D78" s="20">
        <v>91753131990</v>
      </c>
      <c r="E78" s="20">
        <v>99167735223</v>
      </c>
      <c r="F78" s="20">
        <v>90402960912</v>
      </c>
      <c r="G78" s="20">
        <v>96849273939</v>
      </c>
      <c r="H78" s="20">
        <v>94909696051</v>
      </c>
      <c r="I78" s="20">
        <v>102511602052</v>
      </c>
      <c r="J78" s="20">
        <v>92403558937</v>
      </c>
      <c r="K78" s="20">
        <v>97684818429</v>
      </c>
      <c r="L78" s="20">
        <v>93729968710</v>
      </c>
      <c r="M78" s="20">
        <v>101728050456</v>
      </c>
      <c r="N78" s="20">
        <v>93164956281</v>
      </c>
      <c r="O78" s="20">
        <v>95796700507</v>
      </c>
      <c r="P78" s="20">
        <v>102569276675</v>
      </c>
    </row>
    <row r="79" spans="1:16" x14ac:dyDescent="0.3">
      <c r="A79" s="11" t="s">
        <v>2713</v>
      </c>
      <c r="B79" s="11" t="s">
        <v>225</v>
      </c>
      <c r="C79" s="20"/>
      <c r="D79" s="20">
        <v>1070341038</v>
      </c>
      <c r="E79" s="20">
        <v>1079927099</v>
      </c>
      <c r="F79" s="20">
        <v>1088585477</v>
      </c>
      <c r="G79" s="20">
        <v>1098171538</v>
      </c>
      <c r="H79" s="20">
        <v>1107448371</v>
      </c>
      <c r="I79" s="20">
        <v>1110285829</v>
      </c>
      <c r="J79" s="20">
        <v>1119114996</v>
      </c>
      <c r="K79" s="20">
        <v>850269719</v>
      </c>
      <c r="L79" s="20">
        <v>1160945817</v>
      </c>
      <c r="M79" s="20">
        <v>1169063733</v>
      </c>
      <c r="N79" s="20">
        <v>1925115580</v>
      </c>
      <c r="O79" s="20">
        <v>2161689329</v>
      </c>
      <c r="P79" s="20">
        <v>2175689273</v>
      </c>
    </row>
    <row r="80" spans="1:16" x14ac:dyDescent="0.3">
      <c r="A80" s="11" t="s">
        <v>2714</v>
      </c>
      <c r="B80" s="11" t="s">
        <v>224</v>
      </c>
      <c r="C80" s="20"/>
      <c r="D80" s="20">
        <v>0</v>
      </c>
      <c r="E80" s="20">
        <v>0</v>
      </c>
      <c r="F80" s="20">
        <v>0</v>
      </c>
      <c r="G80" s="20">
        <v>0</v>
      </c>
      <c r="H80" s="20">
        <v>0</v>
      </c>
      <c r="I80" s="20">
        <v>0</v>
      </c>
      <c r="J80" s="20">
        <v>0</v>
      </c>
      <c r="K80" s="20">
        <v>0</v>
      </c>
      <c r="L80" s="20">
        <v>0</v>
      </c>
      <c r="M80" s="20">
        <v>0</v>
      </c>
      <c r="N80" s="20">
        <v>0</v>
      </c>
      <c r="O80" s="20">
        <v>0</v>
      </c>
      <c r="P80" s="20">
        <v>0</v>
      </c>
    </row>
    <row r="81" spans="1:16" x14ac:dyDescent="0.3">
      <c r="A81" s="11" t="s">
        <v>2715</v>
      </c>
      <c r="B81" s="11" t="s">
        <v>223</v>
      </c>
      <c r="C81" s="20"/>
      <c r="D81" s="20">
        <v>38995143</v>
      </c>
      <c r="E81" s="20">
        <v>41809048</v>
      </c>
      <c r="F81" s="20">
        <v>42769254</v>
      </c>
      <c r="G81" s="20">
        <v>40760286</v>
      </c>
      <c r="H81" s="20">
        <v>53930674</v>
      </c>
      <c r="I81" s="20">
        <v>58629853</v>
      </c>
      <c r="J81" s="20">
        <v>58527418</v>
      </c>
      <c r="K81" s="20">
        <v>65468149</v>
      </c>
      <c r="L81" s="20">
        <v>55610984</v>
      </c>
      <c r="M81" s="20">
        <v>57366736</v>
      </c>
      <c r="N81" s="20">
        <v>58444227</v>
      </c>
      <c r="O81" s="20">
        <v>58672273</v>
      </c>
      <c r="P81" s="20">
        <v>59601663</v>
      </c>
    </row>
    <row r="82" spans="1:16" x14ac:dyDescent="0.3">
      <c r="A82" s="11" t="s">
        <v>2716</v>
      </c>
      <c r="B82" s="11" t="s">
        <v>151</v>
      </c>
      <c r="C82" s="20"/>
      <c r="D82" s="20">
        <v>3646512166</v>
      </c>
      <c r="E82" s="20">
        <v>3451888428</v>
      </c>
      <c r="F82" s="20">
        <v>3357891470</v>
      </c>
      <c r="G82" s="20">
        <v>3220296156</v>
      </c>
      <c r="H82" s="20">
        <v>3338660609</v>
      </c>
      <c r="I82" s="20">
        <v>3380104195</v>
      </c>
      <c r="J82" s="20">
        <v>3378597891</v>
      </c>
      <c r="K82" s="20">
        <v>3433578982</v>
      </c>
      <c r="L82" s="20">
        <v>3470981304</v>
      </c>
      <c r="M82" s="20">
        <v>3465636025</v>
      </c>
      <c r="N82" s="20">
        <v>3443935970</v>
      </c>
      <c r="O82" s="20">
        <v>3440893709</v>
      </c>
      <c r="P82" s="20">
        <v>3457587757</v>
      </c>
    </row>
    <row r="83" spans="1:16" x14ac:dyDescent="0.3">
      <c r="A83" s="11" t="s">
        <v>2717</v>
      </c>
      <c r="B83" s="11" t="s">
        <v>222</v>
      </c>
      <c r="C83" s="20"/>
      <c r="D83" s="20">
        <v>0</v>
      </c>
      <c r="E83" s="20">
        <v>0</v>
      </c>
      <c r="F83" s="20">
        <v>0</v>
      </c>
      <c r="G83" s="20">
        <v>0</v>
      </c>
      <c r="H83" s="20">
        <v>0</v>
      </c>
      <c r="I83" s="20">
        <v>0</v>
      </c>
      <c r="J83" s="20">
        <v>0</v>
      </c>
      <c r="K83" s="20">
        <v>0</v>
      </c>
      <c r="L83" s="20">
        <v>0</v>
      </c>
      <c r="M83" s="20">
        <v>0</v>
      </c>
      <c r="N83" s="20">
        <v>0</v>
      </c>
      <c r="O83" s="20">
        <v>0</v>
      </c>
      <c r="P83" s="20">
        <v>0</v>
      </c>
    </row>
    <row r="84" spans="1:16" x14ac:dyDescent="0.3">
      <c r="A84" s="11" t="s">
        <v>2718</v>
      </c>
      <c r="B84" s="11" t="s">
        <v>221</v>
      </c>
      <c r="C84" s="20"/>
      <c r="D84" s="20">
        <v>1713308879</v>
      </c>
      <c r="E84" s="20">
        <v>1546466024</v>
      </c>
      <c r="F84" s="20">
        <v>1466758792</v>
      </c>
      <c r="G84" s="20">
        <v>1398567263</v>
      </c>
      <c r="H84" s="20">
        <v>1492679249</v>
      </c>
      <c r="I84" s="20">
        <v>1544588640</v>
      </c>
      <c r="J84" s="20">
        <v>1578934851</v>
      </c>
      <c r="K84" s="20">
        <v>1622095274</v>
      </c>
      <c r="L84" s="20">
        <v>1644872283</v>
      </c>
      <c r="M84" s="20">
        <v>1523753414</v>
      </c>
      <c r="N84" s="20">
        <v>1511599257</v>
      </c>
      <c r="O84" s="20">
        <v>1806807734</v>
      </c>
      <c r="P84" s="20">
        <v>1806807734</v>
      </c>
    </row>
    <row r="85" spans="1:16" x14ac:dyDescent="0.3">
      <c r="A85" s="11" t="s">
        <v>2719</v>
      </c>
      <c r="B85" s="11" t="s">
        <v>220</v>
      </c>
      <c r="C85" s="20"/>
      <c r="D85" s="20">
        <v>1933203287</v>
      </c>
      <c r="E85" s="20">
        <v>1905422404</v>
      </c>
      <c r="F85" s="20">
        <v>1891132678</v>
      </c>
      <c r="G85" s="20">
        <v>1821728893</v>
      </c>
      <c r="H85" s="20">
        <v>1845981360</v>
      </c>
      <c r="I85" s="20">
        <v>1835515555</v>
      </c>
      <c r="J85" s="20">
        <v>1799663040</v>
      </c>
      <c r="K85" s="20">
        <v>1811483708</v>
      </c>
      <c r="L85" s="20">
        <v>1826109021</v>
      </c>
      <c r="M85" s="20">
        <v>1941882611</v>
      </c>
      <c r="N85" s="20">
        <v>1932336713</v>
      </c>
      <c r="O85" s="20">
        <v>1634085975</v>
      </c>
      <c r="P85" s="20">
        <v>1650780023</v>
      </c>
    </row>
    <row r="86" spans="1:16" x14ac:dyDescent="0.3">
      <c r="A86" s="11" t="s">
        <v>2720</v>
      </c>
      <c r="B86" s="11" t="s">
        <v>12</v>
      </c>
      <c r="C86" s="20"/>
      <c r="D86" s="20">
        <v>27796745883</v>
      </c>
      <c r="E86" s="20">
        <v>19508752995</v>
      </c>
      <c r="F86" s="20">
        <v>28439239588</v>
      </c>
      <c r="G86" s="20">
        <v>25539164222</v>
      </c>
      <c r="H86" s="20">
        <v>29561788424</v>
      </c>
      <c r="I86" s="20">
        <v>29877510624</v>
      </c>
      <c r="J86" s="20">
        <v>36996482043</v>
      </c>
      <c r="K86" s="20">
        <v>30249031585</v>
      </c>
      <c r="L86" s="20">
        <v>35338787817</v>
      </c>
      <c r="M86" s="20">
        <v>34290338632</v>
      </c>
      <c r="N86" s="20">
        <v>39905026797</v>
      </c>
      <c r="O86" s="20">
        <v>39540124250</v>
      </c>
      <c r="P86" s="20">
        <v>34539873343</v>
      </c>
    </row>
    <row r="87" spans="1:16" x14ac:dyDescent="0.3">
      <c r="A87" s="11" t="s">
        <v>2721</v>
      </c>
      <c r="B87" s="11" t="s">
        <v>147</v>
      </c>
      <c r="C87" s="20"/>
      <c r="D87" s="20">
        <v>0</v>
      </c>
      <c r="E87" s="20">
        <v>0</v>
      </c>
      <c r="F87" s="20">
        <v>0</v>
      </c>
      <c r="G87" s="20">
        <v>0</v>
      </c>
      <c r="H87" s="20">
        <v>0</v>
      </c>
      <c r="I87" s="20">
        <v>0</v>
      </c>
      <c r="J87" s="20">
        <v>0</v>
      </c>
      <c r="K87" s="20">
        <v>0</v>
      </c>
      <c r="L87" s="20">
        <v>0</v>
      </c>
      <c r="M87" s="20">
        <v>0</v>
      </c>
      <c r="N87" s="20">
        <v>0</v>
      </c>
      <c r="O87" s="20">
        <v>0</v>
      </c>
      <c r="P87" s="20">
        <v>0</v>
      </c>
    </row>
    <row r="88" spans="1:16" x14ac:dyDescent="0.3">
      <c r="A88" s="11" t="s">
        <v>2722</v>
      </c>
      <c r="B88" s="11" t="s">
        <v>219</v>
      </c>
      <c r="C88" s="20"/>
      <c r="D88" s="20">
        <v>0</v>
      </c>
      <c r="E88" s="20">
        <v>0</v>
      </c>
      <c r="F88" s="20">
        <v>0</v>
      </c>
      <c r="G88" s="20">
        <v>0</v>
      </c>
      <c r="H88" s="20">
        <v>0</v>
      </c>
      <c r="I88" s="20">
        <v>0</v>
      </c>
      <c r="J88" s="20">
        <v>0</v>
      </c>
      <c r="K88" s="20">
        <v>0</v>
      </c>
      <c r="L88" s="20">
        <v>0</v>
      </c>
      <c r="M88" s="20">
        <v>0</v>
      </c>
      <c r="N88" s="20">
        <v>0</v>
      </c>
      <c r="O88" s="20">
        <v>0</v>
      </c>
      <c r="P88" s="20">
        <v>0</v>
      </c>
    </row>
    <row r="89" spans="1:16" x14ac:dyDescent="0.3">
      <c r="A89" s="11" t="s">
        <v>2723</v>
      </c>
      <c r="B89" s="11" t="s">
        <v>145</v>
      </c>
      <c r="C89" s="20"/>
      <c r="D89" s="20">
        <v>0</v>
      </c>
      <c r="E89" s="20">
        <v>0</v>
      </c>
      <c r="F89" s="20">
        <v>0</v>
      </c>
      <c r="G89" s="20">
        <v>0</v>
      </c>
      <c r="H89" s="20">
        <v>0</v>
      </c>
      <c r="I89" s="20">
        <v>0</v>
      </c>
      <c r="J89" s="20">
        <v>0</v>
      </c>
      <c r="K89" s="20">
        <v>0</v>
      </c>
      <c r="L89" s="20">
        <v>0</v>
      </c>
      <c r="M89" s="20">
        <v>0</v>
      </c>
      <c r="N89" s="20">
        <v>0</v>
      </c>
      <c r="O89" s="20">
        <v>0</v>
      </c>
      <c r="P89" s="20">
        <v>0</v>
      </c>
    </row>
    <row r="90" spans="1:16" x14ac:dyDescent="0.3">
      <c r="A90" s="11" t="s">
        <v>2724</v>
      </c>
      <c r="B90" s="11" t="s">
        <v>144</v>
      </c>
      <c r="C90" s="20"/>
      <c r="D90" s="20">
        <v>0</v>
      </c>
      <c r="E90" s="20">
        <v>0</v>
      </c>
      <c r="F90" s="20">
        <v>0</v>
      </c>
      <c r="G90" s="20">
        <v>0</v>
      </c>
      <c r="H90" s="20">
        <v>0</v>
      </c>
      <c r="I90" s="20">
        <v>0</v>
      </c>
      <c r="J90" s="20">
        <v>0</v>
      </c>
      <c r="K90" s="20">
        <v>0</v>
      </c>
      <c r="L90" s="20">
        <v>0</v>
      </c>
      <c r="M90" s="20">
        <v>0</v>
      </c>
      <c r="N90" s="20">
        <v>0</v>
      </c>
      <c r="O90" s="20">
        <v>0</v>
      </c>
      <c r="P90" s="20">
        <v>0</v>
      </c>
    </row>
    <row r="91" spans="1:16" x14ac:dyDescent="0.3">
      <c r="A91" s="11" t="s">
        <v>2725</v>
      </c>
      <c r="B91" s="11" t="s">
        <v>74</v>
      </c>
      <c r="C91" s="20"/>
      <c r="D91" s="20">
        <v>0</v>
      </c>
      <c r="E91" s="20">
        <v>0</v>
      </c>
      <c r="F91" s="20">
        <v>0</v>
      </c>
      <c r="G91" s="20">
        <v>0</v>
      </c>
      <c r="H91" s="20">
        <v>0</v>
      </c>
      <c r="I91" s="20">
        <v>0</v>
      </c>
      <c r="J91" s="20">
        <v>0</v>
      </c>
      <c r="K91" s="20">
        <v>0</v>
      </c>
      <c r="L91" s="20">
        <v>0</v>
      </c>
      <c r="M91" s="20">
        <v>0</v>
      </c>
      <c r="N91" s="20">
        <v>0</v>
      </c>
      <c r="O91" s="20">
        <v>0</v>
      </c>
      <c r="P91" s="20">
        <v>0</v>
      </c>
    </row>
    <row r="92" spans="1:16" x14ac:dyDescent="0.3">
      <c r="A92" s="11" t="s">
        <v>2726</v>
      </c>
      <c r="B92" s="11" t="s">
        <v>143</v>
      </c>
      <c r="C92" s="20"/>
      <c r="D92" s="20">
        <v>0</v>
      </c>
      <c r="E92" s="20">
        <v>0</v>
      </c>
      <c r="F92" s="20">
        <v>0</v>
      </c>
      <c r="G92" s="20">
        <v>0</v>
      </c>
      <c r="H92" s="20">
        <v>0</v>
      </c>
      <c r="I92" s="20">
        <v>0</v>
      </c>
      <c r="J92" s="20">
        <v>0</v>
      </c>
      <c r="K92" s="20">
        <v>0</v>
      </c>
      <c r="L92" s="20">
        <v>0</v>
      </c>
      <c r="M92" s="20">
        <v>0</v>
      </c>
      <c r="N92" s="20">
        <v>0</v>
      </c>
      <c r="O92" s="20">
        <v>0</v>
      </c>
      <c r="P92" s="20">
        <v>0</v>
      </c>
    </row>
    <row r="93" spans="1:16" x14ac:dyDescent="0.3">
      <c r="A93" s="11" t="s">
        <v>2727</v>
      </c>
      <c r="B93" s="11" t="s">
        <v>74</v>
      </c>
      <c r="C93" s="20"/>
      <c r="D93" s="20">
        <v>249149994</v>
      </c>
      <c r="E93" s="20">
        <v>246116074</v>
      </c>
      <c r="F93" s="20">
        <v>261898246</v>
      </c>
      <c r="G93" s="20">
        <v>280013201</v>
      </c>
      <c r="H93" s="20">
        <v>323524420</v>
      </c>
      <c r="I93" s="20">
        <v>314912543</v>
      </c>
      <c r="J93" s="20">
        <v>308624773</v>
      </c>
      <c r="K93" s="20">
        <v>281640794</v>
      </c>
      <c r="L93" s="20">
        <v>336473031</v>
      </c>
      <c r="M93" s="20">
        <v>363752435</v>
      </c>
      <c r="N93" s="20">
        <v>353722498</v>
      </c>
      <c r="O93" s="20">
        <v>469421838</v>
      </c>
      <c r="P93" s="20">
        <v>432324231</v>
      </c>
    </row>
    <row r="94" spans="1:16" x14ac:dyDescent="0.3">
      <c r="A94" s="11" t="s">
        <v>2728</v>
      </c>
      <c r="B94" s="11" t="s">
        <v>142</v>
      </c>
      <c r="C94" s="20"/>
      <c r="D94" s="20">
        <v>249149994</v>
      </c>
      <c r="E94" s="20">
        <v>246116074</v>
      </c>
      <c r="F94" s="20">
        <v>261898246</v>
      </c>
      <c r="G94" s="20">
        <v>280013201</v>
      </c>
      <c r="H94" s="20">
        <v>323524420</v>
      </c>
      <c r="I94" s="20">
        <v>314881237</v>
      </c>
      <c r="J94" s="20">
        <v>308042014</v>
      </c>
      <c r="K94" s="20">
        <v>281613366</v>
      </c>
      <c r="L94" s="20">
        <v>318975238</v>
      </c>
      <c r="M94" s="20">
        <v>334205676</v>
      </c>
      <c r="N94" s="20">
        <v>322626359</v>
      </c>
      <c r="O94" s="20">
        <v>442365413</v>
      </c>
      <c r="P94" s="20">
        <v>427043156</v>
      </c>
    </row>
    <row r="95" spans="1:16" x14ac:dyDescent="0.3">
      <c r="A95" s="11" t="s">
        <v>2729</v>
      </c>
      <c r="B95" s="11" t="s">
        <v>141</v>
      </c>
      <c r="C95" s="20"/>
      <c r="D95" s="20">
        <v>0</v>
      </c>
      <c r="E95" s="20">
        <v>0</v>
      </c>
      <c r="F95" s="20">
        <v>0</v>
      </c>
      <c r="G95" s="20">
        <v>0</v>
      </c>
      <c r="H95" s="20">
        <v>0</v>
      </c>
      <c r="I95" s="20">
        <v>31306</v>
      </c>
      <c r="J95" s="20">
        <v>582759</v>
      </c>
      <c r="K95" s="20">
        <v>27428</v>
      </c>
      <c r="L95" s="20">
        <v>17497793</v>
      </c>
      <c r="M95" s="20">
        <v>29546759</v>
      </c>
      <c r="N95" s="20">
        <v>31096139</v>
      </c>
      <c r="O95" s="20">
        <v>27056425</v>
      </c>
      <c r="P95" s="20">
        <v>5281075</v>
      </c>
    </row>
    <row r="96" spans="1:16" x14ac:dyDescent="0.3">
      <c r="A96" s="11" t="s">
        <v>2730</v>
      </c>
      <c r="B96" s="11" t="s">
        <v>140</v>
      </c>
      <c r="C96" s="20"/>
      <c r="D96" s="20">
        <v>0</v>
      </c>
      <c r="E96" s="20">
        <v>0</v>
      </c>
      <c r="F96" s="20">
        <v>0</v>
      </c>
      <c r="G96" s="20">
        <v>0</v>
      </c>
      <c r="H96" s="20">
        <v>0</v>
      </c>
      <c r="I96" s="20">
        <v>0</v>
      </c>
      <c r="J96" s="20">
        <v>0</v>
      </c>
      <c r="K96" s="20">
        <v>0</v>
      </c>
      <c r="L96" s="20">
        <v>0</v>
      </c>
      <c r="M96" s="20">
        <v>0</v>
      </c>
      <c r="N96" s="20">
        <v>0</v>
      </c>
      <c r="O96" s="20">
        <v>0</v>
      </c>
      <c r="P96" s="20">
        <v>0</v>
      </c>
    </row>
    <row r="97" spans="1:16" x14ac:dyDescent="0.3">
      <c r="A97" s="11" t="s">
        <v>2731</v>
      </c>
      <c r="B97" s="11" t="s">
        <v>139</v>
      </c>
      <c r="C97" s="20"/>
      <c r="D97" s="20">
        <v>0</v>
      </c>
      <c r="E97" s="20">
        <v>0</v>
      </c>
      <c r="F97" s="20">
        <v>0</v>
      </c>
      <c r="G97" s="20">
        <v>0</v>
      </c>
      <c r="H97" s="20">
        <v>0</v>
      </c>
      <c r="I97" s="20">
        <v>0</v>
      </c>
      <c r="J97" s="20">
        <v>0</v>
      </c>
      <c r="K97" s="20">
        <v>0</v>
      </c>
      <c r="L97" s="20">
        <v>0</v>
      </c>
      <c r="M97" s="20">
        <v>0</v>
      </c>
      <c r="N97" s="20">
        <v>0</v>
      </c>
      <c r="O97" s="20">
        <v>0</v>
      </c>
      <c r="P97" s="20">
        <v>0</v>
      </c>
    </row>
    <row r="98" spans="1:16" x14ac:dyDescent="0.3">
      <c r="A98" s="11" t="s">
        <v>2732</v>
      </c>
      <c r="B98" s="11" t="s">
        <v>138</v>
      </c>
      <c r="C98" s="20"/>
      <c r="D98" s="20">
        <v>2448938003</v>
      </c>
      <c r="E98" s="20">
        <v>2636957659</v>
      </c>
      <c r="F98" s="20">
        <v>2911317557</v>
      </c>
      <c r="G98" s="20">
        <v>2898336890</v>
      </c>
      <c r="H98" s="20">
        <v>2978155144</v>
      </c>
      <c r="I98" s="20">
        <v>2962532303</v>
      </c>
      <c r="J98" s="20">
        <v>2922361002</v>
      </c>
      <c r="K98" s="20">
        <v>2999180880</v>
      </c>
      <c r="L98" s="20">
        <v>2959566199</v>
      </c>
      <c r="M98" s="20">
        <v>2942902827</v>
      </c>
      <c r="N98" s="20">
        <v>2926470619</v>
      </c>
      <c r="O98" s="20">
        <v>2889758715</v>
      </c>
      <c r="P98" s="20">
        <v>2915367533</v>
      </c>
    </row>
    <row r="99" spans="1:16" x14ac:dyDescent="0.3">
      <c r="A99" s="11" t="s">
        <v>2733</v>
      </c>
      <c r="B99" s="11" t="s">
        <v>137</v>
      </c>
      <c r="C99" s="20"/>
      <c r="D99" s="20">
        <v>7506458429</v>
      </c>
      <c r="E99" s="20">
        <v>8010297579</v>
      </c>
      <c r="F99" s="20">
        <v>12416290092</v>
      </c>
      <c r="G99" s="20">
        <v>7576362122</v>
      </c>
      <c r="H99" s="20">
        <v>7262434913</v>
      </c>
      <c r="I99" s="20">
        <v>7101040322</v>
      </c>
      <c r="J99" s="20">
        <v>5555721712</v>
      </c>
      <c r="K99" s="20">
        <v>5216058263</v>
      </c>
      <c r="L99" s="20">
        <v>5514451611</v>
      </c>
      <c r="M99" s="20">
        <v>5645265566</v>
      </c>
      <c r="N99" s="20">
        <v>5630338621</v>
      </c>
      <c r="O99" s="20">
        <v>6025685763</v>
      </c>
      <c r="P99" s="20">
        <v>3829646081</v>
      </c>
    </row>
    <row r="100" spans="1:16" x14ac:dyDescent="0.3">
      <c r="A100" s="11" t="s">
        <v>2734</v>
      </c>
      <c r="B100" s="11" t="s">
        <v>218</v>
      </c>
      <c r="C100" s="20"/>
      <c r="D100" s="20">
        <v>2517367001</v>
      </c>
      <c r="E100" s="20">
        <v>2159772740</v>
      </c>
      <c r="F100" s="20">
        <v>6732491614</v>
      </c>
      <c r="G100" s="20">
        <v>2077836445</v>
      </c>
      <c r="H100" s="20">
        <v>1504706000</v>
      </c>
      <c r="I100" s="20">
        <v>1438158132</v>
      </c>
      <c r="J100" s="20">
        <v>1527981117</v>
      </c>
      <c r="K100" s="20">
        <v>1312529937</v>
      </c>
      <c r="L100" s="20">
        <v>1130156598</v>
      </c>
      <c r="M100" s="20">
        <v>1629130127</v>
      </c>
      <c r="N100" s="20">
        <v>1320243245</v>
      </c>
      <c r="O100" s="20">
        <v>1232992834</v>
      </c>
      <c r="P100" s="20">
        <v>523225029</v>
      </c>
    </row>
    <row r="101" spans="1:16" x14ac:dyDescent="0.3">
      <c r="A101" s="11" t="s">
        <v>2735</v>
      </c>
      <c r="B101" s="11" t="s">
        <v>135</v>
      </c>
      <c r="C101" s="20"/>
      <c r="D101" s="20">
        <v>0</v>
      </c>
      <c r="E101" s="20">
        <v>0</v>
      </c>
      <c r="F101" s="20">
        <v>0</v>
      </c>
      <c r="G101" s="20">
        <v>0</v>
      </c>
      <c r="H101" s="20">
        <v>0</v>
      </c>
      <c r="I101" s="20">
        <v>0</v>
      </c>
      <c r="J101" s="20">
        <v>0</v>
      </c>
      <c r="K101" s="20">
        <v>0</v>
      </c>
      <c r="L101" s="20">
        <v>0</v>
      </c>
      <c r="M101" s="20">
        <v>0</v>
      </c>
      <c r="N101" s="20">
        <v>0</v>
      </c>
      <c r="O101" s="20">
        <v>0</v>
      </c>
      <c r="P101" s="20">
        <v>0</v>
      </c>
    </row>
    <row r="102" spans="1:16" x14ac:dyDescent="0.3">
      <c r="A102" s="11" t="s">
        <v>2736</v>
      </c>
      <c r="B102" s="11" t="s">
        <v>217</v>
      </c>
      <c r="C102" s="20"/>
      <c r="D102" s="20">
        <v>1914887354</v>
      </c>
      <c r="E102" s="20">
        <v>1808627916</v>
      </c>
      <c r="F102" s="20">
        <v>1693729147</v>
      </c>
      <c r="G102" s="20">
        <v>1638248866</v>
      </c>
      <c r="H102" s="20">
        <v>1483010050</v>
      </c>
      <c r="I102" s="20">
        <v>1488977890</v>
      </c>
      <c r="J102" s="20">
        <v>31904223</v>
      </c>
      <c r="K102" s="20">
        <v>33965460</v>
      </c>
      <c r="L102" s="20">
        <v>13066076</v>
      </c>
      <c r="M102" s="20">
        <v>735558</v>
      </c>
      <c r="N102" s="20">
        <v>3013</v>
      </c>
      <c r="O102" s="20">
        <v>2967</v>
      </c>
      <c r="P102" s="20">
        <v>11708120</v>
      </c>
    </row>
    <row r="103" spans="1:16" x14ac:dyDescent="0.3">
      <c r="A103" s="11" t="s">
        <v>2737</v>
      </c>
      <c r="B103" s="11" t="s">
        <v>133</v>
      </c>
      <c r="C103" s="20"/>
      <c r="D103" s="20">
        <v>75971166</v>
      </c>
      <c r="E103" s="20">
        <v>75246148</v>
      </c>
      <c r="F103" s="20">
        <v>87218914</v>
      </c>
      <c r="G103" s="20">
        <v>92652075</v>
      </c>
      <c r="H103" s="20">
        <v>175736001</v>
      </c>
      <c r="I103" s="20">
        <v>159270793</v>
      </c>
      <c r="J103" s="20">
        <v>154752235</v>
      </c>
      <c r="K103" s="20">
        <v>100940535</v>
      </c>
      <c r="L103" s="20">
        <v>89360351</v>
      </c>
      <c r="M103" s="20">
        <v>93342195</v>
      </c>
      <c r="N103" s="20">
        <v>86405107</v>
      </c>
      <c r="O103" s="20">
        <v>154665428</v>
      </c>
      <c r="P103" s="20">
        <v>79927744</v>
      </c>
    </row>
    <row r="104" spans="1:16" x14ac:dyDescent="0.3">
      <c r="A104" s="11" t="s">
        <v>2738</v>
      </c>
      <c r="B104" s="11" t="s">
        <v>132</v>
      </c>
      <c r="C104" s="20"/>
      <c r="D104" s="20">
        <v>2998232908</v>
      </c>
      <c r="E104" s="20">
        <v>3966650775</v>
      </c>
      <c r="F104" s="20">
        <v>3902850417</v>
      </c>
      <c r="G104" s="20">
        <v>3767624736</v>
      </c>
      <c r="H104" s="20">
        <v>4098982862</v>
      </c>
      <c r="I104" s="20">
        <v>4014633507</v>
      </c>
      <c r="J104" s="20">
        <v>3841084137</v>
      </c>
      <c r="K104" s="20">
        <v>3768622331</v>
      </c>
      <c r="L104" s="20">
        <v>4281868586</v>
      </c>
      <c r="M104" s="20">
        <v>3922057686</v>
      </c>
      <c r="N104" s="20">
        <v>4223687256</v>
      </c>
      <c r="O104" s="20">
        <v>4638024534</v>
      </c>
      <c r="P104" s="20">
        <v>3214785188</v>
      </c>
    </row>
    <row r="105" spans="1:16" x14ac:dyDescent="0.3">
      <c r="A105" s="11" t="s">
        <v>2739</v>
      </c>
      <c r="B105" s="11" t="s">
        <v>131</v>
      </c>
      <c r="C105" s="20"/>
      <c r="D105" s="20">
        <v>0</v>
      </c>
      <c r="E105" s="20">
        <v>0</v>
      </c>
      <c r="F105" s="20">
        <v>0</v>
      </c>
      <c r="G105" s="20">
        <v>0</v>
      </c>
      <c r="H105" s="20">
        <v>0</v>
      </c>
      <c r="I105" s="20">
        <v>0</v>
      </c>
      <c r="J105" s="20">
        <v>0</v>
      </c>
      <c r="K105" s="20">
        <v>0</v>
      </c>
      <c r="L105" s="20">
        <v>0</v>
      </c>
      <c r="M105" s="20">
        <v>0</v>
      </c>
      <c r="N105" s="20">
        <v>0</v>
      </c>
      <c r="O105" s="20">
        <v>0</v>
      </c>
      <c r="P105" s="20">
        <v>0</v>
      </c>
    </row>
    <row r="106" spans="1:16" x14ac:dyDescent="0.3">
      <c r="A106" s="11" t="s">
        <v>2740</v>
      </c>
      <c r="B106" s="11" t="s">
        <v>130</v>
      </c>
      <c r="C106" s="20"/>
      <c r="D106" s="20">
        <v>0</v>
      </c>
      <c r="E106" s="20">
        <v>0</v>
      </c>
      <c r="F106" s="20">
        <v>0</v>
      </c>
      <c r="G106" s="20">
        <v>0</v>
      </c>
      <c r="H106" s="20">
        <v>0</v>
      </c>
      <c r="I106" s="20">
        <v>0</v>
      </c>
      <c r="J106" s="20">
        <v>0</v>
      </c>
      <c r="K106" s="20">
        <v>0</v>
      </c>
      <c r="L106" s="20">
        <v>0</v>
      </c>
      <c r="M106" s="20">
        <v>0</v>
      </c>
      <c r="N106" s="20">
        <v>0</v>
      </c>
      <c r="O106" s="20">
        <v>0</v>
      </c>
      <c r="P106" s="20">
        <v>0</v>
      </c>
    </row>
    <row r="107" spans="1:16" x14ac:dyDescent="0.3">
      <c r="A107" s="11" t="s">
        <v>2741</v>
      </c>
      <c r="B107" s="11" t="s">
        <v>129</v>
      </c>
      <c r="C107" s="20"/>
      <c r="D107" s="20">
        <v>0</v>
      </c>
      <c r="E107" s="20">
        <v>0</v>
      </c>
      <c r="F107" s="20">
        <v>0</v>
      </c>
      <c r="G107" s="20">
        <v>0</v>
      </c>
      <c r="H107" s="20">
        <v>0</v>
      </c>
      <c r="I107" s="20">
        <v>0</v>
      </c>
      <c r="J107" s="20">
        <v>0</v>
      </c>
      <c r="K107" s="20">
        <v>0</v>
      </c>
      <c r="L107" s="20">
        <v>0</v>
      </c>
      <c r="M107" s="20">
        <v>0</v>
      </c>
      <c r="N107" s="20">
        <v>0</v>
      </c>
      <c r="O107" s="20">
        <v>0</v>
      </c>
      <c r="P107" s="20">
        <v>0</v>
      </c>
    </row>
    <row r="108" spans="1:16" x14ac:dyDescent="0.3">
      <c r="A108" s="11" t="s">
        <v>2742</v>
      </c>
      <c r="B108" s="11" t="s">
        <v>128</v>
      </c>
      <c r="C108" s="20"/>
      <c r="D108" s="20">
        <v>0</v>
      </c>
      <c r="E108" s="20">
        <v>0</v>
      </c>
      <c r="F108" s="20">
        <v>0</v>
      </c>
      <c r="G108" s="20">
        <v>0</v>
      </c>
      <c r="H108" s="20">
        <v>0</v>
      </c>
      <c r="I108" s="20">
        <v>0</v>
      </c>
      <c r="J108" s="20">
        <v>0</v>
      </c>
      <c r="K108" s="20">
        <v>0</v>
      </c>
      <c r="L108" s="20">
        <v>0</v>
      </c>
      <c r="M108" s="20">
        <v>0</v>
      </c>
      <c r="N108" s="20">
        <v>0</v>
      </c>
      <c r="O108" s="20">
        <v>0</v>
      </c>
      <c r="P108" s="20">
        <v>0</v>
      </c>
    </row>
    <row r="109" spans="1:16" x14ac:dyDescent="0.3">
      <c r="A109" s="11" t="s">
        <v>2743</v>
      </c>
      <c r="B109" s="11" t="s">
        <v>53</v>
      </c>
      <c r="C109" s="20"/>
      <c r="D109" s="20">
        <v>0</v>
      </c>
      <c r="E109" s="20">
        <v>0</v>
      </c>
      <c r="F109" s="20">
        <v>0</v>
      </c>
      <c r="G109" s="20">
        <v>0</v>
      </c>
      <c r="H109" s="20">
        <v>0</v>
      </c>
      <c r="I109" s="20">
        <v>0</v>
      </c>
      <c r="J109" s="20">
        <v>0</v>
      </c>
      <c r="K109" s="20">
        <v>0</v>
      </c>
      <c r="L109" s="20">
        <v>0</v>
      </c>
      <c r="M109" s="20">
        <v>0</v>
      </c>
      <c r="N109" s="20">
        <v>0</v>
      </c>
      <c r="O109" s="20">
        <v>0</v>
      </c>
      <c r="P109" s="20">
        <v>0</v>
      </c>
    </row>
    <row r="110" spans="1:16" x14ac:dyDescent="0.3">
      <c r="A110" s="11" t="s">
        <v>2744</v>
      </c>
      <c r="B110" s="11" t="s">
        <v>127</v>
      </c>
      <c r="C110" s="20"/>
      <c r="D110" s="20">
        <v>0</v>
      </c>
      <c r="E110" s="20">
        <v>0</v>
      </c>
      <c r="F110" s="20">
        <v>0</v>
      </c>
      <c r="G110" s="20">
        <v>0</v>
      </c>
      <c r="H110" s="20">
        <v>0</v>
      </c>
      <c r="I110" s="20">
        <v>0</v>
      </c>
      <c r="J110" s="20">
        <v>0</v>
      </c>
      <c r="K110" s="20">
        <v>0</v>
      </c>
      <c r="L110" s="20">
        <v>0</v>
      </c>
      <c r="M110" s="20">
        <v>0</v>
      </c>
      <c r="N110" s="20">
        <v>0</v>
      </c>
      <c r="O110" s="20">
        <v>0</v>
      </c>
      <c r="P110" s="20">
        <v>0</v>
      </c>
    </row>
    <row r="111" spans="1:16" x14ac:dyDescent="0.3">
      <c r="A111" s="11" t="s">
        <v>2745</v>
      </c>
      <c r="B111" s="11" t="s">
        <v>126</v>
      </c>
      <c r="C111" s="20"/>
      <c r="D111" s="20">
        <v>460285812</v>
      </c>
      <c r="E111" s="20">
        <v>471677880</v>
      </c>
      <c r="F111" s="20">
        <v>503219917</v>
      </c>
      <c r="G111" s="20">
        <v>203188520</v>
      </c>
      <c r="H111" s="20">
        <v>80686589</v>
      </c>
      <c r="I111" s="20">
        <v>85293631</v>
      </c>
      <c r="J111" s="20">
        <v>102407409</v>
      </c>
      <c r="K111" s="20">
        <v>128951874</v>
      </c>
      <c r="L111" s="20">
        <v>94605134</v>
      </c>
      <c r="M111" s="20">
        <v>112539197</v>
      </c>
      <c r="N111" s="20">
        <v>148112850</v>
      </c>
      <c r="O111" s="20">
        <v>188831942</v>
      </c>
      <c r="P111" s="20">
        <v>227149732</v>
      </c>
    </row>
    <row r="112" spans="1:16" x14ac:dyDescent="0.3">
      <c r="A112" s="11" t="s">
        <v>2746</v>
      </c>
      <c r="B112" s="11" t="s">
        <v>125</v>
      </c>
      <c r="C112" s="20"/>
      <c r="D112" s="20">
        <v>772702181</v>
      </c>
      <c r="E112" s="20">
        <v>804567653</v>
      </c>
      <c r="F112" s="20">
        <v>836540860</v>
      </c>
      <c r="G112" s="20">
        <v>868411934</v>
      </c>
      <c r="H112" s="20">
        <v>618904161</v>
      </c>
      <c r="I112" s="20">
        <v>638123875</v>
      </c>
      <c r="J112" s="20">
        <v>647333231</v>
      </c>
      <c r="K112" s="20">
        <v>665829311</v>
      </c>
      <c r="L112" s="20">
        <v>662730490</v>
      </c>
      <c r="M112" s="20">
        <v>626356161</v>
      </c>
      <c r="N112" s="20">
        <v>666863000</v>
      </c>
      <c r="O112" s="20">
        <v>746854533</v>
      </c>
      <c r="P112" s="20">
        <v>821322716</v>
      </c>
    </row>
    <row r="113" spans="1:16" x14ac:dyDescent="0.3">
      <c r="A113" s="11" t="s">
        <v>2747</v>
      </c>
      <c r="B113" s="11" t="s">
        <v>216</v>
      </c>
      <c r="C113" s="20"/>
      <c r="D113" s="20">
        <v>393097013</v>
      </c>
      <c r="E113" s="20">
        <v>389500000</v>
      </c>
      <c r="F113" s="20">
        <v>385902988</v>
      </c>
      <c r="G113" s="20">
        <v>382305976</v>
      </c>
      <c r="H113" s="20">
        <v>378708963</v>
      </c>
      <c r="I113" s="20">
        <v>375111951</v>
      </c>
      <c r="J113" s="20">
        <v>400920417</v>
      </c>
      <c r="K113" s="20">
        <v>397503750</v>
      </c>
      <c r="L113" s="20">
        <v>394087083</v>
      </c>
      <c r="M113" s="20">
        <v>390670417</v>
      </c>
      <c r="N113" s="20">
        <v>387253750</v>
      </c>
      <c r="O113" s="20">
        <v>383837083</v>
      </c>
      <c r="P113" s="20">
        <v>380420417</v>
      </c>
    </row>
    <row r="114" spans="1:16" x14ac:dyDescent="0.3">
      <c r="A114" s="11" t="s">
        <v>2748</v>
      </c>
      <c r="B114" s="11" t="s">
        <v>123</v>
      </c>
      <c r="C114" s="20">
        <v>30286255425</v>
      </c>
      <c r="D114" s="88">
        <f>30512.188827*1000000</f>
        <v>30512188827</v>
      </c>
      <c r="E114" s="20">
        <v>31096398457</v>
      </c>
      <c r="F114" s="20">
        <v>31637380391</v>
      </c>
      <c r="G114" s="20">
        <v>32237781886</v>
      </c>
      <c r="H114" s="20">
        <v>32758835077</v>
      </c>
      <c r="I114" s="20">
        <v>31766183284</v>
      </c>
      <c r="J114" s="20">
        <v>32275741866</v>
      </c>
      <c r="K114" s="20">
        <v>32804636535</v>
      </c>
      <c r="L114" s="20">
        <v>33331254219</v>
      </c>
      <c r="M114" s="20">
        <v>33905244931</v>
      </c>
      <c r="N114" s="20">
        <v>34458085311</v>
      </c>
      <c r="O114" s="20">
        <v>33808033126</v>
      </c>
      <c r="P114" s="20">
        <v>34367883523</v>
      </c>
    </row>
    <row r="115" spans="1:16" x14ac:dyDescent="0.3">
      <c r="A115" s="11" t="s">
        <v>2749</v>
      </c>
      <c r="B115" s="11" t="s">
        <v>122</v>
      </c>
      <c r="C115" s="20"/>
      <c r="D115" s="20">
        <v>5990222340</v>
      </c>
      <c r="E115" s="20">
        <v>5990222340</v>
      </c>
      <c r="F115" s="20">
        <v>5990222340</v>
      </c>
      <c r="G115" s="20">
        <v>5990222340</v>
      </c>
      <c r="H115" s="20">
        <v>5990222340</v>
      </c>
      <c r="I115" s="20">
        <v>5990222340</v>
      </c>
      <c r="J115" s="20">
        <v>5990222340</v>
      </c>
      <c r="K115" s="20">
        <v>5990222340</v>
      </c>
      <c r="L115" s="20">
        <v>5990222340</v>
      </c>
      <c r="M115" s="20">
        <v>5990222340</v>
      </c>
      <c r="N115" s="20">
        <v>5990222340</v>
      </c>
      <c r="O115" s="20">
        <v>5990222340</v>
      </c>
      <c r="P115" s="20">
        <v>5990222340</v>
      </c>
    </row>
    <row r="116" spans="1:16" x14ac:dyDescent="0.3">
      <c r="A116" s="11" t="s">
        <v>2750</v>
      </c>
      <c r="B116" s="11" t="s">
        <v>121</v>
      </c>
      <c r="C116" s="20"/>
      <c r="D116" s="20">
        <v>5985071348</v>
      </c>
      <c r="E116" s="20">
        <v>5985071348</v>
      </c>
      <c r="F116" s="20">
        <v>5985071348</v>
      </c>
      <c r="G116" s="20">
        <v>5985071348</v>
      </c>
      <c r="H116" s="20">
        <v>5985071348</v>
      </c>
      <c r="I116" s="20">
        <v>5985071348</v>
      </c>
      <c r="J116" s="20">
        <v>5985071348</v>
      </c>
      <c r="K116" s="20">
        <v>5985071348</v>
      </c>
      <c r="L116" s="20">
        <v>5985071348</v>
      </c>
      <c r="M116" s="20">
        <v>5985071348</v>
      </c>
      <c r="N116" s="20">
        <v>5985071348</v>
      </c>
      <c r="O116" s="20">
        <v>5985071348</v>
      </c>
      <c r="P116" s="20">
        <v>5985071348</v>
      </c>
    </row>
    <row r="117" spans="1:16" x14ac:dyDescent="0.3">
      <c r="A117" s="11" t="s">
        <v>2751</v>
      </c>
      <c r="B117" s="11" t="s">
        <v>119</v>
      </c>
      <c r="C117" s="20"/>
      <c r="D117" s="20">
        <v>5150992</v>
      </c>
      <c r="E117" s="20">
        <v>5150992</v>
      </c>
      <c r="F117" s="20">
        <v>5150992</v>
      </c>
      <c r="G117" s="20">
        <v>5150992</v>
      </c>
      <c r="H117" s="20">
        <v>5150992</v>
      </c>
      <c r="I117" s="20">
        <v>5150992</v>
      </c>
      <c r="J117" s="20">
        <v>5150992</v>
      </c>
      <c r="K117" s="20">
        <v>5150992</v>
      </c>
      <c r="L117" s="20">
        <v>5150992</v>
      </c>
      <c r="M117" s="20">
        <v>5150992</v>
      </c>
      <c r="N117" s="20">
        <v>5150992</v>
      </c>
      <c r="O117" s="20">
        <v>5150992</v>
      </c>
      <c r="P117" s="20">
        <v>5150992</v>
      </c>
    </row>
    <row r="118" spans="1:16" x14ac:dyDescent="0.3">
      <c r="A118" s="11" t="s">
        <v>2752</v>
      </c>
      <c r="B118" s="11" t="s">
        <v>118</v>
      </c>
      <c r="C118" s="20"/>
      <c r="D118" s="20">
        <v>24296033085</v>
      </c>
      <c r="E118" s="20">
        <v>25106176117</v>
      </c>
      <c r="F118" s="20">
        <v>25647158051</v>
      </c>
      <c r="G118" s="20">
        <v>26247559546</v>
      </c>
      <c r="H118" s="20">
        <v>26768612737</v>
      </c>
      <c r="I118" s="20">
        <v>25775960944</v>
      </c>
      <c r="J118" s="20">
        <v>26285519526</v>
      </c>
      <c r="K118" s="20">
        <v>26814414195</v>
      </c>
      <c r="L118" s="20">
        <v>27341031879</v>
      </c>
      <c r="M118" s="20">
        <v>27915022591</v>
      </c>
      <c r="N118" s="20">
        <v>28467862971</v>
      </c>
      <c r="O118" s="20">
        <v>27817810786</v>
      </c>
      <c r="P118" s="20">
        <v>28377661183</v>
      </c>
    </row>
    <row r="119" spans="1:16" x14ac:dyDescent="0.3">
      <c r="A119" s="11" t="s">
        <v>2753</v>
      </c>
      <c r="B119" s="11" t="s">
        <v>117</v>
      </c>
      <c r="C119" s="20"/>
      <c r="D119" s="20">
        <v>17884477482</v>
      </c>
      <c r="E119" s="20">
        <v>18005506019</v>
      </c>
      <c r="F119" s="20">
        <v>18005506019</v>
      </c>
      <c r="G119" s="20">
        <v>18003355541</v>
      </c>
      <c r="H119" s="20">
        <v>18003355541</v>
      </c>
      <c r="I119" s="20">
        <v>22955387349</v>
      </c>
      <c r="J119" s="20">
        <v>22951764747</v>
      </c>
      <c r="K119" s="20">
        <v>22945590077</v>
      </c>
      <c r="L119" s="20">
        <v>22940043909</v>
      </c>
      <c r="M119" s="20">
        <v>22938665450</v>
      </c>
      <c r="N119" s="20">
        <v>22924246289</v>
      </c>
      <c r="O119" s="20">
        <v>21808136740</v>
      </c>
      <c r="P119" s="20">
        <v>21794438540</v>
      </c>
    </row>
    <row r="120" spans="1:16" x14ac:dyDescent="0.3">
      <c r="A120" s="11" t="s">
        <v>2754</v>
      </c>
      <c r="B120" s="11" t="s">
        <v>116</v>
      </c>
      <c r="C120" s="20"/>
      <c r="D120" s="20">
        <v>0</v>
      </c>
      <c r="E120" s="20">
        <v>6461728155</v>
      </c>
      <c r="F120" s="20">
        <v>6461729551</v>
      </c>
      <c r="G120" s="20">
        <v>6461729551</v>
      </c>
      <c r="H120" s="20">
        <v>6461729551</v>
      </c>
      <c r="I120" s="20">
        <v>0</v>
      </c>
      <c r="J120" s="20">
        <v>0</v>
      </c>
      <c r="K120" s="20">
        <v>0</v>
      </c>
      <c r="L120" s="20">
        <v>0</v>
      </c>
      <c r="M120" s="20">
        <v>0</v>
      </c>
      <c r="N120" s="20">
        <v>0</v>
      </c>
      <c r="O120" s="20">
        <v>0</v>
      </c>
      <c r="P120" s="20">
        <v>0</v>
      </c>
    </row>
    <row r="121" spans="1:16" x14ac:dyDescent="0.3">
      <c r="A121" s="11" t="s">
        <v>2755</v>
      </c>
      <c r="B121" s="11" t="s">
        <v>115</v>
      </c>
      <c r="C121" s="20"/>
      <c r="D121" s="20">
        <v>6356824686</v>
      </c>
      <c r="E121" s="20">
        <v>550435655</v>
      </c>
      <c r="F121" s="20">
        <v>1071832186</v>
      </c>
      <c r="G121" s="20">
        <v>1601463887</v>
      </c>
      <c r="H121" s="20">
        <v>2109387420</v>
      </c>
      <c r="I121" s="20">
        <v>2619442204</v>
      </c>
      <c r="J121" s="20">
        <v>3220368420</v>
      </c>
      <c r="K121" s="20">
        <v>3723103377</v>
      </c>
      <c r="L121" s="20">
        <v>4220040009</v>
      </c>
      <c r="M121" s="20">
        <v>4735050672</v>
      </c>
      <c r="N121" s="20">
        <v>5292388903</v>
      </c>
      <c r="O121" s="20">
        <v>5898362542</v>
      </c>
      <c r="P121" s="20">
        <v>6526929030</v>
      </c>
    </row>
    <row r="122" spans="1:16" x14ac:dyDescent="0.3">
      <c r="A122" s="11" t="s">
        <v>2756</v>
      </c>
      <c r="B122" s="11" t="s">
        <v>114</v>
      </c>
      <c r="C122" s="20"/>
      <c r="D122" s="20">
        <v>41768738</v>
      </c>
      <c r="E122" s="20">
        <v>99551157</v>
      </c>
      <c r="F122" s="20">
        <v>151533590</v>
      </c>
      <c r="G122" s="20">
        <v>236922283</v>
      </c>
      <c r="H122" s="20">
        <v>268601715</v>
      </c>
      <c r="I122" s="20">
        <v>273939771</v>
      </c>
      <c r="J122" s="20">
        <v>189620197</v>
      </c>
      <c r="K122" s="20">
        <v>216851046</v>
      </c>
      <c r="L122" s="20">
        <v>269052976</v>
      </c>
      <c r="M122" s="20">
        <v>337640731</v>
      </c>
      <c r="N122" s="20">
        <v>348180767</v>
      </c>
      <c r="O122" s="20">
        <v>205817559</v>
      </c>
      <c r="P122" s="20">
        <v>127942801</v>
      </c>
    </row>
    <row r="123" spans="1:16" x14ac:dyDescent="0.3">
      <c r="A123" s="11" t="s">
        <v>2757</v>
      </c>
      <c r="B123" s="11" t="s">
        <v>113</v>
      </c>
      <c r="C123" s="20"/>
      <c r="D123" s="20">
        <v>89497728</v>
      </c>
      <c r="E123" s="20">
        <v>65025007</v>
      </c>
      <c r="F123" s="20">
        <v>32160907</v>
      </c>
      <c r="G123" s="20">
        <v>19195881</v>
      </c>
      <c r="H123" s="20">
        <v>149502</v>
      </c>
      <c r="I123" s="20">
        <v>1347249</v>
      </c>
      <c r="J123" s="20">
        <v>-2554194</v>
      </c>
      <c r="K123" s="20">
        <v>2073355</v>
      </c>
      <c r="L123" s="20">
        <v>-15377339</v>
      </c>
      <c r="M123" s="20">
        <v>-24082570</v>
      </c>
      <c r="N123" s="20">
        <v>-24909972</v>
      </c>
      <c r="O123" s="20">
        <v>-22203511</v>
      </c>
      <c r="P123" s="20">
        <v>-101492</v>
      </c>
    </row>
    <row r="124" spans="1:16" x14ac:dyDescent="0.3">
      <c r="A124" s="11" t="s">
        <v>2758</v>
      </c>
      <c r="B124" s="11" t="s">
        <v>112</v>
      </c>
      <c r="C124" s="20"/>
      <c r="D124" s="20">
        <v>-76535549</v>
      </c>
      <c r="E124" s="20">
        <v>-76069876</v>
      </c>
      <c r="F124" s="20">
        <v>-75604202</v>
      </c>
      <c r="G124" s="20">
        <v>-75107597</v>
      </c>
      <c r="H124" s="20">
        <v>-74610992</v>
      </c>
      <c r="I124" s="20">
        <v>-74155629</v>
      </c>
      <c r="J124" s="20">
        <v>-73679644</v>
      </c>
      <c r="K124" s="20">
        <v>-73203660</v>
      </c>
      <c r="L124" s="20">
        <v>-72727676</v>
      </c>
      <c r="M124" s="20">
        <v>-72251692</v>
      </c>
      <c r="N124" s="20">
        <v>-72043016</v>
      </c>
      <c r="O124" s="20">
        <v>-72302544</v>
      </c>
      <c r="P124" s="20">
        <v>-71547696</v>
      </c>
    </row>
    <row r="125" spans="1:16" x14ac:dyDescent="0.3">
      <c r="A125" s="11" t="s">
        <v>2759</v>
      </c>
      <c r="B125" s="11" t="s">
        <v>109</v>
      </c>
      <c r="C125" s="20"/>
      <c r="D125" s="20">
        <v>434544186945.19</v>
      </c>
      <c r="E125" s="20">
        <v>452376312291.82996</v>
      </c>
      <c r="F125" s="20">
        <v>453886285997.71997</v>
      </c>
      <c r="G125" s="20">
        <v>455438783145.34998</v>
      </c>
      <c r="H125" s="20">
        <v>467391168876.40002</v>
      </c>
      <c r="I125" s="20">
        <v>472614560496.33997</v>
      </c>
      <c r="J125" s="20">
        <v>466842074520.58997</v>
      </c>
      <c r="K125" s="20">
        <v>450080147188.23999</v>
      </c>
      <c r="L125" s="20">
        <v>519163281682.06</v>
      </c>
      <c r="M125" s="20">
        <v>521083291745</v>
      </c>
      <c r="N125" s="20">
        <v>512237305959</v>
      </c>
      <c r="O125" s="20">
        <v>470477365439.02002</v>
      </c>
      <c r="P125" s="20">
        <v>462102009922.76001</v>
      </c>
    </row>
    <row r="126" spans="1:16" x14ac:dyDescent="0.3">
      <c r="A126" s="11" t="s">
        <v>2760</v>
      </c>
      <c r="B126" s="11" t="s">
        <v>214</v>
      </c>
      <c r="C126" s="20"/>
      <c r="D126" s="20">
        <v>0</v>
      </c>
      <c r="E126" s="20">
        <v>0</v>
      </c>
      <c r="F126" s="20">
        <v>0</v>
      </c>
      <c r="G126" s="20">
        <v>0</v>
      </c>
      <c r="H126" s="20">
        <v>0</v>
      </c>
      <c r="I126" s="20">
        <v>0</v>
      </c>
      <c r="J126" s="20">
        <v>0</v>
      </c>
      <c r="K126" s="20">
        <v>0</v>
      </c>
      <c r="L126" s="20">
        <v>0</v>
      </c>
      <c r="M126" s="20">
        <v>0</v>
      </c>
      <c r="N126" s="20">
        <v>0</v>
      </c>
      <c r="O126" s="20">
        <v>0</v>
      </c>
      <c r="P126" s="20">
        <v>0</v>
      </c>
    </row>
    <row r="127" spans="1:16" x14ac:dyDescent="0.3">
      <c r="A127" s="11" t="s">
        <v>2761</v>
      </c>
      <c r="B127" s="11" t="s">
        <v>105</v>
      </c>
      <c r="C127" s="20"/>
      <c r="D127" s="20">
        <v>0</v>
      </c>
      <c r="E127" s="20">
        <v>0</v>
      </c>
      <c r="F127" s="20">
        <v>0</v>
      </c>
      <c r="G127" s="20">
        <v>0</v>
      </c>
      <c r="H127" s="20">
        <v>0</v>
      </c>
      <c r="I127" s="20">
        <v>0</v>
      </c>
      <c r="J127" s="20">
        <v>0</v>
      </c>
      <c r="K127" s="20">
        <v>0</v>
      </c>
      <c r="L127" s="20">
        <v>0</v>
      </c>
      <c r="M127" s="20">
        <v>0</v>
      </c>
      <c r="N127" s="20">
        <v>0</v>
      </c>
      <c r="O127" s="20">
        <v>0</v>
      </c>
      <c r="P127" s="20">
        <v>0</v>
      </c>
    </row>
    <row r="128" spans="1:16" x14ac:dyDescent="0.3">
      <c r="A128" s="11" t="s">
        <v>2762</v>
      </c>
      <c r="B128" s="11" t="s">
        <v>98</v>
      </c>
      <c r="C128" s="20"/>
      <c r="D128" s="20">
        <v>12401865889</v>
      </c>
      <c r="E128" s="20">
        <v>12720010495</v>
      </c>
      <c r="F128" s="20">
        <v>12701211898</v>
      </c>
      <c r="G128" s="20">
        <v>12647831724</v>
      </c>
      <c r="H128" s="20">
        <v>12558878121</v>
      </c>
      <c r="I128" s="20">
        <v>12594059260</v>
      </c>
      <c r="J128" s="20">
        <v>12279449349</v>
      </c>
      <c r="K128" s="20">
        <v>12046904872</v>
      </c>
      <c r="L128" s="20">
        <v>12142490647</v>
      </c>
      <c r="M128" s="20">
        <v>12265379930</v>
      </c>
      <c r="N128" s="20">
        <v>12025982835</v>
      </c>
      <c r="O128" s="20">
        <v>6222558558</v>
      </c>
      <c r="P128" s="20">
        <v>6152006305</v>
      </c>
    </row>
    <row r="129" spans="1:16" x14ac:dyDescent="0.3">
      <c r="A129" s="11" t="s">
        <v>2763</v>
      </c>
      <c r="B129" s="11" t="s">
        <v>97</v>
      </c>
      <c r="C129" s="20"/>
      <c r="D129" s="20">
        <v>31038803440</v>
      </c>
      <c r="E129" s="20">
        <v>31058629242</v>
      </c>
      <c r="F129" s="20">
        <v>29768204585</v>
      </c>
      <c r="G129" s="20">
        <v>30694199974</v>
      </c>
      <c r="H129" s="20">
        <v>30519372833</v>
      </c>
      <c r="I129" s="20">
        <v>30820935381</v>
      </c>
      <c r="J129" s="20">
        <v>30661006145</v>
      </c>
      <c r="K129" s="20">
        <v>30746038528</v>
      </c>
      <c r="L129" s="20">
        <v>30253370368</v>
      </c>
      <c r="M129" s="20">
        <v>30270044304</v>
      </c>
      <c r="N129" s="20">
        <v>29519732449</v>
      </c>
      <c r="O129" s="20">
        <v>29925617554</v>
      </c>
      <c r="P129" s="20">
        <v>29079033173</v>
      </c>
    </row>
    <row r="130" spans="1:16" x14ac:dyDescent="0.3">
      <c r="A130" s="11" t="s">
        <v>2764</v>
      </c>
      <c r="B130" s="11" t="s">
        <v>213</v>
      </c>
      <c r="C130" s="20"/>
      <c r="D130" s="20">
        <v>63315004309</v>
      </c>
      <c r="E130" s="20">
        <v>68984942881</v>
      </c>
      <c r="F130" s="20">
        <v>72843183197</v>
      </c>
      <c r="G130" s="20">
        <v>71449082882</v>
      </c>
      <c r="H130" s="20">
        <v>80531500806</v>
      </c>
      <c r="I130" s="20">
        <v>80996908891</v>
      </c>
      <c r="J130" s="20">
        <v>78914500618</v>
      </c>
      <c r="K130" s="20">
        <v>74314267169</v>
      </c>
      <c r="L130" s="20">
        <v>75275695967</v>
      </c>
      <c r="M130" s="20">
        <v>77249143708</v>
      </c>
      <c r="N130" s="20">
        <v>76638871333</v>
      </c>
      <c r="O130" s="20">
        <v>80750483255</v>
      </c>
      <c r="P130" s="20">
        <v>79733421938</v>
      </c>
    </row>
    <row r="131" spans="1:16" x14ac:dyDescent="0.3">
      <c r="A131" s="11" t="s">
        <v>2765</v>
      </c>
      <c r="B131" s="11" t="s">
        <v>96</v>
      </c>
      <c r="C131" s="20"/>
      <c r="D131" s="20">
        <v>33658613216</v>
      </c>
      <c r="E131" s="20">
        <v>33778091136</v>
      </c>
      <c r="F131" s="20">
        <v>33843969312</v>
      </c>
      <c r="G131" s="20">
        <v>37921976158</v>
      </c>
      <c r="H131" s="20">
        <v>37951932962</v>
      </c>
      <c r="I131" s="20">
        <v>37994946071</v>
      </c>
      <c r="J131" s="20">
        <v>38057268291</v>
      </c>
      <c r="K131" s="20">
        <v>38092041169</v>
      </c>
      <c r="L131" s="20">
        <v>38260051303</v>
      </c>
      <c r="M131" s="20">
        <v>38331421265</v>
      </c>
      <c r="N131" s="20">
        <v>38462379734</v>
      </c>
      <c r="O131" s="20">
        <v>38610308673</v>
      </c>
      <c r="P131" s="20">
        <v>38787629929</v>
      </c>
    </row>
    <row r="132" spans="1:16" x14ac:dyDescent="0.3">
      <c r="A132" s="11" t="s">
        <v>2766</v>
      </c>
      <c r="B132" s="11" t="s">
        <v>210</v>
      </c>
      <c r="C132" s="20"/>
      <c r="D132" s="20">
        <v>0</v>
      </c>
      <c r="E132" s="20">
        <v>0</v>
      </c>
      <c r="F132" s="20">
        <v>0</v>
      </c>
      <c r="G132" s="20">
        <v>0</v>
      </c>
      <c r="H132" s="20">
        <v>0</v>
      </c>
      <c r="I132" s="20">
        <v>0</v>
      </c>
      <c r="J132" s="20">
        <v>0</v>
      </c>
      <c r="K132" s="20">
        <v>0</v>
      </c>
      <c r="L132" s="20">
        <v>0</v>
      </c>
      <c r="M132" s="20">
        <v>0</v>
      </c>
      <c r="N132" s="20">
        <v>0</v>
      </c>
      <c r="O132" s="20">
        <v>0</v>
      </c>
      <c r="P132" s="20">
        <v>0</v>
      </c>
    </row>
    <row r="133" spans="1:16" x14ac:dyDescent="0.3">
      <c r="A133" s="11" t="s">
        <v>2767</v>
      </c>
      <c r="B133" s="11" t="s">
        <v>104</v>
      </c>
      <c r="C133" s="20"/>
      <c r="D133" s="20">
        <v>88855245917</v>
      </c>
      <c r="E133" s="20">
        <v>85070858710</v>
      </c>
      <c r="F133" s="20">
        <v>86833104257</v>
      </c>
      <c r="G133" s="20">
        <v>79210310128</v>
      </c>
      <c r="H133" s="20">
        <v>76066120020</v>
      </c>
      <c r="I133" s="20">
        <v>75926472372</v>
      </c>
      <c r="J133" s="20">
        <v>76087356525</v>
      </c>
      <c r="K133" s="20">
        <v>65571433183</v>
      </c>
      <c r="L133" s="20">
        <v>66370218017</v>
      </c>
      <c r="M133" s="20">
        <v>66986433707</v>
      </c>
      <c r="N133" s="20">
        <v>67993120585</v>
      </c>
      <c r="O133" s="20">
        <v>68369919874</v>
      </c>
      <c r="P133" s="20">
        <v>68254716590</v>
      </c>
    </row>
    <row r="134" spans="1:16" x14ac:dyDescent="0.3">
      <c r="A134" s="11" t="s">
        <v>2768</v>
      </c>
      <c r="B134" s="11" t="s">
        <v>103</v>
      </c>
      <c r="C134" s="20"/>
      <c r="D134" s="20">
        <v>163112104319.19</v>
      </c>
      <c r="E134" s="20">
        <v>172948524432.82999</v>
      </c>
      <c r="F134" s="20">
        <v>175976967852.72</v>
      </c>
      <c r="G134" s="20">
        <v>176599440351.35001</v>
      </c>
      <c r="H134" s="20">
        <v>184291914814.39999</v>
      </c>
      <c r="I134" s="20">
        <v>188944126784.34</v>
      </c>
      <c r="J134" s="20">
        <v>187425268322.59</v>
      </c>
      <c r="K134" s="20">
        <v>183407221495.23999</v>
      </c>
      <c r="L134" s="20">
        <v>249272951511.06</v>
      </c>
      <c r="M134" s="20">
        <v>248345301285</v>
      </c>
      <c r="N134" s="20">
        <v>246436691583</v>
      </c>
      <c r="O134" s="20">
        <v>199175811163.01999</v>
      </c>
      <c r="P134" s="20">
        <v>200623223502.76001</v>
      </c>
    </row>
    <row r="135" spans="1:16" x14ac:dyDescent="0.3">
      <c r="A135" s="11" t="s">
        <v>2769</v>
      </c>
      <c r="B135" s="11" t="s">
        <v>209</v>
      </c>
      <c r="C135" s="20"/>
      <c r="D135" s="20">
        <v>160423893365</v>
      </c>
      <c r="E135" s="20">
        <v>170265211137</v>
      </c>
      <c r="F135" s="20">
        <v>173134220403</v>
      </c>
      <c r="G135" s="20">
        <v>173816564872</v>
      </c>
      <c r="H135" s="20">
        <v>181482206908</v>
      </c>
      <c r="I135" s="20">
        <v>186085178255</v>
      </c>
      <c r="J135" s="20">
        <v>184571978769</v>
      </c>
      <c r="K135" s="20">
        <v>180483395538</v>
      </c>
      <c r="L135" s="20">
        <v>246313837651</v>
      </c>
      <c r="M135" s="20">
        <v>245442831925</v>
      </c>
      <c r="N135" s="20">
        <v>243303098066</v>
      </c>
      <c r="O135" s="20">
        <v>196066999461</v>
      </c>
      <c r="P135" s="20">
        <v>197578157021</v>
      </c>
    </row>
    <row r="136" spans="1:16" x14ac:dyDescent="0.3">
      <c r="A136" s="11" t="s">
        <v>2770</v>
      </c>
      <c r="B136" s="11" t="s">
        <v>208</v>
      </c>
      <c r="C136" s="20"/>
      <c r="D136" s="20">
        <v>2688210954.1899996</v>
      </c>
      <c r="E136" s="20">
        <v>2683313295.8299961</v>
      </c>
      <c r="F136" s="20">
        <v>2842747449.7199922</v>
      </c>
      <c r="G136" s="20">
        <v>2782875479.3500032</v>
      </c>
      <c r="H136" s="20">
        <v>2809707906.3999968</v>
      </c>
      <c r="I136" s="20">
        <v>2858948529.3399982</v>
      </c>
      <c r="J136" s="20">
        <v>2853289553.5900021</v>
      </c>
      <c r="K136" s="20">
        <v>2923825957.2399979</v>
      </c>
      <c r="L136" s="20">
        <v>2959113860.0599952</v>
      </c>
      <c r="M136" s="20">
        <v>2902469360</v>
      </c>
      <c r="N136" s="20">
        <v>3133593517</v>
      </c>
      <c r="O136" s="20">
        <v>3108811702.0200038</v>
      </c>
      <c r="P136" s="20">
        <v>3045066481.7599978</v>
      </c>
    </row>
    <row r="137" spans="1:16" x14ac:dyDescent="0.3">
      <c r="A137" s="11" t="s">
        <v>2771</v>
      </c>
      <c r="B137" s="11" t="s">
        <v>102</v>
      </c>
      <c r="C137" s="20"/>
      <c r="D137" s="20">
        <v>41802178567</v>
      </c>
      <c r="E137" s="20">
        <v>47662037221</v>
      </c>
      <c r="F137" s="20">
        <v>41762300255</v>
      </c>
      <c r="G137" s="20">
        <v>46528214476</v>
      </c>
      <c r="H137" s="20">
        <v>45086202585</v>
      </c>
      <c r="I137" s="20">
        <v>45176222787</v>
      </c>
      <c r="J137" s="20">
        <v>43254863394</v>
      </c>
      <c r="K137" s="20">
        <v>45736392188</v>
      </c>
      <c r="L137" s="20">
        <v>47425935184</v>
      </c>
      <c r="M137" s="20">
        <v>47169182066</v>
      </c>
      <c r="N137" s="20">
        <v>40987826937</v>
      </c>
      <c r="O137" s="20">
        <v>47247594428</v>
      </c>
      <c r="P137" s="20">
        <v>39296904731</v>
      </c>
    </row>
    <row r="138" spans="1:16" x14ac:dyDescent="0.3">
      <c r="A138" s="11" t="s">
        <v>2772</v>
      </c>
      <c r="B138" s="11" t="s">
        <v>207</v>
      </c>
      <c r="C138" s="20"/>
      <c r="D138" s="20">
        <v>0</v>
      </c>
      <c r="E138" s="20">
        <v>0</v>
      </c>
      <c r="F138" s="20">
        <v>0</v>
      </c>
      <c r="G138" s="20">
        <v>0</v>
      </c>
      <c r="H138" s="20">
        <v>0</v>
      </c>
      <c r="I138" s="20">
        <v>0</v>
      </c>
      <c r="J138" s="20">
        <v>0</v>
      </c>
      <c r="K138" s="20">
        <v>0</v>
      </c>
      <c r="L138" s="20">
        <v>0</v>
      </c>
      <c r="M138" s="20">
        <v>0</v>
      </c>
      <c r="N138" s="20">
        <v>0</v>
      </c>
      <c r="O138" s="20">
        <v>0</v>
      </c>
      <c r="P138" s="20">
        <v>0</v>
      </c>
    </row>
    <row r="139" spans="1:16" x14ac:dyDescent="0.3">
      <c r="A139" s="11" t="s">
        <v>2773</v>
      </c>
      <c r="B139" s="11" t="s">
        <v>100</v>
      </c>
      <c r="C139" s="20"/>
      <c r="D139" s="20">
        <v>0</v>
      </c>
      <c r="E139" s="20">
        <v>0</v>
      </c>
      <c r="F139" s="20">
        <v>0</v>
      </c>
      <c r="G139" s="20">
        <v>0</v>
      </c>
      <c r="H139" s="20">
        <v>0</v>
      </c>
      <c r="I139" s="20">
        <v>0</v>
      </c>
      <c r="J139" s="20">
        <v>0</v>
      </c>
      <c r="K139" s="20">
        <v>0</v>
      </c>
      <c r="L139" s="20">
        <v>0</v>
      </c>
      <c r="M139" s="20">
        <v>0</v>
      </c>
      <c r="N139" s="20">
        <v>0</v>
      </c>
      <c r="O139" s="20">
        <v>0</v>
      </c>
      <c r="P139" s="20">
        <v>0</v>
      </c>
    </row>
    <row r="140" spans="1:16" x14ac:dyDescent="0.3">
      <c r="A140" s="11" t="s">
        <v>2774</v>
      </c>
      <c r="B140" s="11" t="s">
        <v>99</v>
      </c>
      <c r="C140" s="20"/>
      <c r="D140" s="20">
        <v>360371288</v>
      </c>
      <c r="E140" s="20">
        <v>153218174</v>
      </c>
      <c r="F140" s="20">
        <v>157344641</v>
      </c>
      <c r="G140" s="20">
        <v>387727452</v>
      </c>
      <c r="H140" s="20">
        <v>385246735</v>
      </c>
      <c r="I140" s="20">
        <v>160888950</v>
      </c>
      <c r="J140" s="20">
        <v>162361876</v>
      </c>
      <c r="K140" s="20">
        <v>165848584</v>
      </c>
      <c r="L140" s="20">
        <v>162568685</v>
      </c>
      <c r="M140" s="20">
        <v>466385480</v>
      </c>
      <c r="N140" s="20">
        <v>172700503</v>
      </c>
      <c r="O140" s="20">
        <v>175071934</v>
      </c>
      <c r="P140" s="20">
        <v>175073754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23"/>
  <sheetViews>
    <sheetView zoomScale="101" zoomScaleNormal="100" workbookViewId="0">
      <pane xSplit="2" ySplit="2" topLeftCell="N3" activePane="bottomRight" state="frozen"/>
      <selection pane="topRight" activeCell="C1" sqref="C1"/>
      <selection pane="bottomLeft" activeCell="A3" sqref="A3"/>
      <selection pane="bottomRight" activeCell="P1" sqref="P1:P1048576"/>
    </sheetView>
  </sheetViews>
  <sheetFormatPr baseColWidth="10" defaultColWidth="9.44140625" defaultRowHeight="14.4" x14ac:dyDescent="0.3"/>
  <cols>
    <col min="1" max="1" width="14" bestFit="1" customWidth="1"/>
    <col min="2" max="2" width="28.44140625" customWidth="1"/>
    <col min="3" max="8" width="13.5546875" style="1" customWidth="1"/>
    <col min="9" max="16" width="13.5546875" customWidth="1"/>
  </cols>
  <sheetData>
    <row r="1" spans="1:16"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t="s">
        <v>2775</v>
      </c>
      <c r="B3" s="11" t="s">
        <v>204</v>
      </c>
      <c r="C3" s="20">
        <v>29357584689.046566</v>
      </c>
      <c r="D3" s="20">
        <v>29358591366.046566</v>
      </c>
      <c r="E3" s="20">
        <v>29442541790.81913</v>
      </c>
      <c r="F3" s="20">
        <v>29596924839.786713</v>
      </c>
      <c r="G3" s="20">
        <v>29826656869.488659</v>
      </c>
      <c r="H3" s="20">
        <v>29501385340.081654</v>
      </c>
      <c r="I3" s="20">
        <v>29677317504.586212</v>
      </c>
      <c r="J3" s="20">
        <v>29792806947.670586</v>
      </c>
      <c r="K3" s="20">
        <v>29447396363.885551</v>
      </c>
      <c r="L3" s="20">
        <v>29388072219.569916</v>
      </c>
      <c r="M3" s="20">
        <v>29387286507.318531</v>
      </c>
      <c r="N3" s="20">
        <v>29166430461.223652</v>
      </c>
      <c r="O3" s="20">
        <v>29404507256.17392</v>
      </c>
      <c r="P3" s="20">
        <v>29767218613.264221</v>
      </c>
    </row>
    <row r="4" spans="1:16" x14ac:dyDescent="0.3">
      <c r="A4" s="11" t="s">
        <v>2776</v>
      </c>
      <c r="B4" s="11" t="s">
        <v>203</v>
      </c>
      <c r="C4" s="20"/>
      <c r="D4" s="20">
        <v>10581341</v>
      </c>
      <c r="E4" s="20">
        <v>14948176.340091566</v>
      </c>
      <c r="F4" s="20">
        <v>31737681.644751545</v>
      </c>
      <c r="G4" s="20">
        <v>38124074.383385472</v>
      </c>
      <c r="H4" s="20">
        <v>26304964.786396943</v>
      </c>
      <c r="I4" s="20">
        <v>22574326.721498664</v>
      </c>
      <c r="J4" s="20">
        <v>47967421.373294286</v>
      </c>
      <c r="K4" s="20">
        <v>16054614.039653292</v>
      </c>
      <c r="L4" s="20">
        <v>25880752.566203155</v>
      </c>
      <c r="M4" s="20">
        <v>20214524.95868843</v>
      </c>
      <c r="N4" s="20">
        <v>7058619.9879121557</v>
      </c>
      <c r="O4" s="20">
        <v>23777729.62967445</v>
      </c>
      <c r="P4" s="20">
        <v>4903700.4417256173</v>
      </c>
    </row>
    <row r="5" spans="1:16" x14ac:dyDescent="0.3">
      <c r="A5" s="11" t="s">
        <v>2777</v>
      </c>
      <c r="B5" s="11" t="s">
        <v>202</v>
      </c>
      <c r="C5" s="20"/>
      <c r="D5" s="20">
        <v>0</v>
      </c>
      <c r="E5" s="20">
        <v>0</v>
      </c>
      <c r="F5" s="20">
        <v>0</v>
      </c>
      <c r="G5" s="20">
        <v>0</v>
      </c>
      <c r="H5" s="20">
        <v>0</v>
      </c>
      <c r="I5" s="20">
        <v>0</v>
      </c>
      <c r="J5" s="20">
        <v>0</v>
      </c>
      <c r="K5" s="20">
        <v>0</v>
      </c>
      <c r="L5" s="20">
        <v>0</v>
      </c>
      <c r="M5" s="20">
        <v>0</v>
      </c>
      <c r="N5" s="20">
        <v>0</v>
      </c>
      <c r="O5" s="20">
        <v>0</v>
      </c>
      <c r="P5" s="20">
        <v>0</v>
      </c>
    </row>
    <row r="6" spans="1:16" x14ac:dyDescent="0.3">
      <c r="A6" s="11" t="s">
        <v>2778</v>
      </c>
      <c r="B6" s="11" t="s">
        <v>82</v>
      </c>
      <c r="C6" s="20"/>
      <c r="D6" s="20">
        <v>0</v>
      </c>
      <c r="E6" s="20">
        <v>0</v>
      </c>
      <c r="F6" s="20">
        <v>0</v>
      </c>
      <c r="G6" s="20">
        <v>0</v>
      </c>
      <c r="H6" s="20">
        <v>0</v>
      </c>
      <c r="I6" s="20">
        <v>0</v>
      </c>
      <c r="J6" s="20">
        <v>0</v>
      </c>
      <c r="K6" s="20">
        <v>0</v>
      </c>
      <c r="L6" s="20">
        <v>0</v>
      </c>
      <c r="M6" s="20">
        <v>0</v>
      </c>
      <c r="N6" s="20">
        <v>0</v>
      </c>
      <c r="O6" s="20">
        <v>0</v>
      </c>
      <c r="P6" s="20">
        <v>0</v>
      </c>
    </row>
    <row r="7" spans="1:16" x14ac:dyDescent="0.3">
      <c r="A7" s="11" t="s">
        <v>2779</v>
      </c>
      <c r="B7" s="11" t="s">
        <v>201</v>
      </c>
      <c r="C7" s="20"/>
      <c r="D7" s="20">
        <v>0</v>
      </c>
      <c r="E7" s="20">
        <v>0</v>
      </c>
      <c r="F7" s="20">
        <v>0</v>
      </c>
      <c r="G7" s="20">
        <v>0</v>
      </c>
      <c r="H7" s="20">
        <v>0</v>
      </c>
      <c r="I7" s="20">
        <v>0</v>
      </c>
      <c r="J7" s="20">
        <v>0</v>
      </c>
      <c r="K7" s="20">
        <v>0</v>
      </c>
      <c r="L7" s="20">
        <v>0</v>
      </c>
      <c r="M7" s="20">
        <v>0</v>
      </c>
      <c r="N7" s="20">
        <v>0</v>
      </c>
      <c r="O7" s="20">
        <v>0</v>
      </c>
      <c r="P7" s="20">
        <v>0</v>
      </c>
    </row>
    <row r="8" spans="1:16" x14ac:dyDescent="0.3">
      <c r="A8" s="11" t="s">
        <v>2780</v>
      </c>
      <c r="B8" s="11" t="s">
        <v>200</v>
      </c>
      <c r="C8" s="20"/>
      <c r="D8" s="20">
        <v>0</v>
      </c>
      <c r="E8" s="20">
        <v>0</v>
      </c>
      <c r="F8" s="20">
        <v>0</v>
      </c>
      <c r="G8" s="20">
        <v>0</v>
      </c>
      <c r="H8" s="20">
        <v>0</v>
      </c>
      <c r="I8" s="20">
        <v>0</v>
      </c>
      <c r="J8" s="20">
        <v>0</v>
      </c>
      <c r="K8" s="20">
        <v>0</v>
      </c>
      <c r="L8" s="20">
        <v>0</v>
      </c>
      <c r="M8" s="20">
        <v>0</v>
      </c>
      <c r="N8" s="20">
        <v>0</v>
      </c>
      <c r="O8" s="20">
        <v>0</v>
      </c>
      <c r="P8" s="20">
        <v>0</v>
      </c>
    </row>
    <row r="9" spans="1:16" x14ac:dyDescent="0.3">
      <c r="A9" s="11" t="s">
        <v>2781</v>
      </c>
      <c r="B9" s="11" t="s">
        <v>199</v>
      </c>
      <c r="C9" s="20"/>
      <c r="D9" s="20">
        <v>0</v>
      </c>
      <c r="E9" s="20">
        <v>0</v>
      </c>
      <c r="F9" s="20">
        <v>0</v>
      </c>
      <c r="G9" s="20">
        <v>0</v>
      </c>
      <c r="H9" s="20">
        <v>0</v>
      </c>
      <c r="I9" s="20">
        <v>0</v>
      </c>
      <c r="J9" s="20">
        <v>0</v>
      </c>
      <c r="K9" s="20">
        <v>0</v>
      </c>
      <c r="L9" s="20">
        <v>0</v>
      </c>
      <c r="M9" s="20">
        <v>0</v>
      </c>
      <c r="N9" s="20">
        <v>0</v>
      </c>
      <c r="O9" s="20">
        <v>0</v>
      </c>
      <c r="P9" s="20">
        <v>0</v>
      </c>
    </row>
    <row r="10" spans="1:16" x14ac:dyDescent="0.3">
      <c r="A10" s="11" t="s">
        <v>2782</v>
      </c>
      <c r="B10" s="11" t="s">
        <v>198</v>
      </c>
      <c r="C10" s="20"/>
      <c r="D10" s="20">
        <v>0</v>
      </c>
      <c r="E10" s="20">
        <v>0</v>
      </c>
      <c r="F10" s="20">
        <v>0</v>
      </c>
      <c r="G10" s="20">
        <v>0</v>
      </c>
      <c r="H10" s="20">
        <v>0</v>
      </c>
      <c r="I10" s="20">
        <v>0</v>
      </c>
      <c r="J10" s="20">
        <v>0</v>
      </c>
      <c r="K10" s="20">
        <v>0</v>
      </c>
      <c r="L10" s="20">
        <v>0</v>
      </c>
      <c r="M10" s="20">
        <v>0</v>
      </c>
      <c r="N10" s="20">
        <v>0</v>
      </c>
      <c r="O10" s="20">
        <v>0</v>
      </c>
      <c r="P10" s="20">
        <v>0</v>
      </c>
    </row>
    <row r="11" spans="1:16" x14ac:dyDescent="0.3">
      <c r="A11" s="11" t="s">
        <v>2783</v>
      </c>
      <c r="B11" s="11" t="s">
        <v>197</v>
      </c>
      <c r="C11" s="20"/>
      <c r="D11" s="20">
        <v>0</v>
      </c>
      <c r="E11" s="20">
        <v>0</v>
      </c>
      <c r="F11" s="20">
        <v>0</v>
      </c>
      <c r="G11" s="20">
        <v>0</v>
      </c>
      <c r="H11" s="20">
        <v>0</v>
      </c>
      <c r="I11" s="20">
        <v>0</v>
      </c>
      <c r="J11" s="20">
        <v>0</v>
      </c>
      <c r="K11" s="20">
        <v>0</v>
      </c>
      <c r="L11" s="20">
        <v>0</v>
      </c>
      <c r="M11" s="20">
        <v>0</v>
      </c>
      <c r="N11" s="20">
        <v>0</v>
      </c>
      <c r="O11" s="20">
        <v>0</v>
      </c>
      <c r="P11" s="20">
        <v>0</v>
      </c>
    </row>
    <row r="12" spans="1:16" x14ac:dyDescent="0.3">
      <c r="A12" s="11" t="s">
        <v>2784</v>
      </c>
      <c r="B12" s="11" t="s">
        <v>147</v>
      </c>
      <c r="C12" s="20"/>
      <c r="D12" s="20">
        <v>0</v>
      </c>
      <c r="E12" s="20">
        <v>0</v>
      </c>
      <c r="F12" s="20">
        <v>0</v>
      </c>
      <c r="G12" s="20">
        <v>0</v>
      </c>
      <c r="H12" s="20">
        <v>0</v>
      </c>
      <c r="I12" s="20">
        <v>0</v>
      </c>
      <c r="J12" s="20">
        <v>0</v>
      </c>
      <c r="K12" s="20">
        <v>0</v>
      </c>
      <c r="L12" s="20">
        <v>0</v>
      </c>
      <c r="M12" s="20">
        <v>0</v>
      </c>
      <c r="N12" s="20">
        <v>0</v>
      </c>
      <c r="O12" s="20">
        <v>0</v>
      </c>
      <c r="P12" s="20">
        <v>0</v>
      </c>
    </row>
    <row r="13" spans="1:16" x14ac:dyDescent="0.3">
      <c r="A13" s="11" t="s">
        <v>2785</v>
      </c>
      <c r="B13" s="11" t="s">
        <v>74</v>
      </c>
      <c r="C13" s="20"/>
      <c r="D13" s="20">
        <v>0</v>
      </c>
      <c r="E13" s="20">
        <v>0</v>
      </c>
      <c r="F13" s="20">
        <v>0</v>
      </c>
      <c r="G13" s="20">
        <v>0</v>
      </c>
      <c r="H13" s="20">
        <v>0</v>
      </c>
      <c r="I13" s="20">
        <v>0</v>
      </c>
      <c r="J13" s="20">
        <v>0</v>
      </c>
      <c r="K13" s="20">
        <v>0</v>
      </c>
      <c r="L13" s="20">
        <v>0</v>
      </c>
      <c r="M13" s="20">
        <v>0</v>
      </c>
      <c r="N13" s="20">
        <v>0</v>
      </c>
      <c r="O13" s="20">
        <v>0</v>
      </c>
      <c r="P13" s="20">
        <v>0</v>
      </c>
    </row>
    <row r="14" spans="1:16" x14ac:dyDescent="0.3">
      <c r="A14" s="11" t="s">
        <v>2786</v>
      </c>
      <c r="B14" s="11" t="s">
        <v>142</v>
      </c>
      <c r="C14" s="20"/>
      <c r="D14" s="20">
        <v>0</v>
      </c>
      <c r="E14" s="20">
        <v>0</v>
      </c>
      <c r="F14" s="20">
        <v>0</v>
      </c>
      <c r="G14" s="20">
        <v>0</v>
      </c>
      <c r="H14" s="20">
        <v>0</v>
      </c>
      <c r="I14" s="20">
        <v>0</v>
      </c>
      <c r="J14" s="20">
        <v>0</v>
      </c>
      <c r="K14" s="20">
        <v>0</v>
      </c>
      <c r="L14" s="20">
        <v>0</v>
      </c>
      <c r="M14" s="20">
        <v>0</v>
      </c>
      <c r="N14" s="20">
        <v>0</v>
      </c>
      <c r="O14" s="20">
        <v>0</v>
      </c>
      <c r="P14" s="20">
        <v>0</v>
      </c>
    </row>
    <row r="15" spans="1:16" x14ac:dyDescent="0.3">
      <c r="A15" s="11" t="s">
        <v>2787</v>
      </c>
      <c r="B15" s="11" t="s">
        <v>141</v>
      </c>
      <c r="C15" s="20"/>
      <c r="D15" s="20">
        <v>0</v>
      </c>
      <c r="E15" s="20">
        <v>0</v>
      </c>
      <c r="F15" s="20">
        <v>0</v>
      </c>
      <c r="G15" s="20">
        <v>0</v>
      </c>
      <c r="H15" s="20">
        <v>0</v>
      </c>
      <c r="I15" s="20">
        <v>0</v>
      </c>
      <c r="J15" s="20">
        <v>0</v>
      </c>
      <c r="K15" s="20">
        <v>0</v>
      </c>
      <c r="L15" s="20">
        <v>0</v>
      </c>
      <c r="M15" s="20">
        <v>0</v>
      </c>
      <c r="N15" s="20">
        <v>0</v>
      </c>
      <c r="O15" s="20">
        <v>0</v>
      </c>
      <c r="P15" s="20">
        <v>0</v>
      </c>
    </row>
    <row r="16" spans="1:16" x14ac:dyDescent="0.3">
      <c r="A16" s="11" t="s">
        <v>2788</v>
      </c>
      <c r="B16" s="11" t="s">
        <v>196</v>
      </c>
      <c r="C16" s="20"/>
      <c r="D16" s="20">
        <v>0</v>
      </c>
      <c r="E16" s="20">
        <v>0</v>
      </c>
      <c r="F16" s="20">
        <v>0</v>
      </c>
      <c r="G16" s="20">
        <v>0</v>
      </c>
      <c r="H16" s="20">
        <v>0</v>
      </c>
      <c r="I16" s="20">
        <v>0</v>
      </c>
      <c r="J16" s="20">
        <v>0</v>
      </c>
      <c r="K16" s="20">
        <v>0</v>
      </c>
      <c r="L16" s="20">
        <v>0</v>
      </c>
      <c r="M16" s="20">
        <v>0</v>
      </c>
      <c r="N16" s="20">
        <v>0</v>
      </c>
      <c r="O16" s="20">
        <v>0</v>
      </c>
      <c r="P16" s="20">
        <v>0</v>
      </c>
    </row>
    <row r="17" spans="1:16" x14ac:dyDescent="0.3">
      <c r="A17" s="11" t="s">
        <v>2789</v>
      </c>
      <c r="B17" s="11" t="s">
        <v>195</v>
      </c>
      <c r="C17" s="20"/>
      <c r="D17" s="20">
        <v>27062714674</v>
      </c>
      <c r="E17" s="20">
        <v>27069266837.684265</v>
      </c>
      <c r="F17" s="20">
        <v>27205598374.444546</v>
      </c>
      <c r="G17" s="20">
        <v>27546247212.89497</v>
      </c>
      <c r="H17" s="20">
        <v>27239126837.086445</v>
      </c>
      <c r="I17" s="20">
        <v>27483067929.244427</v>
      </c>
      <c r="J17" s="20">
        <v>27578052656.142517</v>
      </c>
      <c r="K17" s="20">
        <v>27252743624.003456</v>
      </c>
      <c r="L17" s="20">
        <v>27217049134.486023</v>
      </c>
      <c r="M17" s="20">
        <v>27306253243.541142</v>
      </c>
      <c r="N17" s="20">
        <v>27081694085.206539</v>
      </c>
      <c r="O17" s="20">
        <v>27384301098.55056</v>
      </c>
      <c r="P17" s="20">
        <v>27641189065.220612</v>
      </c>
    </row>
    <row r="18" spans="1:16" x14ac:dyDescent="0.3">
      <c r="A18" s="11" t="s">
        <v>2790</v>
      </c>
      <c r="B18" s="11" t="s">
        <v>192</v>
      </c>
      <c r="C18" s="20"/>
      <c r="D18" s="20">
        <v>26950310896.832996</v>
      </c>
      <c r="E18" s="20">
        <v>26958298764.044266</v>
      </c>
      <c r="F18" s="20">
        <v>27097638299.074547</v>
      </c>
      <c r="G18" s="20">
        <v>27438059738.834969</v>
      </c>
      <c r="H18" s="20">
        <v>27127689554.706448</v>
      </c>
      <c r="I18" s="20">
        <v>27366237154.614426</v>
      </c>
      <c r="J18" s="20">
        <v>27461488814.602516</v>
      </c>
      <c r="K18" s="20">
        <v>27134276037.523457</v>
      </c>
      <c r="L18" s="20">
        <v>27100713351.656021</v>
      </c>
      <c r="M18" s="20">
        <v>27190373022.39114</v>
      </c>
      <c r="N18" s="20">
        <v>26963662117.126541</v>
      </c>
      <c r="O18" s="20">
        <v>27265399331.380562</v>
      </c>
      <c r="P18" s="20">
        <v>27517211505.090611</v>
      </c>
    </row>
    <row r="19" spans="1:16" x14ac:dyDescent="0.3">
      <c r="A19" s="11" t="s">
        <v>2791</v>
      </c>
      <c r="B19" s="11" t="s">
        <v>191</v>
      </c>
      <c r="C19" s="20"/>
      <c r="D19" s="20">
        <v>26194134221.932995</v>
      </c>
      <c r="E19" s="20">
        <v>26193702718.684265</v>
      </c>
      <c r="F19" s="20">
        <v>26327364489.914547</v>
      </c>
      <c r="G19" s="20">
        <v>26674382572.004967</v>
      </c>
      <c r="H19" s="20">
        <v>26370608696.12645</v>
      </c>
      <c r="I19" s="20">
        <v>26610708548.904427</v>
      </c>
      <c r="J19" s="20">
        <v>26710318122.582516</v>
      </c>
      <c r="K19" s="20">
        <v>27134276037.523457</v>
      </c>
      <c r="L19" s="20">
        <v>26363599085.056023</v>
      </c>
      <c r="M19" s="20">
        <v>26454614595.511139</v>
      </c>
      <c r="N19" s="20">
        <v>26227903690.24654</v>
      </c>
      <c r="O19" s="20">
        <v>26507032625.900558</v>
      </c>
      <c r="P19" s="20">
        <v>26758844799.610611</v>
      </c>
    </row>
    <row r="20" spans="1:16" x14ac:dyDescent="0.3">
      <c r="A20" s="11" t="s">
        <v>2792</v>
      </c>
      <c r="B20" s="11" t="s">
        <v>190</v>
      </c>
      <c r="C20" s="20"/>
      <c r="D20" s="20">
        <v>579202192.25000048</v>
      </c>
      <c r="E20" s="20">
        <v>589273822.77000034</v>
      </c>
      <c r="F20" s="20">
        <v>594905203.01999998</v>
      </c>
      <c r="G20" s="20">
        <v>597967557.40999985</v>
      </c>
      <c r="H20" s="20">
        <v>596229850.98999965</v>
      </c>
      <c r="I20" s="20">
        <v>597555095.45999992</v>
      </c>
      <c r="J20" s="20">
        <v>598153033.03000045</v>
      </c>
      <c r="K20" s="20">
        <v>0</v>
      </c>
      <c r="L20" s="20">
        <v>596785966.05000043</v>
      </c>
      <c r="M20" s="20">
        <v>598002572.57000041</v>
      </c>
      <c r="N20" s="20">
        <v>598002572.57000041</v>
      </c>
      <c r="O20" s="20">
        <v>631069085.27000046</v>
      </c>
      <c r="P20" s="20">
        <v>631069085.27000046</v>
      </c>
    </row>
    <row r="21" spans="1:16" x14ac:dyDescent="0.3">
      <c r="A21" s="11" t="s">
        <v>2793</v>
      </c>
      <c r="B21" s="11" t="s">
        <v>189</v>
      </c>
      <c r="C21" s="20"/>
      <c r="D21" s="20">
        <v>176974482.65000021</v>
      </c>
      <c r="E21" s="20">
        <v>175322222.58999932</v>
      </c>
      <c r="F21" s="20">
        <v>175368606.13999906</v>
      </c>
      <c r="G21" s="20">
        <v>165709609.42000008</v>
      </c>
      <c r="H21" s="20">
        <v>160851007.59000036</v>
      </c>
      <c r="I21" s="20">
        <v>157973510.24999958</v>
      </c>
      <c r="J21" s="20">
        <v>153017658.98999995</v>
      </c>
      <c r="K21" s="20">
        <v>0</v>
      </c>
      <c r="L21" s="20">
        <v>140328300.54999959</v>
      </c>
      <c r="M21" s="20">
        <v>137755854.3100006</v>
      </c>
      <c r="N21" s="20">
        <v>137755854.3100006</v>
      </c>
      <c r="O21" s="20">
        <v>127297620.2100005</v>
      </c>
      <c r="P21" s="20">
        <v>127297620.2100005</v>
      </c>
    </row>
    <row r="22" spans="1:16" x14ac:dyDescent="0.3">
      <c r="A22" s="11" t="s">
        <v>2794</v>
      </c>
      <c r="B22" s="11" t="s">
        <v>188</v>
      </c>
      <c r="C22" s="20"/>
      <c r="D22" s="20">
        <v>82765169.760000065</v>
      </c>
      <c r="E22" s="20">
        <v>82185248.37999998</v>
      </c>
      <c r="F22" s="20">
        <v>81289422.430000037</v>
      </c>
      <c r="G22" s="20">
        <v>82674502.88000001</v>
      </c>
      <c r="H22" s="20">
        <v>86118840.189999968</v>
      </c>
      <c r="I22" s="20">
        <v>93162028.769999966</v>
      </c>
      <c r="J22" s="20">
        <v>94532358.970000029</v>
      </c>
      <c r="K22" s="20">
        <v>97291096.209999993</v>
      </c>
      <c r="L22" s="20">
        <v>96311390.360000014</v>
      </c>
      <c r="M22" s="20">
        <v>96689938.539999947</v>
      </c>
      <c r="N22" s="20">
        <v>99716967.770000055</v>
      </c>
      <c r="O22" s="20">
        <v>101165435.17000011</v>
      </c>
      <c r="P22" s="20">
        <v>108088045.23</v>
      </c>
    </row>
    <row r="23" spans="1:16" x14ac:dyDescent="0.3">
      <c r="A23" s="11" t="s">
        <v>2795</v>
      </c>
      <c r="B23" s="11" t="s">
        <v>187</v>
      </c>
      <c r="C23" s="20"/>
      <c r="D23" s="20">
        <v>29638607.809999995</v>
      </c>
      <c r="E23" s="20">
        <v>28782825.260000043</v>
      </c>
      <c r="F23" s="20">
        <v>26670652.939999968</v>
      </c>
      <c r="G23" s="20">
        <v>25512971.18000003</v>
      </c>
      <c r="H23" s="20">
        <v>25318442.189999983</v>
      </c>
      <c r="I23" s="20">
        <v>23668745.859999985</v>
      </c>
      <c r="J23" s="20">
        <v>22031482.570000015</v>
      </c>
      <c r="K23" s="20">
        <v>21176490.270000003</v>
      </c>
      <c r="L23" s="20">
        <v>20024392.469999947</v>
      </c>
      <c r="M23" s="20">
        <v>19190282.610000011</v>
      </c>
      <c r="N23" s="20">
        <v>18315000.30999998</v>
      </c>
      <c r="O23" s="20">
        <v>17736332.000000019</v>
      </c>
      <c r="P23" s="20">
        <v>15889514.90000003</v>
      </c>
    </row>
    <row r="24" spans="1:16" x14ac:dyDescent="0.3">
      <c r="A24" s="11" t="s">
        <v>2796</v>
      </c>
      <c r="B24" s="11" t="s">
        <v>186</v>
      </c>
      <c r="C24" s="20"/>
      <c r="D24" s="20">
        <v>29638607.809999995</v>
      </c>
      <c r="E24" s="20">
        <v>28782825.260000043</v>
      </c>
      <c r="F24" s="20">
        <v>26670652.939999968</v>
      </c>
      <c r="G24" s="20">
        <v>25512971.18000003</v>
      </c>
      <c r="H24" s="20">
        <v>25318442.189999983</v>
      </c>
      <c r="I24" s="20">
        <v>23668745.859999985</v>
      </c>
      <c r="J24" s="20">
        <v>22031482.570000015</v>
      </c>
      <c r="K24" s="20">
        <v>21176490.270000003</v>
      </c>
      <c r="L24" s="20">
        <v>20024392.469999947</v>
      </c>
      <c r="M24" s="20">
        <v>19190282.610000011</v>
      </c>
      <c r="N24" s="20">
        <v>18315000.30999998</v>
      </c>
      <c r="O24" s="20">
        <v>17736332.000000019</v>
      </c>
      <c r="P24" s="20">
        <v>15889514.90000003</v>
      </c>
    </row>
    <row r="25" spans="1:16" x14ac:dyDescent="0.3">
      <c r="A25" s="11" t="s">
        <v>2797</v>
      </c>
      <c r="B25" s="11" t="s">
        <v>185</v>
      </c>
      <c r="C25" s="20"/>
      <c r="D25" s="20">
        <v>0</v>
      </c>
      <c r="E25" s="20">
        <v>0</v>
      </c>
      <c r="F25" s="20">
        <v>0</v>
      </c>
      <c r="G25" s="20">
        <v>0</v>
      </c>
      <c r="H25" s="20">
        <v>0</v>
      </c>
      <c r="I25" s="20">
        <v>0</v>
      </c>
      <c r="J25" s="20">
        <v>0</v>
      </c>
      <c r="K25" s="20">
        <v>0</v>
      </c>
      <c r="L25" s="20">
        <v>0</v>
      </c>
      <c r="M25" s="20">
        <v>0</v>
      </c>
      <c r="N25" s="20">
        <v>0</v>
      </c>
      <c r="O25" s="20">
        <v>0</v>
      </c>
      <c r="P25" s="20">
        <v>0</v>
      </c>
    </row>
    <row r="26" spans="1:16" x14ac:dyDescent="0.3">
      <c r="A26" s="11" t="s">
        <v>2798</v>
      </c>
      <c r="B26" s="11" t="s">
        <v>184</v>
      </c>
      <c r="C26" s="20"/>
      <c r="D26" s="20">
        <v>0</v>
      </c>
      <c r="E26" s="20">
        <v>0</v>
      </c>
      <c r="F26" s="20">
        <v>0</v>
      </c>
      <c r="G26" s="20">
        <v>0</v>
      </c>
      <c r="H26" s="20">
        <v>0</v>
      </c>
      <c r="I26" s="20">
        <v>0</v>
      </c>
      <c r="J26" s="20">
        <v>0</v>
      </c>
      <c r="K26" s="20">
        <v>0</v>
      </c>
      <c r="L26" s="20">
        <v>0</v>
      </c>
      <c r="M26" s="20">
        <v>0</v>
      </c>
      <c r="N26" s="20">
        <v>0</v>
      </c>
      <c r="O26" s="20">
        <v>0</v>
      </c>
      <c r="P26" s="20">
        <v>0</v>
      </c>
    </row>
    <row r="27" spans="1:16" x14ac:dyDescent="0.3">
      <c r="A27" s="11" t="s">
        <v>2799</v>
      </c>
      <c r="B27" s="11" t="s">
        <v>183</v>
      </c>
      <c r="C27" s="20"/>
      <c r="D27" s="20">
        <v>0</v>
      </c>
      <c r="E27" s="20">
        <v>0</v>
      </c>
      <c r="F27" s="20">
        <v>0</v>
      </c>
      <c r="G27" s="20">
        <v>0</v>
      </c>
      <c r="H27" s="20">
        <v>0</v>
      </c>
      <c r="I27" s="20">
        <v>0</v>
      </c>
      <c r="J27" s="20">
        <v>0</v>
      </c>
      <c r="K27" s="20">
        <v>0</v>
      </c>
      <c r="L27" s="20">
        <v>0</v>
      </c>
      <c r="M27" s="20">
        <v>0</v>
      </c>
      <c r="N27" s="20">
        <v>0</v>
      </c>
      <c r="O27" s="20">
        <v>0</v>
      </c>
      <c r="P27" s="20">
        <v>0</v>
      </c>
    </row>
    <row r="28" spans="1:16" x14ac:dyDescent="0.3">
      <c r="A28" s="11" t="s">
        <v>2800</v>
      </c>
      <c r="B28" s="11" t="s">
        <v>182</v>
      </c>
      <c r="C28" s="20"/>
      <c r="D28" s="20">
        <v>0</v>
      </c>
      <c r="E28" s="20">
        <v>0</v>
      </c>
      <c r="F28" s="20">
        <v>0</v>
      </c>
      <c r="G28" s="20">
        <v>0</v>
      </c>
      <c r="H28" s="20">
        <v>0</v>
      </c>
      <c r="I28" s="20">
        <v>0</v>
      </c>
      <c r="J28" s="20">
        <v>0</v>
      </c>
      <c r="K28" s="20">
        <v>0</v>
      </c>
      <c r="L28" s="20">
        <v>0</v>
      </c>
      <c r="M28" s="20">
        <v>0</v>
      </c>
      <c r="N28" s="20">
        <v>0</v>
      </c>
      <c r="O28" s="20">
        <v>0</v>
      </c>
      <c r="P28" s="20">
        <v>0</v>
      </c>
    </row>
    <row r="29" spans="1:16" x14ac:dyDescent="0.3">
      <c r="A29" s="11" t="s">
        <v>2801</v>
      </c>
      <c r="B29" s="11" t="s">
        <v>194</v>
      </c>
      <c r="C29" s="20"/>
      <c r="D29" s="20">
        <v>165547715</v>
      </c>
      <c r="E29" s="20">
        <v>159344769.61528325</v>
      </c>
      <c r="F29" s="20">
        <v>195303175.78228235</v>
      </c>
      <c r="G29" s="20">
        <v>176766083.33285218</v>
      </c>
      <c r="H29" s="20">
        <v>175233598.90189973</v>
      </c>
      <c r="I29" s="20">
        <v>186283702.0184319</v>
      </c>
      <c r="J29" s="20">
        <v>153845292.63960397</v>
      </c>
      <c r="K29" s="20">
        <v>214540338.12866104</v>
      </c>
      <c r="L29" s="20">
        <v>235811397.01541498</v>
      </c>
      <c r="M29" s="20">
        <v>174961460.8325865</v>
      </c>
      <c r="N29" s="20">
        <v>156498214.69821599</v>
      </c>
      <c r="O29" s="20">
        <v>239195811.64851251</v>
      </c>
      <c r="P29" s="20">
        <v>346329881.67794001</v>
      </c>
    </row>
    <row r="30" spans="1:16" x14ac:dyDescent="0.3">
      <c r="A30" s="11" t="s">
        <v>2802</v>
      </c>
      <c r="B30" s="11" t="s">
        <v>192</v>
      </c>
      <c r="C30" s="20"/>
      <c r="D30" s="20">
        <v>158902129.7509456</v>
      </c>
      <c r="E30" s="20">
        <v>152823731.85528317</v>
      </c>
      <c r="F30" s="20">
        <v>187812657.8622824</v>
      </c>
      <c r="G30" s="20">
        <v>169814940.93285215</v>
      </c>
      <c r="H30" s="20">
        <v>169313643.23189971</v>
      </c>
      <c r="I30" s="20">
        <v>178740088.4984318</v>
      </c>
      <c r="J30" s="20">
        <v>146653203.56960395</v>
      </c>
      <c r="K30" s="20">
        <v>206925537.87866101</v>
      </c>
      <c r="L30" s="20">
        <v>228331589.92541498</v>
      </c>
      <c r="M30" s="20">
        <v>168732686.86258641</v>
      </c>
      <c r="N30" s="20">
        <v>149722480.068216</v>
      </c>
      <c r="O30" s="20">
        <v>232868477.12851259</v>
      </c>
      <c r="P30" s="20">
        <v>339631950.14793998</v>
      </c>
    </row>
    <row r="31" spans="1:16" x14ac:dyDescent="0.3">
      <c r="A31" s="11" t="s">
        <v>2803</v>
      </c>
      <c r="B31" s="11" t="s">
        <v>191</v>
      </c>
      <c r="C31" s="20"/>
      <c r="D31" s="20">
        <v>158902129.7509456</v>
      </c>
      <c r="E31" s="20">
        <v>152823731.85528317</v>
      </c>
      <c r="F31" s="20">
        <v>187812657.8622824</v>
      </c>
      <c r="G31" s="20">
        <v>169814940.93285215</v>
      </c>
      <c r="H31" s="20">
        <v>168857295.59189972</v>
      </c>
      <c r="I31" s="20">
        <v>178314551.9084318</v>
      </c>
      <c r="J31" s="20">
        <v>146653203.56960395</v>
      </c>
      <c r="K31" s="20">
        <v>206925537.87866101</v>
      </c>
      <c r="L31" s="20">
        <v>228331589.92541498</v>
      </c>
      <c r="M31" s="20">
        <v>168732686.86258641</v>
      </c>
      <c r="N31" s="20">
        <v>149722480.068216</v>
      </c>
      <c r="O31" s="20">
        <v>232868477.12851259</v>
      </c>
      <c r="P31" s="20">
        <v>339631950.14793998</v>
      </c>
    </row>
    <row r="32" spans="1:16" x14ac:dyDescent="0.3">
      <c r="A32" s="11" t="s">
        <v>2804</v>
      </c>
      <c r="B32" s="11" t="s">
        <v>190</v>
      </c>
      <c r="C32" s="20"/>
      <c r="D32" s="20">
        <v>0</v>
      </c>
      <c r="E32" s="20">
        <v>0</v>
      </c>
      <c r="F32" s="20">
        <v>0</v>
      </c>
      <c r="G32" s="20">
        <v>0</v>
      </c>
      <c r="H32" s="20">
        <v>0</v>
      </c>
      <c r="I32" s="20">
        <v>0</v>
      </c>
      <c r="J32" s="20">
        <v>0</v>
      </c>
      <c r="K32" s="20">
        <v>0</v>
      </c>
      <c r="L32" s="20">
        <v>0</v>
      </c>
      <c r="M32" s="20">
        <v>0</v>
      </c>
      <c r="N32" s="20">
        <v>0</v>
      </c>
      <c r="O32" s="20">
        <v>0</v>
      </c>
      <c r="P32" s="20">
        <v>0</v>
      </c>
    </row>
    <row r="33" spans="1:16" x14ac:dyDescent="0.3">
      <c r="A33" s="11" t="s">
        <v>2805</v>
      </c>
      <c r="B33" s="11" t="s">
        <v>189</v>
      </c>
      <c r="C33" s="20"/>
      <c r="D33" s="20">
        <v>0</v>
      </c>
      <c r="E33" s="20">
        <v>0</v>
      </c>
      <c r="F33" s="20">
        <v>0</v>
      </c>
      <c r="G33" s="20">
        <v>0</v>
      </c>
      <c r="H33" s="20">
        <v>456347.64</v>
      </c>
      <c r="I33" s="20">
        <v>425536.59</v>
      </c>
      <c r="J33" s="20">
        <v>0</v>
      </c>
      <c r="K33" s="20">
        <v>0</v>
      </c>
      <c r="L33" s="20">
        <v>0</v>
      </c>
      <c r="M33" s="20">
        <v>0</v>
      </c>
      <c r="N33" s="20">
        <v>0</v>
      </c>
      <c r="O33" s="20">
        <v>0</v>
      </c>
      <c r="P33" s="20">
        <v>0</v>
      </c>
    </row>
    <row r="34" spans="1:16" x14ac:dyDescent="0.3">
      <c r="A34" s="11" t="s">
        <v>2806</v>
      </c>
      <c r="B34" s="11" t="s">
        <v>188</v>
      </c>
      <c r="C34" s="20"/>
      <c r="D34" s="20">
        <v>1249486.8899999815</v>
      </c>
      <c r="E34" s="20">
        <v>1207564.4900000053</v>
      </c>
      <c r="F34" s="20">
        <v>1197961.9000000108</v>
      </c>
      <c r="G34" s="20">
        <v>1034002.5000000028</v>
      </c>
      <c r="H34" s="20">
        <v>1397962.4799999779</v>
      </c>
      <c r="I34" s="20">
        <v>1639352.4200000078</v>
      </c>
      <c r="J34" s="20">
        <v>1045952.8100000022</v>
      </c>
      <c r="K34" s="20">
        <v>1938156.210000006</v>
      </c>
      <c r="L34" s="20">
        <v>2281381.2900000103</v>
      </c>
      <c r="M34" s="20">
        <v>769929.99000000395</v>
      </c>
      <c r="N34" s="20">
        <v>1460960.550000008</v>
      </c>
      <c r="O34" s="20">
        <v>779344.23999997997</v>
      </c>
      <c r="P34" s="20">
        <v>1498113.280000014</v>
      </c>
    </row>
    <row r="35" spans="1:16" x14ac:dyDescent="0.3">
      <c r="A35" s="11" t="s">
        <v>2807</v>
      </c>
      <c r="B35" s="11" t="s">
        <v>187</v>
      </c>
      <c r="C35" s="20"/>
      <c r="D35" s="20">
        <v>5396098.5099998694</v>
      </c>
      <c r="E35" s="20">
        <v>5313473.2700000787</v>
      </c>
      <c r="F35" s="20">
        <v>6292556.0199999567</v>
      </c>
      <c r="G35" s="20">
        <v>5917139.9000000209</v>
      </c>
      <c r="H35" s="20">
        <v>4521993.190000019</v>
      </c>
      <c r="I35" s="20">
        <v>5904261.1000000695</v>
      </c>
      <c r="J35" s="20">
        <v>6146136.2600000333</v>
      </c>
      <c r="K35" s="20">
        <v>5676644.0400000243</v>
      </c>
      <c r="L35" s="20">
        <v>5198425.7999999719</v>
      </c>
      <c r="M35" s="20">
        <v>5458843.9800000209</v>
      </c>
      <c r="N35" s="20">
        <v>5314774.0799999926</v>
      </c>
      <c r="O35" s="20">
        <v>5547990.2799999574</v>
      </c>
      <c r="P35" s="20">
        <v>5199818.2499999516</v>
      </c>
    </row>
    <row r="36" spans="1:16" x14ac:dyDescent="0.3">
      <c r="A36" s="11" t="s">
        <v>2808</v>
      </c>
      <c r="B36" s="11" t="s">
        <v>186</v>
      </c>
      <c r="C36" s="20"/>
      <c r="D36" s="20">
        <v>5396098.5099998694</v>
      </c>
      <c r="E36" s="20">
        <v>5313473.2700000787</v>
      </c>
      <c r="F36" s="20">
        <v>6292556.0199999567</v>
      </c>
      <c r="G36" s="20">
        <v>5917139.9000000209</v>
      </c>
      <c r="H36" s="20">
        <v>4521993.190000019</v>
      </c>
      <c r="I36" s="20">
        <v>5904261.1000000695</v>
      </c>
      <c r="J36" s="20">
        <v>6146136.2600000333</v>
      </c>
      <c r="K36" s="20">
        <v>5676644.0400000243</v>
      </c>
      <c r="L36" s="20">
        <v>5198425.7999999719</v>
      </c>
      <c r="M36" s="20">
        <v>5458843.9800000209</v>
      </c>
      <c r="N36" s="20">
        <v>5314774.0799999926</v>
      </c>
      <c r="O36" s="20">
        <v>5547990.2799999574</v>
      </c>
      <c r="P36" s="20">
        <v>5199818.2499999516</v>
      </c>
    </row>
    <row r="37" spans="1:16" x14ac:dyDescent="0.3">
      <c r="A37" s="11" t="s">
        <v>2809</v>
      </c>
      <c r="B37" s="11" t="s">
        <v>185</v>
      </c>
      <c r="C37" s="20"/>
      <c r="D37" s="20">
        <v>0</v>
      </c>
      <c r="E37" s="20">
        <v>0</v>
      </c>
      <c r="F37" s="20">
        <v>0</v>
      </c>
      <c r="G37" s="20">
        <v>0</v>
      </c>
      <c r="H37" s="20">
        <v>0</v>
      </c>
      <c r="I37" s="20">
        <v>0</v>
      </c>
      <c r="J37" s="20">
        <v>0</v>
      </c>
      <c r="K37" s="20">
        <v>0</v>
      </c>
      <c r="L37" s="20">
        <v>0</v>
      </c>
      <c r="M37" s="20">
        <v>0</v>
      </c>
      <c r="N37" s="20">
        <v>0</v>
      </c>
      <c r="O37" s="20">
        <v>0</v>
      </c>
      <c r="P37" s="20">
        <v>0</v>
      </c>
    </row>
    <row r="38" spans="1:16" x14ac:dyDescent="0.3">
      <c r="A38" s="11" t="s">
        <v>2810</v>
      </c>
      <c r="B38" s="11" t="s">
        <v>184</v>
      </c>
      <c r="C38" s="20"/>
      <c r="D38" s="20">
        <v>0</v>
      </c>
      <c r="E38" s="20">
        <v>0</v>
      </c>
      <c r="F38" s="20">
        <v>0</v>
      </c>
      <c r="G38" s="20">
        <v>0</v>
      </c>
      <c r="H38" s="20">
        <v>0</v>
      </c>
      <c r="I38" s="20">
        <v>0</v>
      </c>
      <c r="J38" s="20">
        <v>0</v>
      </c>
      <c r="K38" s="20">
        <v>0</v>
      </c>
      <c r="L38" s="20">
        <v>0</v>
      </c>
      <c r="M38" s="20">
        <v>0</v>
      </c>
      <c r="N38" s="20">
        <v>0</v>
      </c>
      <c r="O38" s="20">
        <v>0</v>
      </c>
      <c r="P38" s="20">
        <v>0</v>
      </c>
    </row>
    <row r="39" spans="1:16" x14ac:dyDescent="0.3">
      <c r="A39" s="11" t="s">
        <v>2811</v>
      </c>
      <c r="B39" s="11" t="s">
        <v>183</v>
      </c>
      <c r="C39" s="20"/>
      <c r="D39" s="20">
        <v>0</v>
      </c>
      <c r="E39" s="20">
        <v>0</v>
      </c>
      <c r="F39" s="20">
        <v>0</v>
      </c>
      <c r="G39" s="20">
        <v>0</v>
      </c>
      <c r="H39" s="20">
        <v>0</v>
      </c>
      <c r="I39" s="20">
        <v>0</v>
      </c>
      <c r="J39" s="20">
        <v>0</v>
      </c>
      <c r="K39" s="20">
        <v>0</v>
      </c>
      <c r="L39" s="20">
        <v>0</v>
      </c>
      <c r="M39" s="20">
        <v>0</v>
      </c>
      <c r="N39" s="20">
        <v>0</v>
      </c>
      <c r="O39" s="20">
        <v>0</v>
      </c>
      <c r="P39" s="20">
        <v>0</v>
      </c>
    </row>
    <row r="40" spans="1:16" x14ac:dyDescent="0.3">
      <c r="A40" s="11" t="s">
        <v>2812</v>
      </c>
      <c r="B40" s="11" t="s">
        <v>182</v>
      </c>
      <c r="C40" s="20"/>
      <c r="D40" s="20">
        <v>0</v>
      </c>
      <c r="E40" s="20">
        <v>0</v>
      </c>
      <c r="F40" s="20">
        <v>0</v>
      </c>
      <c r="G40" s="20">
        <v>0</v>
      </c>
      <c r="H40" s="20">
        <v>0</v>
      </c>
      <c r="I40" s="20">
        <v>0</v>
      </c>
      <c r="J40" s="20">
        <v>0</v>
      </c>
      <c r="K40" s="20">
        <v>0</v>
      </c>
      <c r="L40" s="20">
        <v>0</v>
      </c>
      <c r="M40" s="20">
        <v>0</v>
      </c>
      <c r="N40" s="20">
        <v>0</v>
      </c>
      <c r="O40" s="20">
        <v>0</v>
      </c>
      <c r="P40" s="20">
        <v>0</v>
      </c>
    </row>
    <row r="41" spans="1:16" x14ac:dyDescent="0.3">
      <c r="A41" s="11" t="s">
        <v>2813</v>
      </c>
      <c r="B41" s="11" t="s">
        <v>193</v>
      </c>
      <c r="C41" s="20"/>
      <c r="D41" s="20">
        <v>178361109.54667297</v>
      </c>
      <c r="E41" s="20">
        <v>182467288.27422699</v>
      </c>
      <c r="F41" s="20">
        <v>187981287.4839341</v>
      </c>
      <c r="G41" s="20">
        <v>191095533.910348</v>
      </c>
      <c r="H41" s="20">
        <v>221669954.35703185</v>
      </c>
      <c r="I41" s="20">
        <v>238978893.17607805</v>
      </c>
      <c r="J41" s="20">
        <v>255849978.88765594</v>
      </c>
      <c r="K41" s="20">
        <v>256948164.89115977</v>
      </c>
      <c r="L41" s="20">
        <v>236878846.15259486</v>
      </c>
      <c r="M41" s="20">
        <v>249849318.5063909</v>
      </c>
      <c r="N41" s="20">
        <v>249655336.35998791</v>
      </c>
      <c r="O41" s="20">
        <v>235052328.19947481</v>
      </c>
      <c r="P41" s="20">
        <v>183463099.39600009</v>
      </c>
    </row>
    <row r="42" spans="1:16" x14ac:dyDescent="0.3">
      <c r="A42" s="11" t="s">
        <v>2814</v>
      </c>
      <c r="B42" s="11" t="s">
        <v>192</v>
      </c>
      <c r="C42" s="20"/>
      <c r="D42" s="20">
        <v>161630129.37667298</v>
      </c>
      <c r="E42" s="20">
        <v>165920479.32422698</v>
      </c>
      <c r="F42" s="20">
        <v>171403620.83393407</v>
      </c>
      <c r="G42" s="20">
        <v>173922063.40034801</v>
      </c>
      <c r="H42" s="20">
        <v>204047325.95703185</v>
      </c>
      <c r="I42" s="20">
        <v>221845889.20607805</v>
      </c>
      <c r="J42" s="20">
        <v>238919174.15765592</v>
      </c>
      <c r="K42" s="20">
        <v>239924059.73115975</v>
      </c>
      <c r="L42" s="20">
        <v>219380952.53259489</v>
      </c>
      <c r="M42" s="20">
        <v>232763747.11639091</v>
      </c>
      <c r="N42" s="20">
        <v>233018672.88998789</v>
      </c>
      <c r="O42" s="20">
        <v>218369842.3694748</v>
      </c>
      <c r="P42" s="20">
        <v>167722898.20600009</v>
      </c>
    </row>
    <row r="43" spans="1:16" x14ac:dyDescent="0.3">
      <c r="A43" s="11" t="s">
        <v>2815</v>
      </c>
      <c r="B43" s="11" t="s">
        <v>191</v>
      </c>
      <c r="C43" s="20"/>
      <c r="D43" s="20">
        <v>161630129.37667298</v>
      </c>
      <c r="E43" s="20">
        <v>165920479.32422698</v>
      </c>
      <c r="F43" s="20">
        <v>171403620.83393407</v>
      </c>
      <c r="G43" s="20">
        <v>173922063.40034801</v>
      </c>
      <c r="H43" s="20">
        <v>204047325.95703185</v>
      </c>
      <c r="I43" s="20">
        <v>221845889.20607805</v>
      </c>
      <c r="J43" s="20">
        <v>238919174.15765592</v>
      </c>
      <c r="K43" s="20">
        <v>239924059.73115975</v>
      </c>
      <c r="L43" s="20">
        <v>219380952.53259489</v>
      </c>
      <c r="M43" s="20">
        <v>232763747.11639091</v>
      </c>
      <c r="N43" s="20">
        <v>233018672.88998789</v>
      </c>
      <c r="O43" s="20">
        <v>218369842.3694748</v>
      </c>
      <c r="P43" s="20">
        <v>167722898.20600009</v>
      </c>
    </row>
    <row r="44" spans="1:16" x14ac:dyDescent="0.3">
      <c r="A44" s="11" t="s">
        <v>2816</v>
      </c>
      <c r="B44" s="11" t="s">
        <v>190</v>
      </c>
      <c r="C44" s="20"/>
      <c r="D44" s="20">
        <v>0</v>
      </c>
      <c r="E44" s="20">
        <v>0</v>
      </c>
      <c r="F44" s="20">
        <v>0</v>
      </c>
      <c r="G44" s="20">
        <v>0</v>
      </c>
      <c r="H44" s="20">
        <v>0</v>
      </c>
      <c r="I44" s="20">
        <v>0</v>
      </c>
      <c r="J44" s="20">
        <v>0</v>
      </c>
      <c r="K44" s="20">
        <v>0</v>
      </c>
      <c r="L44" s="20">
        <v>0</v>
      </c>
      <c r="M44" s="20">
        <v>0</v>
      </c>
      <c r="N44" s="20">
        <v>0</v>
      </c>
      <c r="O44" s="20">
        <v>0</v>
      </c>
      <c r="P44" s="20">
        <v>0</v>
      </c>
    </row>
    <row r="45" spans="1:16" x14ac:dyDescent="0.3">
      <c r="A45" s="11" t="s">
        <v>2817</v>
      </c>
      <c r="B45" s="11" t="s">
        <v>189</v>
      </c>
      <c r="C45" s="20"/>
      <c r="D45" s="20">
        <v>0</v>
      </c>
      <c r="E45" s="20">
        <v>0</v>
      </c>
      <c r="F45" s="20">
        <v>0</v>
      </c>
      <c r="G45" s="20">
        <v>0</v>
      </c>
      <c r="H45" s="20">
        <v>0</v>
      </c>
      <c r="I45" s="20">
        <v>0</v>
      </c>
      <c r="J45" s="20">
        <v>0</v>
      </c>
      <c r="K45" s="20">
        <v>0</v>
      </c>
      <c r="L45" s="20">
        <v>0</v>
      </c>
      <c r="M45" s="20">
        <v>0</v>
      </c>
      <c r="N45" s="20">
        <v>0</v>
      </c>
      <c r="O45" s="20">
        <v>0</v>
      </c>
      <c r="P45" s="20">
        <v>0</v>
      </c>
    </row>
    <row r="46" spans="1:16" x14ac:dyDescent="0.3">
      <c r="A46" s="11" t="s">
        <v>2818</v>
      </c>
      <c r="B46" s="11" t="s">
        <v>188</v>
      </c>
      <c r="C46" s="20"/>
      <c r="D46" s="20">
        <v>776582.30000000051</v>
      </c>
      <c r="E46" s="20">
        <v>766539.52000000025</v>
      </c>
      <c r="F46" s="20">
        <v>766539.51999999979</v>
      </c>
      <c r="G46" s="20">
        <v>785870.67999999924</v>
      </c>
      <c r="H46" s="20">
        <v>798578.58999999869</v>
      </c>
      <c r="I46" s="20">
        <v>798578.59000000008</v>
      </c>
      <c r="J46" s="20">
        <v>798578.58999999915</v>
      </c>
      <c r="K46" s="20">
        <v>819134.11999999965</v>
      </c>
      <c r="L46" s="20">
        <v>668394.39999999979</v>
      </c>
      <c r="M46" s="20">
        <v>649770.37999999896</v>
      </c>
      <c r="N46" s="20">
        <v>649770.37999999896</v>
      </c>
      <c r="O46" s="20">
        <v>678724.86</v>
      </c>
      <c r="P46" s="20">
        <v>653622.18999999994</v>
      </c>
    </row>
    <row r="47" spans="1:16" x14ac:dyDescent="0.3">
      <c r="A47" s="11" t="s">
        <v>2819</v>
      </c>
      <c r="B47" s="11" t="s">
        <v>187</v>
      </c>
      <c r="C47" s="20"/>
      <c r="D47" s="20">
        <v>15954397.869999975</v>
      </c>
      <c r="E47" s="20">
        <v>15780269.43</v>
      </c>
      <c r="F47" s="20">
        <v>15811127.130000018</v>
      </c>
      <c r="G47" s="20">
        <v>16387599.829999994</v>
      </c>
      <c r="H47" s="20">
        <v>16824049.810000006</v>
      </c>
      <c r="I47" s="20">
        <v>16334425.379999988</v>
      </c>
      <c r="J47" s="20">
        <v>16132226.140000019</v>
      </c>
      <c r="K47" s="20">
        <v>16204971.040000014</v>
      </c>
      <c r="L47" s="20">
        <v>16829499.219999984</v>
      </c>
      <c r="M47" s="20">
        <v>16435801.01</v>
      </c>
      <c r="N47" s="20">
        <v>15986893.089999979</v>
      </c>
      <c r="O47" s="20">
        <v>16003760.970000001</v>
      </c>
      <c r="P47" s="20">
        <v>15086579</v>
      </c>
    </row>
    <row r="48" spans="1:16" x14ac:dyDescent="0.3">
      <c r="A48" s="11" t="s">
        <v>2820</v>
      </c>
      <c r="B48" s="11" t="s">
        <v>186</v>
      </c>
      <c r="C48" s="20"/>
      <c r="D48" s="20">
        <v>15954397.869999975</v>
      </c>
      <c r="E48" s="20">
        <v>15780269.43</v>
      </c>
      <c r="F48" s="20">
        <v>15811127.130000018</v>
      </c>
      <c r="G48" s="20">
        <v>16387599.829999994</v>
      </c>
      <c r="H48" s="20">
        <v>16824049.810000006</v>
      </c>
      <c r="I48" s="20">
        <v>16334425.379999988</v>
      </c>
      <c r="J48" s="20">
        <v>16132226.140000019</v>
      </c>
      <c r="K48" s="20">
        <v>16204971.040000014</v>
      </c>
      <c r="L48" s="20">
        <v>16829499.219999984</v>
      </c>
      <c r="M48" s="20">
        <v>16435801.01</v>
      </c>
      <c r="N48" s="20">
        <v>15986893.089999979</v>
      </c>
      <c r="O48" s="20">
        <v>16003760.970000001</v>
      </c>
      <c r="P48" s="20">
        <v>15086579</v>
      </c>
    </row>
    <row r="49" spans="1:16" x14ac:dyDescent="0.3">
      <c r="A49" s="11" t="s">
        <v>2821</v>
      </c>
      <c r="B49" s="11" t="s">
        <v>185</v>
      </c>
      <c r="C49" s="20"/>
      <c r="D49" s="20">
        <v>0</v>
      </c>
      <c r="E49" s="20">
        <v>0</v>
      </c>
      <c r="F49" s="20">
        <v>0</v>
      </c>
      <c r="G49" s="20">
        <v>0</v>
      </c>
      <c r="H49" s="20">
        <v>0</v>
      </c>
      <c r="I49" s="20">
        <v>0</v>
      </c>
      <c r="J49" s="20">
        <v>0</v>
      </c>
      <c r="K49" s="20">
        <v>0</v>
      </c>
      <c r="L49" s="20">
        <v>0</v>
      </c>
      <c r="M49" s="20">
        <v>0</v>
      </c>
      <c r="N49" s="20">
        <v>0</v>
      </c>
      <c r="O49" s="20">
        <v>0</v>
      </c>
      <c r="P49" s="20">
        <v>0</v>
      </c>
    </row>
    <row r="50" spans="1:16" x14ac:dyDescent="0.3">
      <c r="A50" s="11" t="s">
        <v>2822</v>
      </c>
      <c r="B50" s="11" t="s">
        <v>184</v>
      </c>
      <c r="C50" s="20"/>
      <c r="D50" s="20">
        <v>0</v>
      </c>
      <c r="E50" s="20">
        <v>0</v>
      </c>
      <c r="F50" s="20">
        <v>0</v>
      </c>
      <c r="G50" s="20">
        <v>0</v>
      </c>
      <c r="H50" s="20">
        <v>0</v>
      </c>
      <c r="I50" s="20">
        <v>0</v>
      </c>
      <c r="J50" s="20">
        <v>0</v>
      </c>
      <c r="K50" s="20">
        <v>0</v>
      </c>
      <c r="L50" s="20">
        <v>0</v>
      </c>
      <c r="M50" s="20">
        <v>0</v>
      </c>
      <c r="N50" s="20">
        <v>0</v>
      </c>
      <c r="O50" s="20">
        <v>0</v>
      </c>
      <c r="P50" s="20">
        <v>0</v>
      </c>
    </row>
    <row r="51" spans="1:16" x14ac:dyDescent="0.3">
      <c r="A51" s="11" t="s">
        <v>2823</v>
      </c>
      <c r="B51" s="11" t="s">
        <v>183</v>
      </c>
      <c r="C51" s="20"/>
      <c r="D51" s="20">
        <v>0</v>
      </c>
      <c r="E51" s="20">
        <v>0</v>
      </c>
      <c r="F51" s="20">
        <v>0</v>
      </c>
      <c r="G51" s="20">
        <v>0</v>
      </c>
      <c r="H51" s="20">
        <v>0</v>
      </c>
      <c r="I51" s="20">
        <v>0</v>
      </c>
      <c r="J51" s="20">
        <v>0</v>
      </c>
      <c r="K51" s="20">
        <v>0</v>
      </c>
      <c r="L51" s="20">
        <v>0</v>
      </c>
      <c r="M51" s="20">
        <v>0</v>
      </c>
      <c r="N51" s="20">
        <v>0</v>
      </c>
      <c r="O51" s="20">
        <v>0</v>
      </c>
      <c r="P51" s="20">
        <v>0</v>
      </c>
    </row>
    <row r="52" spans="1:16" x14ac:dyDescent="0.3">
      <c r="A52" s="11" t="s">
        <v>2824</v>
      </c>
      <c r="B52" s="11" t="s">
        <v>182</v>
      </c>
      <c r="C52" s="20"/>
      <c r="D52" s="20">
        <v>0</v>
      </c>
      <c r="E52" s="20">
        <v>0</v>
      </c>
      <c r="F52" s="20">
        <v>0</v>
      </c>
      <c r="G52" s="20">
        <v>0</v>
      </c>
      <c r="H52" s="20">
        <v>0</v>
      </c>
      <c r="I52" s="20">
        <v>0</v>
      </c>
      <c r="J52" s="20">
        <v>0</v>
      </c>
      <c r="K52" s="20">
        <v>0</v>
      </c>
      <c r="L52" s="20">
        <v>0</v>
      </c>
      <c r="M52" s="20">
        <v>0</v>
      </c>
      <c r="N52" s="20">
        <v>0</v>
      </c>
      <c r="O52" s="20">
        <v>0</v>
      </c>
      <c r="P52" s="20">
        <v>0</v>
      </c>
    </row>
    <row r="53" spans="1:16" x14ac:dyDescent="0.3">
      <c r="A53" s="11" t="s">
        <v>2825</v>
      </c>
      <c r="B53" s="11" t="s">
        <v>181</v>
      </c>
      <c r="C53" s="20"/>
      <c r="D53" s="20">
        <v>0</v>
      </c>
      <c r="E53" s="20">
        <v>0</v>
      </c>
      <c r="F53" s="20">
        <v>0</v>
      </c>
      <c r="G53" s="20">
        <v>0</v>
      </c>
      <c r="H53" s="20">
        <v>0</v>
      </c>
      <c r="I53" s="20">
        <v>0</v>
      </c>
      <c r="J53" s="20">
        <v>0</v>
      </c>
      <c r="K53" s="20">
        <v>0</v>
      </c>
      <c r="L53" s="20">
        <v>0</v>
      </c>
      <c r="M53" s="20">
        <v>0</v>
      </c>
      <c r="N53" s="20">
        <v>0</v>
      </c>
      <c r="O53" s="20">
        <v>0</v>
      </c>
      <c r="P53" s="20">
        <v>0</v>
      </c>
    </row>
    <row r="54" spans="1:16" x14ac:dyDescent="0.3">
      <c r="A54" s="11" t="s">
        <v>2826</v>
      </c>
      <c r="B54" s="11" t="s">
        <v>180</v>
      </c>
      <c r="C54" s="20"/>
      <c r="D54" s="20">
        <v>27406623499.100613</v>
      </c>
      <c r="E54" s="20">
        <v>27411078895.573776</v>
      </c>
      <c r="F54" s="20">
        <v>27588882837.710762</v>
      </c>
      <c r="G54" s="20">
        <v>27914108830.138168</v>
      </c>
      <c r="H54" s="20">
        <v>27636030390.345379</v>
      </c>
      <c r="I54" s="20">
        <v>27908330524.438938</v>
      </c>
      <c r="J54" s="20">
        <v>27987747927.669777</v>
      </c>
      <c r="K54" s="20">
        <v>27724232127.023277</v>
      </c>
      <c r="L54" s="20">
        <v>27689739377.654034</v>
      </c>
      <c r="M54" s="20">
        <v>27731064022.880119</v>
      </c>
      <c r="N54" s="20">
        <v>27487847636.26474</v>
      </c>
      <c r="O54" s="20">
        <v>27858549238.398548</v>
      </c>
      <c r="P54" s="20">
        <v>28170982046.294552</v>
      </c>
    </row>
    <row r="55" spans="1:16" x14ac:dyDescent="0.3">
      <c r="A55" s="11" t="s">
        <v>2827</v>
      </c>
      <c r="B55" s="11" t="s">
        <v>179</v>
      </c>
      <c r="C55" s="20"/>
      <c r="D55" s="20">
        <v>68103816.14379479</v>
      </c>
      <c r="E55" s="20">
        <v>71538479.807705104</v>
      </c>
      <c r="F55" s="20">
        <v>71347540.705609962</v>
      </c>
      <c r="G55" s="20">
        <v>74058051.816420078</v>
      </c>
      <c r="H55" s="20">
        <v>73787161.084279984</v>
      </c>
      <c r="I55" s="20">
        <v>76907790.400234923</v>
      </c>
      <c r="J55" s="20">
        <v>76762598.114169598</v>
      </c>
      <c r="K55" s="20">
        <v>78235615.575400159</v>
      </c>
      <c r="L55" s="20">
        <v>77489641.434824973</v>
      </c>
      <c r="M55" s="20">
        <v>75544744.257685259</v>
      </c>
      <c r="N55" s="20">
        <v>76454480.563580096</v>
      </c>
      <c r="O55" s="20">
        <v>75150242.395815149</v>
      </c>
      <c r="P55" s="20">
        <v>75574949.902399868</v>
      </c>
    </row>
    <row r="56" spans="1:16" x14ac:dyDescent="0.3">
      <c r="A56" s="11" t="s">
        <v>2828</v>
      </c>
      <c r="B56" s="11" t="s">
        <v>232</v>
      </c>
      <c r="C56" s="20"/>
      <c r="D56" s="20">
        <v>-371083080.24192184</v>
      </c>
      <c r="E56" s="20">
        <v>-354909426.39189386</v>
      </c>
      <c r="F56" s="20">
        <v>-375958821.87021613</v>
      </c>
      <c r="G56" s="20">
        <v>-375118492.89190888</v>
      </c>
      <c r="H56" s="20">
        <v>-379305353.85281563</v>
      </c>
      <c r="I56" s="20">
        <v>-383088570.05532068</v>
      </c>
      <c r="J56" s="20">
        <v>-384933055.91048342</v>
      </c>
      <c r="K56" s="20">
        <v>-394542000.19159859</v>
      </c>
      <c r="L56" s="20">
        <v>-378883242.93221349</v>
      </c>
      <c r="M56" s="20">
        <v>-374622248.75002247</v>
      </c>
      <c r="N56" s="20">
        <v>-360575774.59473711</v>
      </c>
      <c r="O56" s="20">
        <v>-357495773.5762161</v>
      </c>
      <c r="P56" s="20">
        <v>-303373685.97726268</v>
      </c>
    </row>
    <row r="57" spans="1:16" x14ac:dyDescent="0.3">
      <c r="A57" s="11" t="s">
        <v>2829</v>
      </c>
      <c r="B57" s="11" t="s">
        <v>177</v>
      </c>
      <c r="C57" s="20"/>
      <c r="D57" s="20">
        <v>27103644235.002487</v>
      </c>
      <c r="E57" s="20">
        <v>27127707948.989586</v>
      </c>
      <c r="F57" s="20">
        <v>27284271556.546154</v>
      </c>
      <c r="G57" s="20">
        <v>27613048389.062679</v>
      </c>
      <c r="H57" s="20">
        <v>27330512197.576843</v>
      </c>
      <c r="I57" s="20">
        <v>27602149744.783852</v>
      </c>
      <c r="J57" s="20">
        <v>27679577469.873463</v>
      </c>
      <c r="K57" s="20">
        <v>27407925742.407082</v>
      </c>
      <c r="L57" s="20">
        <v>27388345776.156647</v>
      </c>
      <c r="M57" s="20">
        <v>27431986518.387779</v>
      </c>
      <c r="N57" s="20">
        <v>27203726342.233589</v>
      </c>
      <c r="O57" s="20">
        <v>27576203707.218151</v>
      </c>
      <c r="P57" s="20">
        <v>27943183310.219681</v>
      </c>
    </row>
    <row r="58" spans="1:16" x14ac:dyDescent="0.3">
      <c r="A58" s="11" t="s">
        <v>2830</v>
      </c>
      <c r="B58" s="11" t="s">
        <v>175</v>
      </c>
      <c r="C58" s="20"/>
      <c r="D58" s="20">
        <v>0</v>
      </c>
      <c r="E58" s="20">
        <v>0</v>
      </c>
      <c r="F58" s="20">
        <v>0</v>
      </c>
      <c r="G58" s="20">
        <v>0</v>
      </c>
      <c r="H58" s="20">
        <v>0</v>
      </c>
      <c r="I58" s="20">
        <v>0</v>
      </c>
      <c r="J58" s="20">
        <v>0</v>
      </c>
      <c r="K58" s="20">
        <v>1.862645149230957E-9</v>
      </c>
      <c r="L58" s="20">
        <v>-1.862645149230957E-9</v>
      </c>
      <c r="M58" s="20">
        <v>0</v>
      </c>
      <c r="N58" s="20">
        <v>0</v>
      </c>
      <c r="O58" s="20">
        <v>0</v>
      </c>
      <c r="P58" s="20">
        <v>0</v>
      </c>
    </row>
    <row r="59" spans="1:16" x14ac:dyDescent="0.3">
      <c r="A59" s="11" t="s">
        <v>2831</v>
      </c>
      <c r="B59" s="11" t="s">
        <v>231</v>
      </c>
      <c r="C59" s="20"/>
      <c r="D59" s="20">
        <v>0</v>
      </c>
      <c r="E59" s="20">
        <v>0</v>
      </c>
      <c r="F59" s="20">
        <v>0</v>
      </c>
      <c r="G59" s="20">
        <v>0</v>
      </c>
      <c r="H59" s="20">
        <v>0</v>
      </c>
      <c r="I59" s="20">
        <v>-1.862645149230957E-9</v>
      </c>
      <c r="J59" s="20">
        <v>1.862645149230957E-9</v>
      </c>
      <c r="K59" s="20">
        <v>1.862645149230957E-9</v>
      </c>
      <c r="L59" s="20">
        <v>0</v>
      </c>
      <c r="M59" s="20">
        <v>0</v>
      </c>
      <c r="N59" s="20">
        <v>0</v>
      </c>
      <c r="O59" s="20">
        <v>2.0000000000000001E-9</v>
      </c>
      <c r="P59" s="20">
        <v>2.0000000000000001E-9</v>
      </c>
    </row>
    <row r="60" spans="1:16" x14ac:dyDescent="0.3">
      <c r="A60" s="11" t="s">
        <v>2832</v>
      </c>
      <c r="B60" s="11" t="s">
        <v>230</v>
      </c>
      <c r="C60" s="20"/>
      <c r="D60" s="20">
        <v>27103644235.002487</v>
      </c>
      <c r="E60" s="20">
        <v>27127707948.989586</v>
      </c>
      <c r="F60" s="20">
        <v>27284271556.546154</v>
      </c>
      <c r="G60" s="20">
        <v>27613048389.062679</v>
      </c>
      <c r="H60" s="20">
        <v>27330512197.576843</v>
      </c>
      <c r="I60" s="20">
        <v>27602149744.783852</v>
      </c>
      <c r="J60" s="20">
        <v>27679577469.873463</v>
      </c>
      <c r="K60" s="20">
        <v>27407925742.407082</v>
      </c>
      <c r="L60" s="20">
        <v>27388345776.156647</v>
      </c>
      <c r="M60" s="20">
        <v>27431986518.387779</v>
      </c>
      <c r="N60" s="20">
        <v>27203726342.233589</v>
      </c>
      <c r="O60" s="20">
        <v>27576203707.218151</v>
      </c>
      <c r="P60" s="20">
        <v>27943183310.219681</v>
      </c>
    </row>
    <row r="61" spans="1:16" x14ac:dyDescent="0.3">
      <c r="A61" s="11" t="s">
        <v>2833</v>
      </c>
      <c r="B61" s="11" t="s">
        <v>172</v>
      </c>
      <c r="C61" s="20"/>
      <c r="D61" s="20">
        <v>0</v>
      </c>
      <c r="E61" s="20">
        <v>0</v>
      </c>
      <c r="F61" s="20">
        <v>0</v>
      </c>
      <c r="G61" s="20">
        <v>0</v>
      </c>
      <c r="H61" s="20">
        <v>0</v>
      </c>
      <c r="I61" s="20">
        <v>0</v>
      </c>
      <c r="J61" s="20">
        <v>0</v>
      </c>
      <c r="K61" s="20">
        <v>0</v>
      </c>
      <c r="L61" s="20">
        <v>0</v>
      </c>
      <c r="M61" s="20">
        <v>0</v>
      </c>
      <c r="N61" s="20">
        <v>0</v>
      </c>
      <c r="O61" s="20">
        <v>0</v>
      </c>
      <c r="P61" s="20">
        <v>0</v>
      </c>
    </row>
    <row r="62" spans="1:16" x14ac:dyDescent="0.3">
      <c r="A62" s="11" t="s">
        <v>2834</v>
      </c>
      <c r="B62" s="11" t="s">
        <v>171</v>
      </c>
      <c r="C62" s="20"/>
      <c r="D62" s="20">
        <v>400133965.67255819</v>
      </c>
      <c r="E62" s="20">
        <v>450172700.93642634</v>
      </c>
      <c r="F62" s="20">
        <v>480659289.46176738</v>
      </c>
      <c r="G62" s="20">
        <v>388318372.33114612</v>
      </c>
      <c r="H62" s="20">
        <v>312937261.2978195</v>
      </c>
      <c r="I62" s="20">
        <v>265004625.45952559</v>
      </c>
      <c r="J62" s="20">
        <v>279330452.03507113</v>
      </c>
      <c r="K62" s="20">
        <v>227221463.43217948</v>
      </c>
      <c r="L62" s="20">
        <v>187277461.61751631</v>
      </c>
      <c r="M62" s="20">
        <v>161789014.432336</v>
      </c>
      <c r="N62" s="20">
        <v>143778264.03262901</v>
      </c>
      <c r="O62" s="20">
        <v>83451446.785562709</v>
      </c>
      <c r="P62" s="20">
        <v>47667795.318062492</v>
      </c>
    </row>
    <row r="63" spans="1:16" x14ac:dyDescent="0.3">
      <c r="A63" s="11" t="s">
        <v>2835</v>
      </c>
      <c r="B63" s="11" t="s">
        <v>170</v>
      </c>
      <c r="C63" s="20"/>
      <c r="D63" s="20">
        <v>23386402.840799991</v>
      </c>
      <c r="E63" s="20">
        <v>23334863.490799993</v>
      </c>
      <c r="F63" s="20">
        <v>23334863.490799986</v>
      </c>
      <c r="G63" s="20">
        <v>22773437.730799988</v>
      </c>
      <c r="H63" s="20">
        <v>22773437.730799951</v>
      </c>
      <c r="I63" s="20">
        <v>22773437.730799954</v>
      </c>
      <c r="J63" s="20">
        <v>20497963.280799981</v>
      </c>
      <c r="K63" s="20">
        <v>20475217.130799949</v>
      </c>
      <c r="L63" s="20">
        <v>20475218.130799949</v>
      </c>
      <c r="M63" s="20">
        <v>21725085.750799961</v>
      </c>
      <c r="N63" s="20">
        <v>21725085.750799969</v>
      </c>
      <c r="O63" s="20">
        <v>21919465.760799989</v>
      </c>
      <c r="P63" s="20">
        <v>20590755.90829996</v>
      </c>
    </row>
    <row r="64" spans="1:16" x14ac:dyDescent="0.3">
      <c r="A64" s="11" t="s">
        <v>2836</v>
      </c>
      <c r="B64" s="11" t="s">
        <v>169</v>
      </c>
      <c r="C64" s="20"/>
      <c r="D64" s="20">
        <v>0</v>
      </c>
      <c r="E64" s="20">
        <v>0</v>
      </c>
      <c r="F64" s="20">
        <v>0</v>
      </c>
      <c r="G64" s="20">
        <v>0</v>
      </c>
      <c r="H64" s="20">
        <v>0</v>
      </c>
      <c r="I64" s="20">
        <v>0</v>
      </c>
      <c r="J64" s="20">
        <v>0</v>
      </c>
      <c r="K64" s="20">
        <v>0</v>
      </c>
      <c r="L64" s="20">
        <v>0</v>
      </c>
      <c r="M64" s="20">
        <v>0</v>
      </c>
      <c r="N64" s="20">
        <v>0</v>
      </c>
      <c r="O64" s="20">
        <v>0</v>
      </c>
      <c r="P64" s="20">
        <v>0</v>
      </c>
    </row>
    <row r="65" spans="1:16" x14ac:dyDescent="0.3">
      <c r="A65" s="11" t="s">
        <v>2837</v>
      </c>
      <c r="B65" s="11" t="s">
        <v>168</v>
      </c>
      <c r="C65" s="20"/>
      <c r="D65" s="20">
        <v>83906031.290768296</v>
      </c>
      <c r="E65" s="20">
        <v>117490909.67781131</v>
      </c>
      <c r="F65" s="20">
        <v>35804197.268444285</v>
      </c>
      <c r="G65" s="20">
        <v>35565616.352951899</v>
      </c>
      <c r="H65" s="20">
        <v>35245961.494667798</v>
      </c>
      <c r="I65" s="20">
        <v>35537215.216844246</v>
      </c>
      <c r="J65" s="20">
        <v>50278355.802567385</v>
      </c>
      <c r="K65" s="20">
        <v>51581182.459659047</v>
      </c>
      <c r="L65" s="20">
        <v>78990285.553744912</v>
      </c>
      <c r="M65" s="20">
        <v>68683132.520825237</v>
      </c>
      <c r="N65" s="20">
        <v>107795187.0826162</v>
      </c>
      <c r="O65" s="20">
        <v>51738573.368563339</v>
      </c>
      <c r="P65" s="20">
        <v>91224187.100560248</v>
      </c>
    </row>
    <row r="66" spans="1:16" x14ac:dyDescent="0.3">
      <c r="A66" s="11" t="s">
        <v>2838</v>
      </c>
      <c r="B66" s="11" t="s">
        <v>238</v>
      </c>
      <c r="C66" s="20"/>
      <c r="D66" s="20">
        <v>226106483.5631983</v>
      </c>
      <c r="E66" s="20">
        <v>219710837.58551005</v>
      </c>
      <c r="F66" s="20">
        <v>212473787.83389267</v>
      </c>
      <c r="G66" s="20">
        <v>204560778.36389729</v>
      </c>
      <c r="H66" s="20">
        <v>218265832.12392479</v>
      </c>
      <c r="I66" s="20">
        <v>226178003.12388888</v>
      </c>
      <c r="J66" s="20">
        <v>226286343.85388646</v>
      </c>
      <c r="K66" s="20">
        <v>220697137.65287706</v>
      </c>
      <c r="L66" s="20">
        <v>207683901.45110279</v>
      </c>
      <c r="M66" s="20">
        <v>197212096.42109719</v>
      </c>
      <c r="N66" s="20">
        <v>185737043.74110359</v>
      </c>
      <c r="O66" s="20">
        <v>186704910.44396099</v>
      </c>
      <c r="P66" s="20">
        <v>184031285.6890918</v>
      </c>
    </row>
    <row r="67" spans="1:16" x14ac:dyDescent="0.3">
      <c r="A67" s="11" t="s">
        <v>2839</v>
      </c>
      <c r="B67" s="11" t="s">
        <v>228</v>
      </c>
      <c r="C67" s="20"/>
      <c r="D67" s="20">
        <v>459730330.17130023</v>
      </c>
      <c r="E67" s="20">
        <v>442677767.00790006</v>
      </c>
      <c r="F67" s="20">
        <v>465391709.15370041</v>
      </c>
      <c r="G67" s="20">
        <v>449257598.2804001</v>
      </c>
      <c r="H67" s="20">
        <v>468026645.4916001</v>
      </c>
      <c r="I67" s="20">
        <v>472514185.3739993</v>
      </c>
      <c r="J67" s="20">
        <v>473999620.67949963</v>
      </c>
      <c r="K67" s="20">
        <v>484954204.98509973</v>
      </c>
      <c r="L67" s="20">
        <v>473586589.52719998</v>
      </c>
      <c r="M67" s="20">
        <v>464727089.91950059</v>
      </c>
      <c r="N67" s="20">
        <v>475828076.10669959</v>
      </c>
      <c r="O67" s="20">
        <v>420815063.31810009</v>
      </c>
      <c r="P67" s="20">
        <v>436318668.07690012</v>
      </c>
    </row>
    <row r="68" spans="1:16" x14ac:dyDescent="0.3">
      <c r="A68" s="11" t="s">
        <v>2840</v>
      </c>
      <c r="B68" s="11" t="s">
        <v>165</v>
      </c>
      <c r="C68" s="20"/>
      <c r="D68" s="20">
        <v>16552947.484800002</v>
      </c>
      <c r="E68" s="20">
        <v>16409008.811000003</v>
      </c>
      <c r="F68" s="20">
        <v>16265070.137200002</v>
      </c>
      <c r="G68" s="20">
        <v>16121131.463400003</v>
      </c>
      <c r="H68" s="20">
        <v>15977192.789600002</v>
      </c>
      <c r="I68" s="20">
        <v>15833254.115800001</v>
      </c>
      <c r="J68" s="20">
        <v>15689315.442000002</v>
      </c>
      <c r="K68" s="20">
        <v>15545376.768200003</v>
      </c>
      <c r="L68" s="20">
        <v>15962250.286700003</v>
      </c>
      <c r="M68" s="20">
        <v>15813070.377499999</v>
      </c>
      <c r="N68" s="20">
        <v>15663890.4683</v>
      </c>
      <c r="O68" s="20">
        <v>15514710.5591</v>
      </c>
      <c r="P68" s="20">
        <v>15365530.649900001</v>
      </c>
    </row>
    <row r="69" spans="1:16" x14ac:dyDescent="0.3">
      <c r="A69" s="11" t="s">
        <v>2841</v>
      </c>
      <c r="B69" s="11" t="s">
        <v>164</v>
      </c>
      <c r="C69" s="20"/>
      <c r="D69" s="20">
        <v>0</v>
      </c>
      <c r="E69" s="20">
        <v>0</v>
      </c>
      <c r="F69" s="20">
        <v>0</v>
      </c>
      <c r="G69" s="20">
        <v>0</v>
      </c>
      <c r="H69" s="20">
        <v>0</v>
      </c>
      <c r="I69" s="20">
        <v>0</v>
      </c>
      <c r="J69" s="20">
        <v>0</v>
      </c>
      <c r="K69" s="20">
        <v>0</v>
      </c>
      <c r="L69" s="20">
        <v>0</v>
      </c>
      <c r="M69" s="20">
        <v>0</v>
      </c>
      <c r="N69" s="20">
        <v>0</v>
      </c>
      <c r="O69" s="20">
        <v>0</v>
      </c>
      <c r="P69" s="20">
        <v>0</v>
      </c>
    </row>
    <row r="70" spans="1:16" x14ac:dyDescent="0.3">
      <c r="A70" s="11" t="s">
        <v>2842</v>
      </c>
      <c r="B70" s="11" t="s">
        <v>163</v>
      </c>
      <c r="C70" s="20"/>
      <c r="D70" s="20">
        <v>996019738.59000003</v>
      </c>
      <c r="E70" s="20">
        <v>991577710.59000003</v>
      </c>
      <c r="F70" s="20">
        <v>1008492839.59</v>
      </c>
      <c r="G70" s="20">
        <v>1020411649.59</v>
      </c>
      <c r="H70" s="20">
        <v>1032884047.59</v>
      </c>
      <c r="I70" s="20">
        <v>976312935.59000003</v>
      </c>
      <c r="J70" s="20">
        <v>960758251.59000003</v>
      </c>
      <c r="K70" s="20">
        <v>964537694</v>
      </c>
      <c r="L70" s="20">
        <v>951484276</v>
      </c>
      <c r="M70" s="20">
        <v>966768289</v>
      </c>
      <c r="N70" s="20">
        <v>966768289</v>
      </c>
      <c r="O70" s="20">
        <v>986050009</v>
      </c>
      <c r="P70" s="20">
        <v>985619762.5</v>
      </c>
    </row>
    <row r="71" spans="1:16" x14ac:dyDescent="0.3">
      <c r="A71" s="11" t="s">
        <v>2843</v>
      </c>
      <c r="B71" s="11" t="s">
        <v>162</v>
      </c>
      <c r="C71" s="20"/>
      <c r="D71" s="20">
        <v>559653.88000000035</v>
      </c>
      <c r="E71" s="20">
        <v>541631.15000000037</v>
      </c>
      <c r="F71" s="20">
        <v>523608.42000000039</v>
      </c>
      <c r="G71" s="20">
        <v>505585.69000000041</v>
      </c>
      <c r="H71" s="20">
        <v>487562.96000000043</v>
      </c>
      <c r="I71" s="20">
        <v>469540.23000000045</v>
      </c>
      <c r="J71" s="20">
        <v>451517.50000000047</v>
      </c>
      <c r="K71" s="20">
        <v>433494.77000000048</v>
      </c>
      <c r="L71" s="20">
        <v>415472.0400000005</v>
      </c>
      <c r="M71" s="20">
        <v>397449.31000000099</v>
      </c>
      <c r="N71" s="20">
        <v>379426.58000000101</v>
      </c>
      <c r="O71" s="20">
        <v>361403.85000000102</v>
      </c>
      <c r="P71" s="20">
        <v>343381.12000000098</v>
      </c>
    </row>
    <row r="72" spans="1:16" x14ac:dyDescent="0.3">
      <c r="A72" s="11" t="s">
        <v>2844</v>
      </c>
      <c r="B72" s="11" t="s">
        <v>161</v>
      </c>
      <c r="C72" s="20"/>
      <c r="D72" s="20">
        <v>0</v>
      </c>
      <c r="E72" s="20">
        <v>0</v>
      </c>
      <c r="F72" s="20">
        <v>0</v>
      </c>
      <c r="G72" s="20">
        <v>0</v>
      </c>
      <c r="H72" s="20">
        <v>0</v>
      </c>
      <c r="I72" s="20">
        <v>0</v>
      </c>
      <c r="J72" s="20">
        <v>0</v>
      </c>
      <c r="K72" s="20">
        <v>0</v>
      </c>
      <c r="L72" s="20">
        <v>0</v>
      </c>
      <c r="M72" s="20">
        <v>0</v>
      </c>
      <c r="N72" s="20">
        <v>0</v>
      </c>
      <c r="O72" s="20">
        <v>0</v>
      </c>
      <c r="P72" s="20">
        <v>0</v>
      </c>
    </row>
    <row r="73" spans="1:16" x14ac:dyDescent="0.3">
      <c r="A73" s="11" t="s">
        <v>2845</v>
      </c>
      <c r="B73" s="11" t="s">
        <v>160</v>
      </c>
      <c r="C73" s="20"/>
      <c r="D73" s="20">
        <v>37970236.240000002</v>
      </c>
      <c r="E73" s="20">
        <v>37970236.240000002</v>
      </c>
      <c r="F73" s="20">
        <v>37970236.240000002</v>
      </c>
      <c r="G73" s="20">
        <v>37970236.240000002</v>
      </c>
      <c r="H73" s="20">
        <v>37970236.240000002</v>
      </c>
      <c r="I73" s="20">
        <v>37970236.240000002</v>
      </c>
      <c r="J73" s="20">
        <v>37970236.240000002</v>
      </c>
      <c r="K73" s="20">
        <v>37970236.240000002</v>
      </c>
      <c r="L73" s="20">
        <v>37970236.240000002</v>
      </c>
      <c r="M73" s="20">
        <v>37970236.240000002</v>
      </c>
      <c r="N73" s="20">
        <v>37970236.240000002</v>
      </c>
      <c r="O73" s="20">
        <v>37970236.240000002</v>
      </c>
      <c r="P73" s="20">
        <v>37970236.240000002</v>
      </c>
    </row>
    <row r="74" spans="1:16" x14ac:dyDescent="0.3">
      <c r="A74" s="11" t="s">
        <v>2846</v>
      </c>
      <c r="B74" s="11" t="s">
        <v>159</v>
      </c>
      <c r="C74" s="20"/>
      <c r="D74" s="20">
        <v>24365536140.81464</v>
      </c>
      <c r="E74" s="20">
        <v>24367438820.370445</v>
      </c>
      <c r="F74" s="20">
        <v>24469128523.547897</v>
      </c>
      <c r="G74" s="20">
        <v>24595620099.227234</v>
      </c>
      <c r="H74" s="20">
        <v>24186620828.515049</v>
      </c>
      <c r="I74" s="20">
        <v>24258113233.929642</v>
      </c>
      <c r="J74" s="20">
        <v>24299181828.691269</v>
      </c>
      <c r="K74" s="20">
        <v>23870668070.405941</v>
      </c>
      <c r="L74" s="20">
        <v>23742340529.261108</v>
      </c>
      <c r="M74" s="20">
        <v>23659194554.246799</v>
      </c>
      <c r="N74" s="20">
        <v>23346449040.498581</v>
      </c>
      <c r="O74" s="20">
        <v>23508709414.073479</v>
      </c>
      <c r="P74" s="20">
        <v>23794766468.47414</v>
      </c>
    </row>
    <row r="75" spans="1:16" x14ac:dyDescent="0.3">
      <c r="A75" s="11" t="s">
        <v>2847</v>
      </c>
      <c r="B75" s="11" t="s">
        <v>237</v>
      </c>
      <c r="C75" s="20"/>
      <c r="D75" s="20">
        <v>4591140027.5100002</v>
      </c>
      <c r="E75" s="20">
        <v>4584438594.4300003</v>
      </c>
      <c r="F75" s="20">
        <v>4585808801.9499998</v>
      </c>
      <c r="G75" s="20">
        <v>4589182046.1200075</v>
      </c>
      <c r="H75" s="20">
        <v>4591301268.3300076</v>
      </c>
      <c r="I75" s="20">
        <v>4841777651.6600075</v>
      </c>
      <c r="J75" s="20">
        <v>4731726926.3900003</v>
      </c>
      <c r="K75" s="20">
        <v>5111076884.4300003</v>
      </c>
      <c r="L75" s="20">
        <v>4950780871.6900005</v>
      </c>
      <c r="M75" s="20">
        <v>4703459300.5599995</v>
      </c>
      <c r="N75" s="20">
        <v>4702989569.4700079</v>
      </c>
      <c r="O75" s="20">
        <v>4703566051.6500072</v>
      </c>
      <c r="P75" s="20">
        <v>4706624059.1799927</v>
      </c>
    </row>
    <row r="76" spans="1:16" x14ac:dyDescent="0.3">
      <c r="A76" s="11" t="s">
        <v>2848</v>
      </c>
      <c r="B76" s="11" t="s">
        <v>151</v>
      </c>
      <c r="C76" s="20"/>
      <c r="D76" s="20">
        <v>18874849399.82505</v>
      </c>
      <c r="E76" s="20">
        <v>18903198268.366417</v>
      </c>
      <c r="F76" s="20">
        <v>18943557345.449715</v>
      </c>
      <c r="G76" s="20">
        <v>19071293910.385498</v>
      </c>
      <c r="H76" s="20">
        <v>18637582461.979126</v>
      </c>
      <c r="I76" s="20">
        <v>18536106673.386612</v>
      </c>
      <c r="J76" s="20">
        <v>18679376925.97765</v>
      </c>
      <c r="K76" s="20">
        <v>17888392064.229919</v>
      </c>
      <c r="L76" s="20">
        <v>17950884825.917824</v>
      </c>
      <c r="M76" s="20">
        <v>18086354794.048351</v>
      </c>
      <c r="N76" s="20">
        <v>17728336078.897499</v>
      </c>
      <c r="O76" s="20">
        <v>17908213710.205978</v>
      </c>
      <c r="P76" s="20">
        <v>18163208851.63456</v>
      </c>
    </row>
    <row r="77" spans="1:16" x14ac:dyDescent="0.3">
      <c r="A77" s="11" t="s">
        <v>2849</v>
      </c>
      <c r="B77" s="11" t="s">
        <v>221</v>
      </c>
      <c r="C77" s="20"/>
      <c r="D77" s="20">
        <v>5205214395.9258766</v>
      </c>
      <c r="E77" s="20">
        <v>5659382318.1094255</v>
      </c>
      <c r="F77" s="20">
        <v>6323831282.0501165</v>
      </c>
      <c r="G77" s="20">
        <v>4856650381.5119314</v>
      </c>
      <c r="H77" s="20">
        <v>4895717488.5494432</v>
      </c>
      <c r="I77" s="20">
        <v>5856705791.8851976</v>
      </c>
      <c r="J77" s="20">
        <v>4419716489.5865831</v>
      </c>
      <c r="K77" s="20">
        <v>4057458694.8217664</v>
      </c>
      <c r="L77" s="20">
        <v>5016296839.0492477</v>
      </c>
      <c r="M77" s="20">
        <v>5582750079.9812527</v>
      </c>
      <c r="N77" s="20">
        <v>5608504454.4050226</v>
      </c>
      <c r="O77" s="20">
        <v>10960949548.60528</v>
      </c>
      <c r="P77" s="20">
        <v>11599983499.972891</v>
      </c>
    </row>
    <row r="78" spans="1:16" x14ac:dyDescent="0.3">
      <c r="A78" s="11" t="s">
        <v>2850</v>
      </c>
      <c r="B78" s="11" t="s">
        <v>220</v>
      </c>
      <c r="C78" s="20"/>
      <c r="D78" s="20">
        <v>13669635003.899172</v>
      </c>
      <c r="E78" s="20">
        <v>13243815950.25699</v>
      </c>
      <c r="F78" s="20">
        <v>12619726063.399597</v>
      </c>
      <c r="G78" s="20">
        <v>14214643528.873568</v>
      </c>
      <c r="H78" s="20">
        <v>13741864973.429682</v>
      </c>
      <c r="I78" s="20">
        <v>12679400881.501415</v>
      </c>
      <c r="J78" s="20">
        <v>14259660436.391066</v>
      </c>
      <c r="K78" s="20">
        <v>13830933369.408154</v>
      </c>
      <c r="L78" s="20">
        <v>12934587986.868578</v>
      </c>
      <c r="M78" s="20">
        <v>12503604714.067089</v>
      </c>
      <c r="N78" s="20">
        <v>12119831624.492479</v>
      </c>
      <c r="O78" s="20">
        <v>6947264161.6006994</v>
      </c>
      <c r="P78" s="20">
        <v>6563225351.6616697</v>
      </c>
    </row>
    <row r="79" spans="1:16" x14ac:dyDescent="0.3">
      <c r="A79" s="11" t="s">
        <v>2851</v>
      </c>
      <c r="B79" s="11" t="s">
        <v>12</v>
      </c>
      <c r="C79" s="20"/>
      <c r="D79" s="20">
        <v>0</v>
      </c>
      <c r="E79" s="20">
        <v>0</v>
      </c>
      <c r="F79" s="20">
        <v>0</v>
      </c>
      <c r="G79" s="20">
        <v>0</v>
      </c>
      <c r="H79" s="20">
        <v>0</v>
      </c>
      <c r="I79" s="20">
        <v>0</v>
      </c>
      <c r="J79" s="20">
        <v>0</v>
      </c>
      <c r="K79" s="20">
        <v>0</v>
      </c>
      <c r="L79" s="20">
        <v>0</v>
      </c>
      <c r="M79" s="20">
        <v>0</v>
      </c>
      <c r="N79" s="20">
        <v>0</v>
      </c>
      <c r="O79" s="20">
        <v>0</v>
      </c>
      <c r="P79" s="20">
        <v>0</v>
      </c>
    </row>
    <row r="80" spans="1:16" x14ac:dyDescent="0.3">
      <c r="A80" s="11" t="s">
        <v>2852</v>
      </c>
      <c r="B80" s="11" t="s">
        <v>147</v>
      </c>
      <c r="C80" s="20"/>
      <c r="D80" s="20">
        <v>0</v>
      </c>
      <c r="E80" s="20">
        <v>0</v>
      </c>
      <c r="F80" s="20">
        <v>0</v>
      </c>
      <c r="G80" s="20">
        <v>0</v>
      </c>
      <c r="H80" s="20">
        <v>0</v>
      </c>
      <c r="I80" s="20">
        <v>0</v>
      </c>
      <c r="J80" s="20">
        <v>0</v>
      </c>
      <c r="K80" s="20">
        <v>0</v>
      </c>
      <c r="L80" s="20">
        <v>0</v>
      </c>
      <c r="M80" s="20">
        <v>0</v>
      </c>
      <c r="N80" s="20">
        <v>0</v>
      </c>
      <c r="O80" s="20">
        <v>0</v>
      </c>
      <c r="P80" s="20">
        <v>0</v>
      </c>
    </row>
    <row r="81" spans="1:16" x14ac:dyDescent="0.3">
      <c r="A81" s="11" t="s">
        <v>2853</v>
      </c>
      <c r="B81" s="11" t="s">
        <v>219</v>
      </c>
      <c r="C81" s="20"/>
      <c r="D81" s="20">
        <v>0</v>
      </c>
      <c r="E81" s="20">
        <v>0</v>
      </c>
      <c r="F81" s="20">
        <v>0</v>
      </c>
      <c r="G81" s="20">
        <v>0</v>
      </c>
      <c r="H81" s="20">
        <v>0</v>
      </c>
      <c r="I81" s="20">
        <v>0</v>
      </c>
      <c r="J81" s="20">
        <v>0</v>
      </c>
      <c r="K81" s="20">
        <v>0</v>
      </c>
      <c r="L81" s="20">
        <v>0</v>
      </c>
      <c r="M81" s="20">
        <v>0</v>
      </c>
      <c r="N81" s="20">
        <v>0</v>
      </c>
      <c r="O81" s="20">
        <v>0</v>
      </c>
      <c r="P81" s="20">
        <v>0</v>
      </c>
    </row>
    <row r="82" spans="1:16" x14ac:dyDescent="0.3">
      <c r="A82" s="11" t="s">
        <v>2854</v>
      </c>
      <c r="B82" s="11" t="s">
        <v>145</v>
      </c>
      <c r="C82" s="20"/>
      <c r="D82" s="20">
        <v>0</v>
      </c>
      <c r="E82" s="20">
        <v>0</v>
      </c>
      <c r="F82" s="20">
        <v>0</v>
      </c>
      <c r="G82" s="20">
        <v>0</v>
      </c>
      <c r="H82" s="20">
        <v>0</v>
      </c>
      <c r="I82" s="20">
        <v>0</v>
      </c>
      <c r="J82" s="20">
        <v>0</v>
      </c>
      <c r="K82" s="20">
        <v>0</v>
      </c>
      <c r="L82" s="20">
        <v>0</v>
      </c>
      <c r="M82" s="20">
        <v>0</v>
      </c>
      <c r="N82" s="20">
        <v>0</v>
      </c>
      <c r="O82" s="20">
        <v>0</v>
      </c>
      <c r="P82" s="20">
        <v>0</v>
      </c>
    </row>
    <row r="83" spans="1:16" x14ac:dyDescent="0.3">
      <c r="A83" s="11" t="s">
        <v>2855</v>
      </c>
      <c r="B83" s="11" t="s">
        <v>144</v>
      </c>
      <c r="C83" s="20"/>
      <c r="D83" s="20">
        <v>0</v>
      </c>
      <c r="E83" s="20">
        <v>0</v>
      </c>
      <c r="F83" s="20">
        <v>0</v>
      </c>
      <c r="G83" s="20">
        <v>0</v>
      </c>
      <c r="H83" s="20">
        <v>0</v>
      </c>
      <c r="I83" s="20">
        <v>0</v>
      </c>
      <c r="J83" s="20">
        <v>0</v>
      </c>
      <c r="K83" s="20">
        <v>0</v>
      </c>
      <c r="L83" s="20">
        <v>0</v>
      </c>
      <c r="M83" s="20">
        <v>0</v>
      </c>
      <c r="N83" s="20">
        <v>0</v>
      </c>
      <c r="O83" s="20">
        <v>0</v>
      </c>
      <c r="P83" s="20">
        <v>0</v>
      </c>
    </row>
    <row r="84" spans="1:16" x14ac:dyDescent="0.3">
      <c r="A84" s="11" t="s">
        <v>2856</v>
      </c>
      <c r="B84" s="11" t="s">
        <v>74</v>
      </c>
      <c r="C84" s="20"/>
      <c r="D84" s="20">
        <v>0</v>
      </c>
      <c r="E84" s="20">
        <v>0</v>
      </c>
      <c r="F84" s="20">
        <v>0</v>
      </c>
      <c r="G84" s="20">
        <v>0</v>
      </c>
      <c r="H84" s="20">
        <v>0</v>
      </c>
      <c r="I84" s="20">
        <v>0</v>
      </c>
      <c r="J84" s="20">
        <v>0</v>
      </c>
      <c r="K84" s="20">
        <v>0</v>
      </c>
      <c r="L84" s="20">
        <v>0</v>
      </c>
      <c r="M84" s="20">
        <v>0</v>
      </c>
      <c r="N84" s="20">
        <v>0</v>
      </c>
      <c r="O84" s="20">
        <v>0</v>
      </c>
      <c r="P84" s="20">
        <v>0</v>
      </c>
    </row>
    <row r="85" spans="1:16" x14ac:dyDescent="0.3">
      <c r="A85" s="11" t="s">
        <v>2857</v>
      </c>
      <c r="B85" s="11" t="s">
        <v>143</v>
      </c>
      <c r="C85" s="20"/>
      <c r="D85" s="20">
        <v>0</v>
      </c>
      <c r="E85" s="20">
        <v>0</v>
      </c>
      <c r="F85" s="20">
        <v>0</v>
      </c>
      <c r="G85" s="20">
        <v>0</v>
      </c>
      <c r="H85" s="20">
        <v>0</v>
      </c>
      <c r="I85" s="20">
        <v>0</v>
      </c>
      <c r="J85" s="20">
        <v>0</v>
      </c>
      <c r="K85" s="20">
        <v>0</v>
      </c>
      <c r="L85" s="20">
        <v>0</v>
      </c>
      <c r="M85" s="20">
        <v>0</v>
      </c>
      <c r="N85" s="20">
        <v>0</v>
      </c>
      <c r="O85" s="20">
        <v>0</v>
      </c>
      <c r="P85" s="20">
        <v>0</v>
      </c>
    </row>
    <row r="86" spans="1:16" x14ac:dyDescent="0.3">
      <c r="A86" s="11" t="s">
        <v>2858</v>
      </c>
      <c r="B86" s="11" t="s">
        <v>74</v>
      </c>
      <c r="C86" s="20"/>
      <c r="D86" s="20">
        <v>0</v>
      </c>
      <c r="E86" s="20">
        <v>0</v>
      </c>
      <c r="F86" s="20">
        <v>0</v>
      </c>
      <c r="G86" s="20">
        <v>0</v>
      </c>
      <c r="H86" s="20">
        <v>0</v>
      </c>
      <c r="I86" s="20">
        <v>0</v>
      </c>
      <c r="J86" s="20">
        <v>0</v>
      </c>
      <c r="K86" s="20">
        <v>0</v>
      </c>
      <c r="L86" s="20">
        <v>0</v>
      </c>
      <c r="M86" s="20">
        <v>0</v>
      </c>
      <c r="N86" s="20">
        <v>0</v>
      </c>
      <c r="O86" s="20">
        <v>0</v>
      </c>
      <c r="P86" s="20">
        <v>0</v>
      </c>
    </row>
    <row r="87" spans="1:16" x14ac:dyDescent="0.3">
      <c r="A87" s="11" t="s">
        <v>2859</v>
      </c>
      <c r="B87" s="11" t="s">
        <v>142</v>
      </c>
      <c r="C87" s="20"/>
      <c r="D87" s="20">
        <v>0</v>
      </c>
      <c r="E87" s="20">
        <v>0</v>
      </c>
      <c r="F87" s="20">
        <v>0</v>
      </c>
      <c r="G87" s="20">
        <v>0</v>
      </c>
      <c r="H87" s="20">
        <v>0</v>
      </c>
      <c r="I87" s="20">
        <v>0</v>
      </c>
      <c r="J87" s="20">
        <v>0</v>
      </c>
      <c r="K87" s="20">
        <v>0</v>
      </c>
      <c r="L87" s="20">
        <v>0</v>
      </c>
      <c r="M87" s="20">
        <v>0</v>
      </c>
      <c r="N87" s="20">
        <v>0</v>
      </c>
      <c r="O87" s="20">
        <v>0</v>
      </c>
      <c r="P87" s="20">
        <v>0</v>
      </c>
    </row>
    <row r="88" spans="1:16" x14ac:dyDescent="0.3">
      <c r="A88" s="11" t="s">
        <v>2860</v>
      </c>
      <c r="B88" s="11" t="s">
        <v>141</v>
      </c>
      <c r="C88" s="20"/>
      <c r="D88" s="20">
        <v>0</v>
      </c>
      <c r="E88" s="20">
        <v>0</v>
      </c>
      <c r="F88" s="20">
        <v>0</v>
      </c>
      <c r="G88" s="20">
        <v>0</v>
      </c>
      <c r="H88" s="20">
        <v>0</v>
      </c>
      <c r="I88" s="20">
        <v>0</v>
      </c>
      <c r="J88" s="20">
        <v>0</v>
      </c>
      <c r="K88" s="20">
        <v>0</v>
      </c>
      <c r="L88" s="20">
        <v>0</v>
      </c>
      <c r="M88" s="20">
        <v>0</v>
      </c>
      <c r="N88" s="20">
        <v>0</v>
      </c>
      <c r="O88" s="20">
        <v>0</v>
      </c>
      <c r="P88" s="20">
        <v>0</v>
      </c>
    </row>
    <row r="89" spans="1:16" x14ac:dyDescent="0.3">
      <c r="A89" s="11" t="s">
        <v>2861</v>
      </c>
      <c r="B89" s="11" t="s">
        <v>140</v>
      </c>
      <c r="C89" s="20"/>
      <c r="D89" s="20">
        <v>0</v>
      </c>
      <c r="E89" s="20">
        <v>0</v>
      </c>
      <c r="F89" s="20">
        <v>0</v>
      </c>
      <c r="G89" s="20">
        <v>0</v>
      </c>
      <c r="H89" s="20">
        <v>0</v>
      </c>
      <c r="I89" s="20">
        <v>0</v>
      </c>
      <c r="J89" s="20">
        <v>0</v>
      </c>
      <c r="K89" s="20">
        <v>0</v>
      </c>
      <c r="L89" s="20">
        <v>0</v>
      </c>
      <c r="M89" s="20">
        <v>0</v>
      </c>
      <c r="N89" s="20">
        <v>0</v>
      </c>
      <c r="O89" s="20">
        <v>0</v>
      </c>
      <c r="P89" s="20">
        <v>0</v>
      </c>
    </row>
    <row r="90" spans="1:16" x14ac:dyDescent="0.3">
      <c r="A90" s="11" t="s">
        <v>2862</v>
      </c>
      <c r="B90" s="11" t="s">
        <v>139</v>
      </c>
      <c r="C90" s="20"/>
      <c r="D90" s="20">
        <v>0</v>
      </c>
      <c r="E90" s="20">
        <v>0</v>
      </c>
      <c r="F90" s="20">
        <v>0</v>
      </c>
      <c r="G90" s="20">
        <v>0</v>
      </c>
      <c r="H90" s="20">
        <v>0</v>
      </c>
      <c r="I90" s="20">
        <v>0</v>
      </c>
      <c r="J90" s="20">
        <v>0</v>
      </c>
      <c r="K90" s="20">
        <v>0</v>
      </c>
      <c r="L90" s="20">
        <v>0</v>
      </c>
      <c r="M90" s="20">
        <v>0</v>
      </c>
      <c r="N90" s="20">
        <v>0</v>
      </c>
      <c r="O90" s="20">
        <v>0</v>
      </c>
      <c r="P90" s="20">
        <v>0</v>
      </c>
    </row>
    <row r="91" spans="1:16" x14ac:dyDescent="0.3">
      <c r="A91" s="11" t="s">
        <v>2863</v>
      </c>
      <c r="B91" s="11" t="s">
        <v>138</v>
      </c>
      <c r="C91" s="20"/>
      <c r="D91" s="20">
        <v>16773247.752100002</v>
      </c>
      <c r="E91" s="20">
        <v>16683067.0781</v>
      </c>
      <c r="F91" s="20">
        <v>16592176.2313</v>
      </c>
      <c r="G91" s="20">
        <v>16500569.619100001</v>
      </c>
      <c r="H91" s="20">
        <v>16408241.604900002</v>
      </c>
      <c r="I91" s="20">
        <v>16315186.5075</v>
      </c>
      <c r="J91" s="20">
        <v>16221398.601199999</v>
      </c>
      <c r="K91" s="20">
        <v>16126872.115199998</v>
      </c>
      <c r="L91" s="20">
        <v>16594310.651600003</v>
      </c>
      <c r="M91" s="20">
        <v>16494919.168</v>
      </c>
      <c r="N91" s="20">
        <v>16394744.976399999</v>
      </c>
      <c r="O91" s="20">
        <v>16293781.9131</v>
      </c>
      <c r="P91" s="20">
        <v>16192023.765699999</v>
      </c>
    </row>
    <row r="92" spans="1:16" x14ac:dyDescent="0.3">
      <c r="A92" s="11" t="s">
        <v>2864</v>
      </c>
      <c r="B92" s="11" t="s">
        <v>137</v>
      </c>
      <c r="C92" s="20"/>
      <c r="D92" s="20">
        <v>823830165.34608757</v>
      </c>
      <c r="E92" s="20">
        <v>806523154.47977078</v>
      </c>
      <c r="F92" s="20">
        <v>836965435.68003261</v>
      </c>
      <c r="G92" s="20">
        <v>810145750.86587119</v>
      </c>
      <c r="H92" s="20">
        <v>832379126.83046496</v>
      </c>
      <c r="I92" s="20">
        <v>806365305.76428807</v>
      </c>
      <c r="J92" s="20">
        <v>821182306.08341253</v>
      </c>
      <c r="K92" s="20">
        <v>813226242.40030324</v>
      </c>
      <c r="L92" s="20">
        <v>780574462.36757863</v>
      </c>
      <c r="M92" s="20">
        <v>808388991.27749074</v>
      </c>
      <c r="N92" s="20">
        <v>811648872.39652479</v>
      </c>
      <c r="O92" s="20">
        <v>829374701.29225194</v>
      </c>
      <c r="P92" s="20">
        <v>811553227.27712607</v>
      </c>
    </row>
    <row r="93" spans="1:16" x14ac:dyDescent="0.3">
      <c r="A93" s="11" t="s">
        <v>2865</v>
      </c>
      <c r="B93" s="11" t="s">
        <v>218</v>
      </c>
      <c r="C93" s="20"/>
      <c r="D93" s="20">
        <v>0</v>
      </c>
      <c r="E93" s="20">
        <v>0</v>
      </c>
      <c r="F93" s="20">
        <v>0</v>
      </c>
      <c r="G93" s="20">
        <v>0</v>
      </c>
      <c r="H93" s="20">
        <v>0</v>
      </c>
      <c r="I93" s="20">
        <v>0</v>
      </c>
      <c r="J93" s="20">
        <v>0</v>
      </c>
      <c r="K93" s="20">
        <v>0</v>
      </c>
      <c r="L93" s="20">
        <v>0</v>
      </c>
      <c r="M93" s="20">
        <v>0</v>
      </c>
      <c r="N93" s="20">
        <v>0</v>
      </c>
      <c r="O93" s="20">
        <v>0</v>
      </c>
      <c r="P93" s="20">
        <v>0</v>
      </c>
    </row>
    <row r="94" spans="1:16" x14ac:dyDescent="0.3">
      <c r="A94" s="11" t="s">
        <v>2866</v>
      </c>
      <c r="B94" s="11" t="s">
        <v>135</v>
      </c>
      <c r="C94" s="20"/>
      <c r="D94" s="20">
        <v>0</v>
      </c>
      <c r="E94" s="20">
        <v>0</v>
      </c>
      <c r="F94" s="20">
        <v>0</v>
      </c>
      <c r="G94" s="20">
        <v>0</v>
      </c>
      <c r="H94" s="20">
        <v>0</v>
      </c>
      <c r="I94" s="20">
        <v>0</v>
      </c>
      <c r="J94" s="20">
        <v>0</v>
      </c>
      <c r="K94" s="20">
        <v>0</v>
      </c>
      <c r="L94" s="20">
        <v>0</v>
      </c>
      <c r="M94" s="20">
        <v>0</v>
      </c>
      <c r="N94" s="20">
        <v>0</v>
      </c>
      <c r="O94" s="20">
        <v>0</v>
      </c>
      <c r="P94" s="20">
        <v>0</v>
      </c>
    </row>
    <row r="95" spans="1:16" x14ac:dyDescent="0.3">
      <c r="A95" s="11" t="s">
        <v>2867</v>
      </c>
      <c r="B95" s="11" t="s">
        <v>217</v>
      </c>
      <c r="C95" s="20"/>
      <c r="D95" s="20">
        <v>0</v>
      </c>
      <c r="E95" s="20">
        <v>0</v>
      </c>
      <c r="F95" s="20">
        <v>0</v>
      </c>
      <c r="G95" s="20">
        <v>0</v>
      </c>
      <c r="H95" s="20">
        <v>0</v>
      </c>
      <c r="I95" s="20">
        <v>0</v>
      </c>
      <c r="J95" s="20">
        <v>0</v>
      </c>
      <c r="K95" s="20">
        <v>0</v>
      </c>
      <c r="L95" s="20">
        <v>0</v>
      </c>
      <c r="M95" s="20">
        <v>0</v>
      </c>
      <c r="N95" s="20">
        <v>0</v>
      </c>
      <c r="O95" s="20">
        <v>0</v>
      </c>
      <c r="P95" s="20">
        <v>0</v>
      </c>
    </row>
    <row r="96" spans="1:16" x14ac:dyDescent="0.3">
      <c r="A96" s="11" t="s">
        <v>2868</v>
      </c>
      <c r="B96" s="11" t="s">
        <v>133</v>
      </c>
      <c r="C96" s="20"/>
      <c r="D96" s="20">
        <v>14649732.254800146</v>
      </c>
      <c r="E96" s="20">
        <v>9625019.8048000745</v>
      </c>
      <c r="F96" s="20">
        <v>8896227.8347999919</v>
      </c>
      <c r="G96" s="20">
        <v>9099734.0247999802</v>
      </c>
      <c r="H96" s="20">
        <v>14711541.165099977</v>
      </c>
      <c r="I96" s="20">
        <v>11474460.195099968</v>
      </c>
      <c r="J96" s="20">
        <v>14727642.425100002</v>
      </c>
      <c r="K96" s="20">
        <v>16720399.245100107</v>
      </c>
      <c r="L96" s="20">
        <v>19062495.992999889</v>
      </c>
      <c r="M96" s="20">
        <v>17735603.28299997</v>
      </c>
      <c r="N96" s="20">
        <v>20263480.813000102</v>
      </c>
      <c r="O96" s="20">
        <v>18747951.733000118</v>
      </c>
      <c r="P96" s="20">
        <v>18766255.66299988</v>
      </c>
    </row>
    <row r="97" spans="1:16" x14ac:dyDescent="0.3">
      <c r="A97" s="11" t="s">
        <v>2869</v>
      </c>
      <c r="B97" s="11" t="s">
        <v>132</v>
      </c>
      <c r="C97" s="20"/>
      <c r="D97" s="20">
        <v>809180433.09128737</v>
      </c>
      <c r="E97" s="20">
        <v>796898134.67497075</v>
      </c>
      <c r="F97" s="20">
        <v>828069207.84523261</v>
      </c>
      <c r="G97" s="20">
        <v>801046016.84107125</v>
      </c>
      <c r="H97" s="20">
        <v>817667585.66536498</v>
      </c>
      <c r="I97" s="20">
        <v>794890845.56918812</v>
      </c>
      <c r="J97" s="20">
        <v>806454663.65831256</v>
      </c>
      <c r="K97" s="20">
        <v>796505843.1552031</v>
      </c>
      <c r="L97" s="20">
        <v>761511966.37457871</v>
      </c>
      <c r="M97" s="20">
        <v>790653387.99449074</v>
      </c>
      <c r="N97" s="20">
        <v>791385391.5835247</v>
      </c>
      <c r="O97" s="20">
        <v>810626749.55925179</v>
      </c>
      <c r="P97" s="20">
        <v>792786971.61412621</v>
      </c>
    </row>
    <row r="98" spans="1:16" x14ac:dyDescent="0.3">
      <c r="A98" s="11" t="s">
        <v>2870</v>
      </c>
      <c r="B98" s="11" t="s">
        <v>131</v>
      </c>
      <c r="C98" s="20"/>
      <c r="D98" s="20">
        <v>0</v>
      </c>
      <c r="E98" s="20">
        <v>0</v>
      </c>
      <c r="F98" s="20">
        <v>0</v>
      </c>
      <c r="G98" s="20">
        <v>0</v>
      </c>
      <c r="H98" s="20">
        <v>0</v>
      </c>
      <c r="I98" s="20">
        <v>0</v>
      </c>
      <c r="J98" s="20">
        <v>0</v>
      </c>
      <c r="K98" s="20">
        <v>0</v>
      </c>
      <c r="L98" s="20">
        <v>0</v>
      </c>
      <c r="M98" s="20">
        <v>0</v>
      </c>
      <c r="N98" s="20">
        <v>0</v>
      </c>
      <c r="O98" s="20">
        <v>0</v>
      </c>
      <c r="P98" s="20">
        <v>0</v>
      </c>
    </row>
    <row r="99" spans="1:16" x14ac:dyDescent="0.3">
      <c r="A99" s="11" t="s">
        <v>2871</v>
      </c>
      <c r="B99" s="11" t="s">
        <v>130</v>
      </c>
      <c r="C99" s="20"/>
      <c r="D99" s="20">
        <v>0</v>
      </c>
      <c r="E99" s="20">
        <v>0</v>
      </c>
      <c r="F99" s="20">
        <v>0</v>
      </c>
      <c r="G99" s="20">
        <v>0</v>
      </c>
      <c r="H99" s="20">
        <v>0</v>
      </c>
      <c r="I99" s="20">
        <v>0</v>
      </c>
      <c r="J99" s="20">
        <v>0</v>
      </c>
      <c r="K99" s="20">
        <v>0</v>
      </c>
      <c r="L99" s="20">
        <v>0</v>
      </c>
      <c r="M99" s="20">
        <v>0</v>
      </c>
      <c r="N99" s="20">
        <v>0</v>
      </c>
      <c r="O99" s="20">
        <v>0</v>
      </c>
      <c r="P99" s="20">
        <v>0</v>
      </c>
    </row>
    <row r="100" spans="1:16" x14ac:dyDescent="0.3">
      <c r="A100" s="11" t="s">
        <v>2872</v>
      </c>
      <c r="B100" s="11" t="s">
        <v>129</v>
      </c>
      <c r="C100" s="20"/>
      <c r="D100" s="20">
        <v>0</v>
      </c>
      <c r="E100" s="20">
        <v>0</v>
      </c>
      <c r="F100" s="20">
        <v>0</v>
      </c>
      <c r="G100" s="20">
        <v>0</v>
      </c>
      <c r="H100" s="20">
        <v>0</v>
      </c>
      <c r="I100" s="20">
        <v>0</v>
      </c>
      <c r="J100" s="20">
        <v>0</v>
      </c>
      <c r="K100" s="20">
        <v>0</v>
      </c>
      <c r="L100" s="20">
        <v>0</v>
      </c>
      <c r="M100" s="20">
        <v>0</v>
      </c>
      <c r="N100" s="20">
        <v>0</v>
      </c>
      <c r="O100" s="20">
        <v>0</v>
      </c>
      <c r="P100" s="20">
        <v>0</v>
      </c>
    </row>
    <row r="101" spans="1:16" x14ac:dyDescent="0.3">
      <c r="A101" s="11" t="s">
        <v>2873</v>
      </c>
      <c r="B101" s="11" t="s">
        <v>128</v>
      </c>
      <c r="C101" s="20"/>
      <c r="D101" s="20">
        <v>0</v>
      </c>
      <c r="E101" s="20">
        <v>0</v>
      </c>
      <c r="F101" s="20">
        <v>0</v>
      </c>
      <c r="G101" s="20">
        <v>0</v>
      </c>
      <c r="H101" s="20">
        <v>0</v>
      </c>
      <c r="I101" s="20">
        <v>0</v>
      </c>
      <c r="J101" s="20">
        <v>0</v>
      </c>
      <c r="K101" s="20">
        <v>0</v>
      </c>
      <c r="L101" s="20">
        <v>0</v>
      </c>
      <c r="M101" s="20">
        <v>0</v>
      </c>
      <c r="N101" s="20">
        <v>0</v>
      </c>
      <c r="O101" s="20">
        <v>0</v>
      </c>
      <c r="P101" s="20">
        <v>0</v>
      </c>
    </row>
    <row r="102" spans="1:16" x14ac:dyDescent="0.3">
      <c r="A102" s="11" t="s">
        <v>2874</v>
      </c>
      <c r="B102" s="11" t="s">
        <v>53</v>
      </c>
      <c r="C102" s="20"/>
      <c r="D102" s="20">
        <v>0</v>
      </c>
      <c r="E102" s="20">
        <v>0</v>
      </c>
      <c r="F102" s="20">
        <v>0</v>
      </c>
      <c r="G102" s="20">
        <v>0</v>
      </c>
      <c r="H102" s="20">
        <v>0</v>
      </c>
      <c r="I102" s="20">
        <v>0</v>
      </c>
      <c r="J102" s="20">
        <v>0</v>
      </c>
      <c r="K102" s="20">
        <v>0</v>
      </c>
      <c r="L102" s="20">
        <v>0</v>
      </c>
      <c r="M102" s="20">
        <v>0</v>
      </c>
      <c r="N102" s="20">
        <v>0</v>
      </c>
      <c r="O102" s="20">
        <v>0</v>
      </c>
      <c r="P102" s="20">
        <v>0</v>
      </c>
    </row>
    <row r="103" spans="1:16" x14ac:dyDescent="0.3">
      <c r="A103" s="11" t="s">
        <v>2875</v>
      </c>
      <c r="B103" s="11" t="s">
        <v>127</v>
      </c>
      <c r="C103" s="20"/>
      <c r="D103" s="20">
        <v>0</v>
      </c>
      <c r="E103" s="20">
        <v>0</v>
      </c>
      <c r="F103" s="20">
        <v>0</v>
      </c>
      <c r="G103" s="20">
        <v>0</v>
      </c>
      <c r="H103" s="20">
        <v>0</v>
      </c>
      <c r="I103" s="20">
        <v>0</v>
      </c>
      <c r="J103" s="20">
        <v>0</v>
      </c>
      <c r="K103" s="20">
        <v>0</v>
      </c>
      <c r="L103" s="20">
        <v>0</v>
      </c>
      <c r="M103" s="20">
        <v>0</v>
      </c>
      <c r="N103" s="20">
        <v>0</v>
      </c>
      <c r="O103" s="20">
        <v>0</v>
      </c>
      <c r="P103" s="20">
        <v>0</v>
      </c>
    </row>
    <row r="104" spans="1:16" x14ac:dyDescent="0.3">
      <c r="A104" s="11" t="s">
        <v>2876</v>
      </c>
      <c r="B104" s="11" t="s">
        <v>126</v>
      </c>
      <c r="C104" s="20"/>
      <c r="D104" s="20">
        <v>0</v>
      </c>
      <c r="E104" s="20">
        <v>0</v>
      </c>
      <c r="F104" s="20">
        <v>29158554.379999638</v>
      </c>
      <c r="G104" s="20">
        <v>50467147.079999447</v>
      </c>
      <c r="H104" s="20">
        <v>59858673.730000019</v>
      </c>
      <c r="I104" s="20">
        <v>8324393.8800001144</v>
      </c>
      <c r="J104" s="20">
        <v>0</v>
      </c>
      <c r="K104" s="20">
        <v>0</v>
      </c>
      <c r="L104" s="20">
        <v>0</v>
      </c>
      <c r="M104" s="20">
        <v>0</v>
      </c>
      <c r="N104" s="20">
        <v>40411962.109999999</v>
      </c>
      <c r="O104" s="20">
        <v>0</v>
      </c>
      <c r="P104" s="20">
        <v>40960094.299999997</v>
      </c>
    </row>
    <row r="105" spans="1:16" x14ac:dyDescent="0.3">
      <c r="A105" s="11" t="s">
        <v>2877</v>
      </c>
      <c r="B105" s="11" t="s">
        <v>125</v>
      </c>
      <c r="C105" s="20"/>
      <c r="D105" s="20">
        <v>34919922.18999999</v>
      </c>
      <c r="E105" s="20">
        <v>34478703.449999981</v>
      </c>
      <c r="F105" s="20">
        <v>36358122.299999975</v>
      </c>
      <c r="G105" s="20">
        <v>39131925.270000011</v>
      </c>
      <c r="H105" s="20">
        <v>30936708.209999971</v>
      </c>
      <c r="I105" s="20">
        <v>32541478.970000006</v>
      </c>
      <c r="J105" s="20">
        <v>33895169.990000002</v>
      </c>
      <c r="K105" s="20">
        <v>26378725.369999997</v>
      </c>
      <c r="L105" s="20">
        <v>29302224.269999988</v>
      </c>
      <c r="M105" s="20">
        <v>31530224.41</v>
      </c>
      <c r="N105" s="20">
        <v>34705189.639999978</v>
      </c>
      <c r="O105" s="20">
        <v>40352566.449999988</v>
      </c>
      <c r="P105" s="20">
        <v>46373767.959999979</v>
      </c>
    </row>
    <row r="106" spans="1:16" x14ac:dyDescent="0.3">
      <c r="A106" s="11" t="s">
        <v>2878</v>
      </c>
      <c r="B106" s="11" t="s">
        <v>216</v>
      </c>
      <c r="C106" s="20"/>
      <c r="D106" s="20">
        <v>24023378.191399913</v>
      </c>
      <c r="E106" s="20">
        <v>22117032.566158555</v>
      </c>
      <c r="F106" s="20">
        <v>20688087.556850061</v>
      </c>
      <c r="G106" s="20">
        <v>18898749.88676022</v>
      </c>
      <c r="H106" s="20">
        <v>18154347.830552109</v>
      </c>
      <c r="I106" s="20">
        <v>16682543.761228735</v>
      </c>
      <c r="J106" s="20">
        <v>16779101.649005599</v>
      </c>
      <c r="K106" s="20">
        <v>15467281.860519893</v>
      </c>
      <c r="L106" s="20">
        <v>14203834.364100104</v>
      </c>
      <c r="M106" s="20">
        <v>12966324.78296458</v>
      </c>
      <c r="N106" s="20">
        <v>11962623.008152479</v>
      </c>
      <c r="O106" s="20">
        <v>10908602.562135911</v>
      </c>
      <c r="P106" s="20">
        <v>9854444.3567597307</v>
      </c>
    </row>
    <row r="107" spans="1:16" x14ac:dyDescent="0.3">
      <c r="A107" s="11" t="s">
        <v>2879</v>
      </c>
      <c r="B107" s="11" t="s">
        <v>123</v>
      </c>
      <c r="C107" s="20">
        <v>4992048548.2288809</v>
      </c>
      <c r="D107" s="20">
        <v>4993055225.2288809</v>
      </c>
      <c r="E107" s="20">
        <v>5075102970.4503889</v>
      </c>
      <c r="F107" s="20">
        <v>5127796316.2346888</v>
      </c>
      <c r="G107" s="20">
        <v>5231036770.2576885</v>
      </c>
      <c r="H107" s="20">
        <v>5314764511.5642891</v>
      </c>
      <c r="I107" s="20">
        <v>5419204270.6536875</v>
      </c>
      <c r="J107" s="20">
        <v>5493625118.971386</v>
      </c>
      <c r="K107" s="20">
        <v>5576728293.4752884</v>
      </c>
      <c r="L107" s="20">
        <v>5645731690.310585</v>
      </c>
      <c r="M107" s="20">
        <v>5728091953.0726919</v>
      </c>
      <c r="N107" s="20">
        <v>5819981420.7297869</v>
      </c>
      <c r="O107" s="20">
        <v>5895797842.0981874</v>
      </c>
      <c r="P107" s="20">
        <v>5972452144.7865858</v>
      </c>
    </row>
    <row r="108" spans="1:16" x14ac:dyDescent="0.3">
      <c r="A108" s="11" t="s">
        <v>2880</v>
      </c>
      <c r="B108" s="11" t="s">
        <v>122</v>
      </c>
      <c r="C108" s="20"/>
      <c r="D108" s="20">
        <v>976280167.13</v>
      </c>
      <c r="E108" s="20">
        <v>976280167.13</v>
      </c>
      <c r="F108" s="20">
        <v>976280167.13</v>
      </c>
      <c r="G108" s="20">
        <v>976280167.13</v>
      </c>
      <c r="H108" s="20">
        <v>976280167.13</v>
      </c>
      <c r="I108" s="20">
        <v>976280167.13</v>
      </c>
      <c r="J108" s="20">
        <v>976280167.13</v>
      </c>
      <c r="K108" s="20">
        <v>976280167.13</v>
      </c>
      <c r="L108" s="20">
        <v>976280167.13</v>
      </c>
      <c r="M108" s="20">
        <v>976280167.13</v>
      </c>
      <c r="N108" s="20">
        <v>976280167.13</v>
      </c>
      <c r="O108" s="20">
        <v>976280167.13</v>
      </c>
      <c r="P108" s="20">
        <v>976280167.13</v>
      </c>
    </row>
    <row r="109" spans="1:16" x14ac:dyDescent="0.3">
      <c r="A109" s="11" t="s">
        <v>2881</v>
      </c>
      <c r="B109" s="11" t="s">
        <v>121</v>
      </c>
      <c r="C109" s="20"/>
      <c r="D109" s="20">
        <v>976280167.13</v>
      </c>
      <c r="E109" s="20">
        <v>976280167.13</v>
      </c>
      <c r="F109" s="20">
        <v>976280167.13</v>
      </c>
      <c r="G109" s="20">
        <v>976280167.13</v>
      </c>
      <c r="H109" s="20">
        <v>976280167.13</v>
      </c>
      <c r="I109" s="20">
        <v>976280167.13</v>
      </c>
      <c r="J109" s="20">
        <v>976280167.13</v>
      </c>
      <c r="K109" s="20">
        <v>976280167.13</v>
      </c>
      <c r="L109" s="20">
        <v>976280167.13</v>
      </c>
      <c r="M109" s="20">
        <v>976280167.13</v>
      </c>
      <c r="N109" s="20">
        <v>976280167.13</v>
      </c>
      <c r="O109" s="20">
        <v>976280167.13</v>
      </c>
      <c r="P109" s="20">
        <v>976280167.13</v>
      </c>
    </row>
    <row r="110" spans="1:16" x14ac:dyDescent="0.3">
      <c r="A110" s="11" t="s">
        <v>2882</v>
      </c>
      <c r="B110" s="11" t="s">
        <v>119</v>
      </c>
      <c r="C110" s="20"/>
      <c r="D110" s="20">
        <v>0</v>
      </c>
      <c r="E110" s="20">
        <v>0</v>
      </c>
      <c r="F110" s="20">
        <v>0</v>
      </c>
      <c r="G110" s="20">
        <v>0</v>
      </c>
      <c r="H110" s="20">
        <v>0</v>
      </c>
      <c r="I110" s="20">
        <v>0</v>
      </c>
      <c r="J110" s="20">
        <v>0</v>
      </c>
      <c r="K110" s="20">
        <v>0</v>
      </c>
      <c r="L110" s="20">
        <v>0</v>
      </c>
      <c r="M110" s="20">
        <v>0</v>
      </c>
      <c r="N110" s="20">
        <v>0</v>
      </c>
      <c r="O110" s="20">
        <v>0</v>
      </c>
      <c r="P110" s="20">
        <v>0</v>
      </c>
    </row>
    <row r="111" spans="1:16" x14ac:dyDescent="0.3">
      <c r="A111" s="11" t="s">
        <v>2883</v>
      </c>
      <c r="B111" s="11" t="s">
        <v>118</v>
      </c>
      <c r="C111" s="20"/>
      <c r="D111" s="20">
        <v>4016775058.0988812</v>
      </c>
      <c r="E111" s="20">
        <v>4098822803.3203893</v>
      </c>
      <c r="F111" s="20">
        <v>4151516149.1046891</v>
      </c>
      <c r="G111" s="20">
        <v>4254756603.1276884</v>
      </c>
      <c r="H111" s="20">
        <v>4338484344.434289</v>
      </c>
      <c r="I111" s="20">
        <v>4442924103.5236874</v>
      </c>
      <c r="J111" s="20">
        <v>4517344951.8413858</v>
      </c>
      <c r="K111" s="20">
        <v>4600448126.3452883</v>
      </c>
      <c r="L111" s="20">
        <v>4669451523.1805849</v>
      </c>
      <c r="M111" s="20">
        <v>4751811785.9426918</v>
      </c>
      <c r="N111" s="20">
        <v>4843701253.5997868</v>
      </c>
      <c r="O111" s="20">
        <v>4919517674.9681873</v>
      </c>
      <c r="P111" s="20">
        <v>4996171977.6565857</v>
      </c>
    </row>
    <row r="112" spans="1:16" x14ac:dyDescent="0.3">
      <c r="A112" s="11" t="s">
        <v>2884</v>
      </c>
      <c r="B112" s="11" t="s">
        <v>117</v>
      </c>
      <c r="C112" s="20"/>
      <c r="D112" s="20">
        <v>3034760573.6600008</v>
      </c>
      <c r="E112" s="20">
        <v>3034760573.6600008</v>
      </c>
      <c r="F112" s="20">
        <v>3034760573.6600008</v>
      </c>
      <c r="G112" s="20">
        <v>3034760573.6599998</v>
      </c>
      <c r="H112" s="20">
        <v>3034760573.6600008</v>
      </c>
      <c r="I112" s="20">
        <v>4019086333.1000013</v>
      </c>
      <c r="J112" s="20">
        <v>4019086333.0999994</v>
      </c>
      <c r="K112" s="20">
        <v>4019496570.1000013</v>
      </c>
      <c r="L112" s="20">
        <v>4020023801.0999985</v>
      </c>
      <c r="M112" s="20">
        <v>4021543656.1000071</v>
      </c>
      <c r="N112" s="20">
        <v>4021543656.1000009</v>
      </c>
      <c r="O112" s="20">
        <v>4021543656.1000009</v>
      </c>
      <c r="P112" s="20">
        <v>4003891393.0999999</v>
      </c>
    </row>
    <row r="113" spans="1:16" x14ac:dyDescent="0.3">
      <c r="A113" s="11" t="s">
        <v>2885</v>
      </c>
      <c r="B113" s="11" t="s">
        <v>115</v>
      </c>
      <c r="C113" s="20"/>
      <c r="D113" s="20">
        <v>984325759.43759871</v>
      </c>
      <c r="E113" s="20">
        <v>82030021.391499966</v>
      </c>
      <c r="F113" s="20">
        <v>134705643.34580004</v>
      </c>
      <c r="G113" s="20">
        <v>237928373.53880012</v>
      </c>
      <c r="H113" s="20">
        <v>321638391.01539958</v>
      </c>
      <c r="I113" s="20">
        <v>426060426.2748</v>
      </c>
      <c r="J113" s="20">
        <v>500463550.76250041</v>
      </c>
      <c r="K113" s="20">
        <v>583138764.43640089</v>
      </c>
      <c r="L113" s="20">
        <v>651597206.44170058</v>
      </c>
      <c r="M113" s="20">
        <v>732419890.37379932</v>
      </c>
      <c r="N113" s="20">
        <v>826717629.53089976</v>
      </c>
      <c r="O113" s="20">
        <v>904990176.39929998</v>
      </c>
      <c r="P113" s="20">
        <v>1001705013.5877</v>
      </c>
    </row>
    <row r="114" spans="1:16" x14ac:dyDescent="0.3">
      <c r="A114" s="11" t="s">
        <v>2886</v>
      </c>
      <c r="B114" s="11" t="s">
        <v>236</v>
      </c>
      <c r="C114" s="20"/>
      <c r="D114" s="20">
        <v>0</v>
      </c>
      <c r="E114" s="20">
        <v>0</v>
      </c>
      <c r="F114" s="20">
        <v>0</v>
      </c>
      <c r="G114" s="20">
        <v>0</v>
      </c>
      <c r="H114" s="20">
        <v>0</v>
      </c>
      <c r="I114" s="20">
        <v>0</v>
      </c>
      <c r="J114" s="20">
        <v>0</v>
      </c>
      <c r="K114" s="20">
        <v>0</v>
      </c>
      <c r="L114" s="20">
        <v>0</v>
      </c>
      <c r="M114" s="20">
        <v>0</v>
      </c>
      <c r="N114" s="20">
        <v>0</v>
      </c>
      <c r="O114" s="20">
        <v>0</v>
      </c>
      <c r="P114" s="20">
        <v>0</v>
      </c>
    </row>
    <row r="115" spans="1:16" x14ac:dyDescent="0.3">
      <c r="A115" s="11" t="s">
        <v>2887</v>
      </c>
      <c r="B115" s="11" t="s">
        <v>235</v>
      </c>
      <c r="C115" s="20"/>
      <c r="D115" s="20">
        <v>0</v>
      </c>
      <c r="E115" s="20">
        <v>0</v>
      </c>
      <c r="F115" s="20">
        <v>0</v>
      </c>
      <c r="G115" s="20">
        <v>0</v>
      </c>
      <c r="H115" s="20">
        <v>0</v>
      </c>
      <c r="I115" s="20">
        <v>0</v>
      </c>
      <c r="J115" s="20">
        <v>0</v>
      </c>
      <c r="K115" s="20">
        <v>0</v>
      </c>
      <c r="L115" s="20">
        <v>0</v>
      </c>
      <c r="M115" s="20">
        <v>0</v>
      </c>
      <c r="N115" s="20">
        <v>0</v>
      </c>
      <c r="O115" s="20">
        <v>0</v>
      </c>
      <c r="P115" s="20">
        <v>0</v>
      </c>
    </row>
    <row r="116" spans="1:16" x14ac:dyDescent="0.3">
      <c r="A116" s="11" t="s">
        <v>2888</v>
      </c>
      <c r="B116" s="11" t="s">
        <v>116</v>
      </c>
      <c r="C116" s="20"/>
      <c r="D116" s="20">
        <v>1.28173828125E-3</v>
      </c>
      <c r="E116" s="20">
        <v>984325759.43888855</v>
      </c>
      <c r="F116" s="20">
        <v>984325759.43888855</v>
      </c>
      <c r="G116" s="20">
        <v>984325759.43888855</v>
      </c>
      <c r="H116" s="20">
        <v>984325759.43888855</v>
      </c>
      <c r="I116" s="20">
        <v>-1.1138916015625E-3</v>
      </c>
      <c r="J116" s="20">
        <v>-1.1138916015625E-3</v>
      </c>
      <c r="K116" s="20">
        <v>-1.1138916015625E-3</v>
      </c>
      <c r="L116" s="20">
        <v>-1.1138916015625E-3</v>
      </c>
      <c r="M116" s="20">
        <v>-1.113892E-3</v>
      </c>
      <c r="N116" s="20">
        <v>-1.113892E-3</v>
      </c>
      <c r="O116" s="20">
        <v>-1.113892E-3</v>
      </c>
      <c r="P116" s="20">
        <v>-1.113892E-3</v>
      </c>
    </row>
    <row r="117" spans="1:16" x14ac:dyDescent="0.3">
      <c r="A117" s="11" t="s">
        <v>2889</v>
      </c>
      <c r="B117" s="11" t="s">
        <v>112</v>
      </c>
      <c r="C117" s="20"/>
      <c r="D117" s="20">
        <v>-2311275</v>
      </c>
      <c r="E117" s="20">
        <v>-2293551.17</v>
      </c>
      <c r="F117" s="20">
        <v>-2275827.34</v>
      </c>
      <c r="G117" s="20">
        <v>-2258103.5099999998</v>
      </c>
      <c r="H117" s="20">
        <v>-2240379.6799999997</v>
      </c>
      <c r="I117" s="20">
        <v>-2222655.85</v>
      </c>
      <c r="J117" s="20">
        <v>-2204932.02</v>
      </c>
      <c r="K117" s="20">
        <v>-2187208.19</v>
      </c>
      <c r="L117" s="20">
        <v>-2169484.3600000003</v>
      </c>
      <c r="M117" s="20">
        <v>-2151760.5299999998</v>
      </c>
      <c r="N117" s="20">
        <v>-4560032.03</v>
      </c>
      <c r="O117" s="20">
        <v>-7016157.5300000012</v>
      </c>
      <c r="P117" s="20">
        <v>-9424429.0300000012</v>
      </c>
    </row>
    <row r="118" spans="1:16" x14ac:dyDescent="0.3">
      <c r="A118" s="11" t="s">
        <v>2890</v>
      </c>
      <c r="B118" s="11" t="s">
        <v>109</v>
      </c>
      <c r="C118" s="20"/>
      <c r="D118" s="20">
        <v>46583621489.782227</v>
      </c>
      <c r="E118" s="20">
        <v>46818481689.636826</v>
      </c>
      <c r="F118" s="20">
        <v>47431243158.896881</v>
      </c>
      <c r="G118" s="20">
        <v>48004287133.114204</v>
      </c>
      <c r="H118" s="20">
        <v>48085520741.190102</v>
      </c>
      <c r="I118" s="20">
        <v>48660312566.708542</v>
      </c>
      <c r="J118" s="20">
        <v>50273428766.76693</v>
      </c>
      <c r="K118" s="20">
        <v>52157156710.821281</v>
      </c>
      <c r="L118" s="20">
        <v>51773131810.925934</v>
      </c>
      <c r="M118" s="20">
        <v>52800342216.339569</v>
      </c>
      <c r="N118" s="20">
        <v>52840106197.537598</v>
      </c>
      <c r="O118" s="20">
        <v>54608422960.584862</v>
      </c>
      <c r="P118" s="20">
        <v>54679382493.18853</v>
      </c>
    </row>
    <row r="119" spans="1:16" x14ac:dyDescent="0.3">
      <c r="A119" s="11" t="s">
        <v>2891</v>
      </c>
      <c r="B119" s="11" t="s">
        <v>104</v>
      </c>
      <c r="C119" s="20"/>
      <c r="D119" s="20">
        <v>16695890751.974628</v>
      </c>
      <c r="E119" s="20">
        <v>16935793954.23345</v>
      </c>
      <c r="F119" s="20">
        <v>17560456446.499237</v>
      </c>
      <c r="G119" s="20">
        <v>18039999454.926701</v>
      </c>
      <c r="H119" s="20">
        <v>18081035985.632275</v>
      </c>
      <c r="I119" s="20">
        <v>18711558022.149853</v>
      </c>
      <c r="J119" s="20">
        <v>20320428806.159859</v>
      </c>
      <c r="K119" s="20">
        <v>22206930535.35302</v>
      </c>
      <c r="L119" s="20">
        <v>21433991817.708771</v>
      </c>
      <c r="M119" s="20">
        <v>22430217198.664879</v>
      </c>
      <c r="N119" s="20">
        <v>22432379532.798111</v>
      </c>
      <c r="O119" s="20">
        <v>24150444425.604351</v>
      </c>
      <c r="P119" s="20">
        <v>24146484430.418442</v>
      </c>
    </row>
    <row r="120" spans="1:16" x14ac:dyDescent="0.3">
      <c r="A120" s="11" t="s">
        <v>2892</v>
      </c>
      <c r="B120" s="11" t="s">
        <v>234</v>
      </c>
      <c r="C120" s="20"/>
      <c r="D120" s="20">
        <v>88923106.978691846</v>
      </c>
      <c r="E120" s="20">
        <v>88877760.299847752</v>
      </c>
      <c r="F120" s="20">
        <v>20095179.579921823</v>
      </c>
      <c r="G120" s="20">
        <v>105755838.69490428</v>
      </c>
      <c r="H120" s="20">
        <v>108905146.44937849</v>
      </c>
      <c r="I120" s="20">
        <v>19336435.425099373</v>
      </c>
      <c r="J120" s="20">
        <v>19504074.571294606</v>
      </c>
      <c r="K120" s="20">
        <v>19983642.210035663</v>
      </c>
      <c r="L120" s="20">
        <v>16031376.089964407</v>
      </c>
      <c r="M120" s="20">
        <v>107879485.0727392</v>
      </c>
      <c r="N120" s="20">
        <v>110910242.89983229</v>
      </c>
      <c r="O120" s="20">
        <v>16313858.43999924</v>
      </c>
      <c r="P120" s="20">
        <v>19441232.67438674</v>
      </c>
    </row>
    <row r="121" spans="1:16" x14ac:dyDescent="0.3">
      <c r="A121" s="11" t="s">
        <v>2893</v>
      </c>
      <c r="B121" s="11" t="s">
        <v>212</v>
      </c>
      <c r="C121" s="20"/>
      <c r="D121" s="20">
        <v>43206107.419998407</v>
      </c>
      <c r="E121" s="20">
        <v>42980262.589997649</v>
      </c>
      <c r="F121" s="20">
        <v>43816362.230008364</v>
      </c>
      <c r="G121" s="20">
        <v>43945538.570006847</v>
      </c>
      <c r="H121" s="20">
        <v>44140401.359995842</v>
      </c>
      <c r="I121" s="20">
        <v>43452800.130004644</v>
      </c>
      <c r="J121" s="20">
        <v>43489514.400009513</v>
      </c>
      <c r="K121" s="20">
        <v>43610753.05000186</v>
      </c>
      <c r="L121" s="20">
        <v>43839793.720001817</v>
      </c>
      <c r="M121" s="20">
        <v>44100939.839999318</v>
      </c>
      <c r="N121" s="20">
        <v>45882625.459994324</v>
      </c>
      <c r="O121" s="20">
        <v>44549751.980009198</v>
      </c>
      <c r="P121" s="20">
        <v>44086868.470007062</v>
      </c>
    </row>
    <row r="122" spans="1:16" x14ac:dyDescent="0.3">
      <c r="A122" s="11" t="s">
        <v>2894</v>
      </c>
      <c r="B122" s="11" t="s">
        <v>233</v>
      </c>
      <c r="C122" s="20"/>
      <c r="D122" s="20">
        <v>29657560463.438656</v>
      </c>
      <c r="E122" s="20">
        <v>29659213500.869446</v>
      </c>
      <c r="F122" s="20">
        <v>29722058743.244202</v>
      </c>
      <c r="G122" s="20">
        <v>29735746073.516407</v>
      </c>
      <c r="H122" s="20">
        <v>29780631909.845688</v>
      </c>
      <c r="I122" s="20">
        <v>29793259361.891479</v>
      </c>
      <c r="J122" s="20">
        <v>29799033357.612385</v>
      </c>
      <c r="K122" s="20">
        <v>29799177423.632439</v>
      </c>
      <c r="L122" s="20">
        <v>30196205578.731136</v>
      </c>
      <c r="M122" s="20">
        <v>30141010797.547749</v>
      </c>
      <c r="N122" s="20">
        <v>30176601375.799709</v>
      </c>
      <c r="O122" s="20">
        <v>30322413872.973549</v>
      </c>
      <c r="P122" s="20">
        <v>30395146137.948639</v>
      </c>
    </row>
    <row r="123" spans="1:16" x14ac:dyDescent="0.3">
      <c r="A123" s="11" t="s">
        <v>2895</v>
      </c>
      <c r="B123" s="11" t="s">
        <v>211</v>
      </c>
      <c r="C123" s="20"/>
      <c r="D123" s="20">
        <v>98041059.970253706</v>
      </c>
      <c r="E123" s="20">
        <v>91616211.644080356</v>
      </c>
      <c r="F123" s="20">
        <v>84816427.34351638</v>
      </c>
      <c r="G123" s="20">
        <v>78840227.406180665</v>
      </c>
      <c r="H123" s="20">
        <v>70807297.902765527</v>
      </c>
      <c r="I123" s="20">
        <v>92705947.112108141</v>
      </c>
      <c r="J123" s="20">
        <v>90973014.023384467</v>
      </c>
      <c r="K123" s="20">
        <v>87454356.575781107</v>
      </c>
      <c r="L123" s="20">
        <v>83063244.676058114</v>
      </c>
      <c r="M123" s="20">
        <v>77133795.214197844</v>
      </c>
      <c r="N123" s="20">
        <v>74332420.579952836</v>
      </c>
      <c r="O123" s="20">
        <v>74701051.586950585</v>
      </c>
      <c r="P123" s="20">
        <v>74223823.677052796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35"/>
  <sheetViews>
    <sheetView zoomScale="102" zoomScaleNormal="85" workbookViewId="0">
      <pane xSplit="2" ySplit="2" topLeftCell="AB3" activePane="bottomRight" state="frozen"/>
      <selection pane="topRight" activeCell="C1" sqref="C1"/>
      <selection pane="bottomLeft" activeCell="A3" sqref="A3"/>
      <selection pane="bottomRight" activeCell="AG13" sqref="AG13"/>
    </sheetView>
  </sheetViews>
  <sheetFormatPr baseColWidth="10" defaultColWidth="9.44140625" defaultRowHeight="14.4" x14ac:dyDescent="0.3"/>
  <cols>
    <col min="2" max="2" width="33.44140625" bestFit="1" customWidth="1"/>
    <col min="3" max="20" width="13.5546875" style="1" customWidth="1"/>
    <col min="21" max="28" width="12.5546875" bestFit="1" customWidth="1"/>
    <col min="29" max="29" width="12.77734375" bestFit="1" customWidth="1"/>
    <col min="30" max="31" width="12.5546875" bestFit="1" customWidth="1"/>
  </cols>
  <sheetData>
    <row r="1" spans="1:31" x14ac:dyDescent="0.3">
      <c r="A1" s="11"/>
      <c r="B1" s="11"/>
      <c r="C1" s="12" t="s">
        <v>2013</v>
      </c>
      <c r="D1" s="12" t="s">
        <v>2013</v>
      </c>
      <c r="E1" s="12" t="s">
        <v>2013</v>
      </c>
      <c r="F1" s="12" t="s">
        <v>2013</v>
      </c>
      <c r="G1" s="12" t="s">
        <v>2013</v>
      </c>
      <c r="H1" s="12" t="s">
        <v>2013</v>
      </c>
      <c r="I1" s="12" t="s">
        <v>92</v>
      </c>
      <c r="J1" s="12" t="s">
        <v>92</v>
      </c>
      <c r="K1" s="12" t="s">
        <v>92</v>
      </c>
      <c r="L1" s="12" t="s">
        <v>92</v>
      </c>
      <c r="M1" s="12" t="s">
        <v>92</v>
      </c>
      <c r="N1" s="12" t="s">
        <v>92</v>
      </c>
      <c r="O1" s="12" t="s">
        <v>92</v>
      </c>
      <c r="P1" s="12" t="s">
        <v>92</v>
      </c>
      <c r="Q1" s="12" t="s">
        <v>92</v>
      </c>
      <c r="R1" s="12" t="s">
        <v>92</v>
      </c>
      <c r="S1" s="12" t="s">
        <v>92</v>
      </c>
      <c r="T1" s="12" t="s">
        <v>92</v>
      </c>
      <c r="U1" s="12" t="s">
        <v>92</v>
      </c>
      <c r="V1" s="12" t="s">
        <v>92</v>
      </c>
      <c r="W1" s="12" t="s">
        <v>92</v>
      </c>
      <c r="X1" s="12" t="s">
        <v>92</v>
      </c>
      <c r="Y1" s="12" t="s">
        <v>91</v>
      </c>
      <c r="Z1" s="12" t="s">
        <v>92</v>
      </c>
      <c r="AA1" s="12" t="s">
        <v>92</v>
      </c>
      <c r="AB1" s="12" t="s">
        <v>92</v>
      </c>
      <c r="AC1" s="12" t="s">
        <v>92</v>
      </c>
      <c r="AD1" s="12" t="s">
        <v>92</v>
      </c>
      <c r="AE1" s="12" t="s">
        <v>92</v>
      </c>
    </row>
    <row r="2" spans="1:31" x14ac:dyDescent="0.3">
      <c r="A2" s="13" t="s">
        <v>206</v>
      </c>
      <c r="B2" s="13" t="s">
        <v>205</v>
      </c>
      <c r="C2" s="19">
        <v>45108</v>
      </c>
      <c r="D2" s="19">
        <v>45139</v>
      </c>
      <c r="E2" s="19">
        <v>45170</v>
      </c>
      <c r="F2" s="19">
        <v>45200</v>
      </c>
      <c r="G2" s="19">
        <v>45231</v>
      </c>
      <c r="H2" s="19">
        <v>45261</v>
      </c>
      <c r="I2" s="19">
        <v>45292</v>
      </c>
      <c r="J2" s="19">
        <v>45323</v>
      </c>
      <c r="K2" s="19">
        <v>45352</v>
      </c>
      <c r="L2" s="19">
        <v>45383</v>
      </c>
      <c r="M2" s="19">
        <v>45413</v>
      </c>
      <c r="N2" s="19">
        <v>45444</v>
      </c>
      <c r="O2" s="19">
        <v>45474</v>
      </c>
      <c r="P2" s="19">
        <v>45505</v>
      </c>
      <c r="Q2" s="19">
        <v>45536</v>
      </c>
      <c r="R2" s="19">
        <v>45566</v>
      </c>
      <c r="S2" s="19">
        <v>45597</v>
      </c>
      <c r="T2" s="19">
        <v>45627</v>
      </c>
      <c r="U2" s="19">
        <v>45658</v>
      </c>
      <c r="V2" s="19">
        <v>45689</v>
      </c>
      <c r="W2" s="19">
        <v>45717</v>
      </c>
      <c r="X2" s="19">
        <v>45748</v>
      </c>
      <c r="Y2" s="19">
        <v>45778</v>
      </c>
      <c r="Z2" s="19">
        <v>45809</v>
      </c>
      <c r="AA2" s="19">
        <v>45839</v>
      </c>
      <c r="AB2" s="19">
        <v>45870</v>
      </c>
      <c r="AC2" s="19">
        <v>45901</v>
      </c>
      <c r="AD2" s="19">
        <v>45931</v>
      </c>
      <c r="AE2" s="19">
        <v>45962</v>
      </c>
    </row>
    <row r="3" spans="1:31" ht="15" customHeight="1" x14ac:dyDescent="0.3">
      <c r="A3" s="11" t="s">
        <v>1728</v>
      </c>
      <c r="B3" s="11" t="s">
        <v>1727</v>
      </c>
      <c r="C3" s="11"/>
      <c r="D3" s="11"/>
      <c r="E3" s="11"/>
      <c r="F3" s="11"/>
      <c r="G3"/>
      <c r="H3" s="49">
        <v>-8.9402577881205758E-3</v>
      </c>
      <c r="I3" s="49">
        <v>-3.5037368726967091E-3</v>
      </c>
      <c r="J3" s="49">
        <v>1.1882959718195751E-3</v>
      </c>
      <c r="K3" s="49">
        <v>1.8037171046061025E-3</v>
      </c>
      <c r="L3" s="49">
        <v>9.6911860737295774E-4</v>
      </c>
      <c r="M3" s="49">
        <v>1.3172024871944317E-3</v>
      </c>
      <c r="N3" s="49">
        <v>-8.6599996229867282E-4</v>
      </c>
      <c r="O3" s="49">
        <v>4.0826990469312596E-3</v>
      </c>
      <c r="P3" s="49">
        <v>4.3391171729811884E-4</v>
      </c>
      <c r="Q3" s="49">
        <v>1.3520782894073473E-3</v>
      </c>
      <c r="R3" s="49">
        <v>-3.0359886206245226E-3</v>
      </c>
      <c r="S3" s="49">
        <v>-9.1644256321946982E-4</v>
      </c>
      <c r="T3" s="49">
        <v>-4.5838453442284361E-3</v>
      </c>
      <c r="U3" s="75">
        <v>-1.3399915271805247E-3</v>
      </c>
      <c r="V3" s="75">
        <v>1.2050964955908627E-3</v>
      </c>
      <c r="W3" s="75">
        <v>3.5752559814773432E-3</v>
      </c>
      <c r="X3" s="75">
        <v>4.2766233836057559E-3</v>
      </c>
      <c r="Y3" s="49">
        <v>8.0413784743071925E-4</v>
      </c>
      <c r="Z3" s="79">
        <v>2.2071080341807825E-3</v>
      </c>
      <c r="AA3" s="80">
        <v>-8.9999999999999993E-3</v>
      </c>
      <c r="AB3" s="80">
        <v>6.0000000000000001E-3</v>
      </c>
      <c r="AC3" s="80">
        <v>-4.3923716057370221E-3</v>
      </c>
      <c r="AD3" s="80">
        <v>9.8123481622514053E-3</v>
      </c>
      <c r="AE3" s="80" t="s">
        <v>1767</v>
      </c>
    </row>
    <row r="4" spans="1:31" x14ac:dyDescent="0.3">
      <c r="A4" s="11" t="s">
        <v>1726</v>
      </c>
      <c r="B4" s="11" t="s">
        <v>1725</v>
      </c>
      <c r="C4" s="11"/>
      <c r="D4" s="11"/>
      <c r="E4" s="11"/>
      <c r="F4" s="11"/>
      <c r="G4"/>
      <c r="H4" s="23">
        <v>10</v>
      </c>
      <c r="I4" s="23">
        <v>11.25</v>
      </c>
      <c r="J4" s="23">
        <v>11.25</v>
      </c>
      <c r="K4" s="23">
        <v>11</v>
      </c>
      <c r="L4" s="23">
        <v>11</v>
      </c>
      <c r="M4" s="23">
        <v>11</v>
      </c>
      <c r="N4" s="23">
        <v>11</v>
      </c>
      <c r="O4" s="23">
        <v>11</v>
      </c>
      <c r="P4" s="23">
        <v>10.75</v>
      </c>
      <c r="Q4" s="23">
        <v>10.5</v>
      </c>
      <c r="R4" s="23">
        <v>10.5</v>
      </c>
      <c r="S4" s="23">
        <v>10.25</v>
      </c>
      <c r="T4" s="23">
        <v>10</v>
      </c>
      <c r="U4" s="23">
        <v>10</v>
      </c>
      <c r="V4" s="23">
        <v>9.5</v>
      </c>
      <c r="W4" s="23">
        <v>9</v>
      </c>
      <c r="X4" s="23">
        <v>9</v>
      </c>
      <c r="Y4" s="23">
        <v>8.5</v>
      </c>
      <c r="Z4" s="23">
        <v>8</v>
      </c>
      <c r="AA4" s="23">
        <v>8</v>
      </c>
      <c r="AB4" s="23">
        <v>7.75</v>
      </c>
      <c r="AC4" s="23">
        <v>7.5</v>
      </c>
      <c r="AD4" s="23">
        <v>7.5</v>
      </c>
      <c r="AE4" s="23">
        <v>7.25</v>
      </c>
    </row>
    <row r="5" spans="1:31" x14ac:dyDescent="0.3">
      <c r="A5" s="11" t="s">
        <v>1724</v>
      </c>
      <c r="B5" s="11" t="s">
        <v>1723</v>
      </c>
      <c r="C5" s="11"/>
      <c r="D5" s="11"/>
      <c r="E5" s="11"/>
      <c r="F5" s="11"/>
      <c r="G5"/>
      <c r="H5" s="65">
        <v>45261</v>
      </c>
      <c r="I5" s="65">
        <v>45292</v>
      </c>
      <c r="J5" s="65">
        <v>45323</v>
      </c>
      <c r="K5" s="65">
        <v>45352</v>
      </c>
      <c r="L5" s="65">
        <v>45383</v>
      </c>
      <c r="M5" s="65">
        <v>45413</v>
      </c>
      <c r="N5" s="65">
        <v>45444</v>
      </c>
      <c r="O5" s="65">
        <v>45474</v>
      </c>
      <c r="P5" s="65">
        <v>45505</v>
      </c>
      <c r="Q5" s="65">
        <v>45536</v>
      </c>
      <c r="R5" s="65">
        <v>45566</v>
      </c>
      <c r="S5" s="65">
        <v>45597</v>
      </c>
      <c r="T5" s="65">
        <v>45627</v>
      </c>
      <c r="U5" s="65">
        <v>45658</v>
      </c>
      <c r="V5" s="65">
        <v>45689</v>
      </c>
      <c r="W5" s="65">
        <v>45717</v>
      </c>
      <c r="X5" s="65">
        <v>45748</v>
      </c>
      <c r="Y5" s="65">
        <v>45778</v>
      </c>
      <c r="Z5" s="65">
        <v>45809</v>
      </c>
      <c r="AA5" s="65">
        <v>45839</v>
      </c>
      <c r="AB5" s="65">
        <v>45870</v>
      </c>
      <c r="AC5" s="65" t="s">
        <v>2909</v>
      </c>
      <c r="AD5" s="65" t="s">
        <v>2941</v>
      </c>
      <c r="AE5" s="65" t="s">
        <v>2944</v>
      </c>
    </row>
    <row r="6" spans="1:31" x14ac:dyDescent="0.3">
      <c r="A6" s="11">
        <v>100003</v>
      </c>
      <c r="B6" s="11" t="s">
        <v>1722</v>
      </c>
      <c r="C6" s="11"/>
      <c r="D6" s="11"/>
      <c r="E6" s="11"/>
      <c r="F6" s="11"/>
      <c r="G6"/>
      <c r="H6" s="23">
        <v>4.21</v>
      </c>
      <c r="I6" s="23">
        <v>4.88</v>
      </c>
      <c r="J6" s="23">
        <v>4.4000000000000004</v>
      </c>
      <c r="K6" s="23">
        <v>4.42</v>
      </c>
      <c r="L6" s="23">
        <v>4.6500000000000004</v>
      </c>
      <c r="M6" s="23">
        <v>4.6900000000000004</v>
      </c>
      <c r="N6" s="23">
        <v>4.9800000000000004</v>
      </c>
      <c r="O6" s="23">
        <v>5.57</v>
      </c>
      <c r="P6" s="23">
        <v>4.99</v>
      </c>
      <c r="Q6" s="23">
        <v>4.58</v>
      </c>
      <c r="R6" s="23">
        <v>4.76</v>
      </c>
      <c r="S6" s="23">
        <v>4.55</v>
      </c>
      <c r="T6" s="23">
        <v>4.21</v>
      </c>
      <c r="U6" s="23">
        <v>3.59</v>
      </c>
      <c r="V6" s="23">
        <v>3.77</v>
      </c>
      <c r="W6" s="23">
        <v>3.8</v>
      </c>
      <c r="X6" s="23">
        <v>3.93</v>
      </c>
      <c r="Y6" s="23">
        <v>4.42</v>
      </c>
      <c r="Z6" s="23">
        <v>4.32</v>
      </c>
      <c r="AA6" s="23">
        <v>3.51</v>
      </c>
      <c r="AB6" s="23">
        <v>3.57</v>
      </c>
      <c r="AC6" s="93">
        <v>3.76</v>
      </c>
      <c r="AD6" s="23">
        <v>3.57</v>
      </c>
      <c r="AE6" s="23">
        <v>3.8</v>
      </c>
    </row>
    <row r="7" spans="1:31" x14ac:dyDescent="0.3">
      <c r="A7" s="11" t="s">
        <v>1721</v>
      </c>
      <c r="B7" s="11" t="s">
        <v>1720</v>
      </c>
      <c r="C7" s="12">
        <v>11.25</v>
      </c>
      <c r="D7" s="12">
        <v>11.25</v>
      </c>
      <c r="E7" s="12">
        <v>11.25</v>
      </c>
      <c r="F7" s="12">
        <v>11.25</v>
      </c>
      <c r="G7" s="12">
        <v>11.25</v>
      </c>
      <c r="H7" s="12">
        <v>11.25</v>
      </c>
      <c r="I7" s="12">
        <v>11.25</v>
      </c>
      <c r="J7" s="12">
        <v>11.25</v>
      </c>
      <c r="K7" s="12">
        <v>11</v>
      </c>
      <c r="L7" s="12">
        <v>11</v>
      </c>
      <c r="M7" s="12">
        <v>11</v>
      </c>
      <c r="N7" s="12">
        <v>11</v>
      </c>
      <c r="O7" s="12">
        <v>11</v>
      </c>
      <c r="P7" s="12">
        <v>10.75</v>
      </c>
      <c r="Q7" s="12">
        <v>10.5</v>
      </c>
      <c r="R7" s="12">
        <v>10.5</v>
      </c>
      <c r="S7" s="12">
        <v>10.25</v>
      </c>
      <c r="T7" s="12">
        <v>10</v>
      </c>
      <c r="U7" s="12">
        <v>10</v>
      </c>
      <c r="V7" s="12">
        <v>9.5</v>
      </c>
      <c r="W7" s="12">
        <v>9</v>
      </c>
      <c r="X7" s="12">
        <v>2</v>
      </c>
      <c r="Y7" s="12">
        <v>2</v>
      </c>
      <c r="Z7" s="12">
        <v>2</v>
      </c>
      <c r="AA7" s="12">
        <v>2</v>
      </c>
      <c r="AB7" s="12">
        <v>2</v>
      </c>
      <c r="AC7" s="12">
        <v>2</v>
      </c>
      <c r="AD7" s="12">
        <v>2</v>
      </c>
      <c r="AE7" s="12">
        <v>2</v>
      </c>
    </row>
    <row r="8" spans="1:31" x14ac:dyDescent="0.3">
      <c r="A8" s="11" t="s">
        <v>1719</v>
      </c>
      <c r="B8" s="11" t="s">
        <v>1718</v>
      </c>
      <c r="C8" s="11"/>
      <c r="D8" s="11"/>
      <c r="E8" s="11"/>
      <c r="F8" s="11"/>
      <c r="G8"/>
      <c r="H8" s="23">
        <v>51.9</v>
      </c>
      <c r="I8" s="23">
        <v>55.970999999999997</v>
      </c>
      <c r="J8" s="23">
        <v>54.975000000000001</v>
      </c>
      <c r="K8" s="23">
        <v>54.756999999999998</v>
      </c>
      <c r="L8" s="23">
        <v>54.957000000000001</v>
      </c>
      <c r="M8" s="23">
        <v>54.636885820000003</v>
      </c>
      <c r="N8" s="23">
        <v>53.149893380000002</v>
      </c>
      <c r="O8" s="23">
        <v>53.492096029999999</v>
      </c>
      <c r="P8" s="23">
        <v>52.740525730000002</v>
      </c>
      <c r="Q8" s="23">
        <v>50.985504560000003</v>
      </c>
      <c r="R8" s="23">
        <v>51.906183200000001</v>
      </c>
      <c r="S8" s="23">
        <v>51.484636350000002</v>
      </c>
      <c r="T8" s="23">
        <v>51.9</v>
      </c>
      <c r="U8" s="23">
        <v>51.374906780000003</v>
      </c>
      <c r="V8" s="23">
        <v>50.117443190000003</v>
      </c>
      <c r="W8" s="23">
        <v>49.337817370000003</v>
      </c>
      <c r="X8" s="23">
        <v>48.689455410000001</v>
      </c>
      <c r="Y8" s="23">
        <v>48.722202770000003</v>
      </c>
      <c r="Z8" s="23">
        <v>48.623622089999998</v>
      </c>
      <c r="AA8" s="87">
        <v>48.968333459999997</v>
      </c>
      <c r="AB8" s="87">
        <v>49.3</v>
      </c>
      <c r="AC8" s="23">
        <v>49.319399060000002</v>
      </c>
      <c r="AD8" s="87">
        <v>48.512275770000002</v>
      </c>
      <c r="AE8" s="87">
        <v>48.303113629999999</v>
      </c>
    </row>
    <row r="9" spans="1:31" x14ac:dyDescent="0.3">
      <c r="A9" s="11" t="s">
        <v>1717</v>
      </c>
      <c r="B9" s="11" t="s">
        <v>1716</v>
      </c>
      <c r="C9" s="11"/>
      <c r="D9" s="11"/>
      <c r="E9" s="11"/>
      <c r="F9" s="11"/>
      <c r="G9"/>
      <c r="H9" s="23">
        <v>47.270034347409236</v>
      </c>
      <c r="I9" s="23">
        <v>47.571614440638001</v>
      </c>
      <c r="J9" s="23">
        <v>47.125446530714001</v>
      </c>
      <c r="K9" s="23">
        <v>47.37701218166</v>
      </c>
      <c r="L9" s="23">
        <v>47.734665663569999</v>
      </c>
      <c r="M9" s="23">
        <v>46.695694705173999</v>
      </c>
      <c r="N9" s="23">
        <v>48.053007238749998</v>
      </c>
      <c r="O9" s="23">
        <v>46.966746692724001</v>
      </c>
      <c r="P9" s="23">
        <v>46.993258614232275</v>
      </c>
      <c r="Q9" s="23">
        <v>46.56533712615807</v>
      </c>
      <c r="R9" s="23">
        <v>48.897877633122164</v>
      </c>
      <c r="S9" s="23">
        <v>47.442950378911924</v>
      </c>
      <c r="T9" s="23">
        <v>47.270034347409236</v>
      </c>
      <c r="U9" s="23">
        <v>47.149656125925851</v>
      </c>
      <c r="V9" s="23">
        <v>46.488366486732978</v>
      </c>
      <c r="W9" s="23">
        <v>46.090078149416264</v>
      </c>
      <c r="X9" s="23">
        <v>45.454235606749975</v>
      </c>
      <c r="Y9" s="23">
        <v>46.497801253238435</v>
      </c>
      <c r="Z9" s="23">
        <v>45.714253218372768</v>
      </c>
      <c r="AA9" s="23">
        <v>45.766388407840239</v>
      </c>
      <c r="AB9" s="23">
        <v>46.4552017425016</v>
      </c>
      <c r="AC9" s="23">
        <v>46.068591028256002</v>
      </c>
      <c r="AD9" s="23">
        <v>45.689482002517998</v>
      </c>
      <c r="AE9" s="23">
        <v>43.957277352161</v>
      </c>
    </row>
    <row r="10" spans="1:31" x14ac:dyDescent="0.3">
      <c r="A10" s="11" t="s">
        <v>1715</v>
      </c>
      <c r="B10" s="11" t="s">
        <v>1714</v>
      </c>
      <c r="C10" s="11"/>
      <c r="D10" s="11"/>
      <c r="E10" s="11"/>
      <c r="F10" s="11"/>
      <c r="G10"/>
      <c r="H10" s="23">
        <v>20.882899999999999</v>
      </c>
      <c r="I10" s="23">
        <v>17.133600000000001</v>
      </c>
      <c r="J10" s="23">
        <v>17.054300000000001</v>
      </c>
      <c r="K10" s="23">
        <v>16.5625</v>
      </c>
      <c r="L10" s="23">
        <v>17.126799999999999</v>
      </c>
      <c r="M10" s="23">
        <v>16.9682</v>
      </c>
      <c r="N10" s="23">
        <v>18.286200000000001</v>
      </c>
      <c r="O10" s="23">
        <v>18.632000000000001</v>
      </c>
      <c r="P10" s="23">
        <v>19.7027</v>
      </c>
      <c r="Q10" s="23">
        <v>19.6921</v>
      </c>
      <c r="R10" s="23">
        <v>20.010899999999999</v>
      </c>
      <c r="S10" s="23">
        <v>20.3611</v>
      </c>
      <c r="T10" s="23">
        <v>20.882899999999999</v>
      </c>
      <c r="U10" s="23">
        <v>20.687100000000001</v>
      </c>
      <c r="V10" s="23">
        <v>20.578199999999999</v>
      </c>
      <c r="W10" s="23">
        <v>20.4604</v>
      </c>
      <c r="X10" s="23">
        <v>19.613600000000002</v>
      </c>
      <c r="Y10" s="23">
        <v>19.395700000000001</v>
      </c>
      <c r="Z10" s="23">
        <v>18.7654</v>
      </c>
      <c r="AA10" s="23">
        <v>18.867999999999999</v>
      </c>
      <c r="AB10" s="23">
        <v>18.6615</v>
      </c>
      <c r="AC10" s="23">
        <v>18.314699999999998</v>
      </c>
      <c r="AD10" s="23">
        <v>18.579599999999999</v>
      </c>
      <c r="AE10" s="23">
        <v>18.295300000000001</v>
      </c>
    </row>
    <row r="11" spans="1:31" x14ac:dyDescent="0.3">
      <c r="A11" s="11" t="s">
        <v>1713</v>
      </c>
      <c r="B11" s="11" t="s">
        <v>1712</v>
      </c>
      <c r="C11" s="11"/>
      <c r="D11" s="11"/>
      <c r="E11" s="11"/>
      <c r="F11" s="11"/>
      <c r="G11"/>
      <c r="H11" s="23">
        <v>13404927.800000001</v>
      </c>
      <c r="I11" s="23">
        <v>11523668.85</v>
      </c>
      <c r="J11" s="23">
        <v>11820310.529999999</v>
      </c>
      <c r="K11" s="23">
        <v>12050515.42</v>
      </c>
      <c r="L11" s="23">
        <v>12155850.35</v>
      </c>
      <c r="M11" s="23">
        <v>12382715.960000001</v>
      </c>
      <c r="N11" s="23">
        <v>12532294.699999999</v>
      </c>
      <c r="O11" s="23">
        <v>12820206.74</v>
      </c>
      <c r="P11" s="23">
        <v>13091552.300000001</v>
      </c>
      <c r="Q11" s="23">
        <v>13121447.68</v>
      </c>
      <c r="R11" s="23">
        <v>13244809.439999999</v>
      </c>
      <c r="S11" s="23">
        <v>13385420.640000001</v>
      </c>
      <c r="T11" s="23">
        <v>13404927.800000001</v>
      </c>
      <c r="U11" s="23">
        <v>13494563.609999999</v>
      </c>
      <c r="V11" s="23">
        <v>13717304.09</v>
      </c>
      <c r="W11" s="23">
        <v>13679764.800000001</v>
      </c>
      <c r="X11" s="23">
        <v>13767250.130000001</v>
      </c>
      <c r="Y11" s="23">
        <v>13847672.880000001</v>
      </c>
      <c r="Z11" s="23">
        <v>14131842.359999999</v>
      </c>
      <c r="AA11" s="23">
        <v>14361321.779999999</v>
      </c>
      <c r="AB11" s="23">
        <v>14509771.300000001</v>
      </c>
      <c r="AC11" s="23">
        <v>14771115.050000001</v>
      </c>
      <c r="AD11" s="23">
        <v>14785475.09</v>
      </c>
      <c r="AE11" s="23">
        <v>15112146.109999999</v>
      </c>
    </row>
    <row r="12" spans="1:31" x14ac:dyDescent="0.3">
      <c r="A12" s="11" t="s">
        <v>1711</v>
      </c>
      <c r="B12" s="11" t="s">
        <v>1710</v>
      </c>
      <c r="C12" s="11"/>
      <c r="D12" s="11"/>
      <c r="E12" s="11"/>
      <c r="F12" s="11"/>
      <c r="G12"/>
      <c r="H12" s="23">
        <v>4717179.8600000003</v>
      </c>
      <c r="I12" s="23">
        <v>4271002.63</v>
      </c>
      <c r="J12" s="23">
        <v>4378379.6500000004</v>
      </c>
      <c r="K12" s="23">
        <v>4439741.5599999996</v>
      </c>
      <c r="L12" s="23">
        <v>4487160.3899999997</v>
      </c>
      <c r="M12" s="23">
        <v>4580122.72</v>
      </c>
      <c r="N12" s="23">
        <v>4611277.3099999996</v>
      </c>
      <c r="O12" s="23">
        <v>4697140.7699999996</v>
      </c>
      <c r="P12" s="23">
        <v>4777759.45</v>
      </c>
      <c r="Q12" s="23">
        <v>4611096</v>
      </c>
      <c r="R12" s="23">
        <v>4700992.17</v>
      </c>
      <c r="S12" s="23">
        <v>4766976</v>
      </c>
      <c r="T12" s="23">
        <v>4717179.8600000003</v>
      </c>
      <c r="U12" s="23">
        <v>4809428.16</v>
      </c>
      <c r="V12" s="23">
        <v>4873818.04</v>
      </c>
      <c r="W12" s="23">
        <v>4805829.71</v>
      </c>
      <c r="X12" s="23">
        <v>4885503</v>
      </c>
      <c r="Y12" s="23">
        <v>4930043.24</v>
      </c>
      <c r="Z12" s="23">
        <v>5009020.09</v>
      </c>
      <c r="AA12" s="23">
        <v>5111691.46</v>
      </c>
      <c r="AB12" s="23">
        <v>5158905.26</v>
      </c>
      <c r="AC12" s="23">
        <v>5229240.3099999996</v>
      </c>
      <c r="AD12" s="23">
        <v>5274591.76</v>
      </c>
      <c r="AE12" s="23">
        <v>5372998.8499999996</v>
      </c>
    </row>
    <row r="13" spans="1:31" x14ac:dyDescent="0.3">
      <c r="A13" s="11" t="s">
        <v>1709</v>
      </c>
      <c r="B13" s="11" t="s">
        <v>1708</v>
      </c>
      <c r="C13" s="11"/>
      <c r="D13" s="11"/>
      <c r="E13" s="11"/>
      <c r="F13" s="11"/>
      <c r="G13"/>
      <c r="H13" s="23">
        <v>3787438.3</v>
      </c>
      <c r="I13" s="23">
        <v>3164563.51</v>
      </c>
      <c r="J13" s="23">
        <v>3235401.9</v>
      </c>
      <c r="K13" s="23">
        <v>3292789.07</v>
      </c>
      <c r="L13" s="23">
        <v>3338873.34</v>
      </c>
      <c r="M13" s="23">
        <v>3414047.22</v>
      </c>
      <c r="N13" s="23">
        <v>3461383.04</v>
      </c>
      <c r="O13" s="23">
        <v>3540290.11</v>
      </c>
      <c r="P13" s="23">
        <v>3600279.58</v>
      </c>
      <c r="Q13" s="23">
        <v>3634083.5</v>
      </c>
      <c r="R13" s="23">
        <v>3690203.93</v>
      </c>
      <c r="S13" s="23">
        <v>3728156.63</v>
      </c>
      <c r="T13" s="23">
        <v>3787438.3</v>
      </c>
      <c r="U13" s="23">
        <v>3845172.03</v>
      </c>
      <c r="V13" s="23">
        <v>3879195.49</v>
      </c>
      <c r="W13" s="23">
        <v>3924878.79</v>
      </c>
      <c r="X13" s="23">
        <v>3989461.26</v>
      </c>
      <c r="Y13" s="23">
        <v>4034662.98</v>
      </c>
      <c r="Z13" s="23">
        <v>4080173.01</v>
      </c>
      <c r="AA13" s="23">
        <v>4143845.34</v>
      </c>
      <c r="AB13" s="23">
        <v>4199958.03</v>
      </c>
      <c r="AC13" s="23">
        <v>4248063.72</v>
      </c>
      <c r="AD13" s="23">
        <v>4292710.3099999996</v>
      </c>
      <c r="AE13" s="23">
        <v>4326433.53</v>
      </c>
    </row>
    <row r="14" spans="1:31" x14ac:dyDescent="0.3">
      <c r="A14" s="11" t="s">
        <v>1707</v>
      </c>
      <c r="B14" s="11" t="s">
        <v>1706</v>
      </c>
      <c r="C14" s="11"/>
      <c r="D14" s="11"/>
      <c r="E14" s="11"/>
      <c r="F14" s="11"/>
      <c r="G14"/>
      <c r="H14" s="23">
        <v>2459155.9700000002</v>
      </c>
      <c r="I14" s="23">
        <v>2024506.96</v>
      </c>
      <c r="J14" s="23">
        <v>2036134.73</v>
      </c>
      <c r="K14" s="23">
        <v>2012360.39</v>
      </c>
      <c r="L14" s="23">
        <v>2029320.73</v>
      </c>
      <c r="M14" s="23">
        <v>2061775.74</v>
      </c>
      <c r="N14" s="23">
        <v>2271484.81</v>
      </c>
      <c r="O14" s="23">
        <v>2321810.3199999998</v>
      </c>
      <c r="P14" s="23">
        <v>2353092.12</v>
      </c>
      <c r="Q14" s="23">
        <v>2424149.85</v>
      </c>
      <c r="R14" s="23">
        <v>2433412.4500000002</v>
      </c>
      <c r="S14" s="23">
        <v>2412517.4300000002</v>
      </c>
      <c r="T14" s="23">
        <v>2459155.9700000002</v>
      </c>
      <c r="U14" s="23">
        <v>2379052.56</v>
      </c>
      <c r="V14" s="23">
        <v>2433700.2200000002</v>
      </c>
      <c r="W14" s="23">
        <v>2411804.21</v>
      </c>
      <c r="X14" s="23">
        <v>2409436</v>
      </c>
      <c r="Y14" s="23">
        <v>2497869.33</v>
      </c>
      <c r="Z14" s="23">
        <v>2565757.66</v>
      </c>
      <c r="AA14" s="23">
        <v>2533733.29</v>
      </c>
      <c r="AB14" s="23">
        <v>2548918.46</v>
      </c>
      <c r="AC14" s="23">
        <v>2613973.25</v>
      </c>
      <c r="AD14" s="23">
        <v>2519521.37</v>
      </c>
      <c r="AE14" s="23">
        <v>2574778.64</v>
      </c>
    </row>
    <row r="15" spans="1:31" x14ac:dyDescent="0.3">
      <c r="A15" s="11" t="s">
        <v>1705</v>
      </c>
      <c r="B15" s="11" t="s">
        <v>1704</v>
      </c>
      <c r="C15" s="11"/>
      <c r="D15" s="11"/>
      <c r="E15" s="11"/>
      <c r="F15" s="11"/>
      <c r="G15"/>
      <c r="H15" s="23">
        <v>2113049.48</v>
      </c>
      <c r="I15" s="23">
        <v>1605063.15</v>
      </c>
      <c r="J15" s="23">
        <v>1746795.4</v>
      </c>
      <c r="K15" s="23">
        <v>1883635.55</v>
      </c>
      <c r="L15" s="23">
        <v>1922442.51</v>
      </c>
      <c r="M15" s="23">
        <v>1928548.19</v>
      </c>
      <c r="N15" s="23">
        <v>1816351.45</v>
      </c>
      <c r="O15" s="23">
        <v>1889167.45</v>
      </c>
      <c r="P15" s="23">
        <v>1991894.11</v>
      </c>
      <c r="Q15" s="23">
        <v>2083591.29</v>
      </c>
      <c r="R15" s="23">
        <v>2077632.05</v>
      </c>
      <c r="S15" s="23">
        <v>2135201.75</v>
      </c>
      <c r="T15" s="23">
        <v>2113049.48</v>
      </c>
      <c r="U15" s="23">
        <v>2132806.67</v>
      </c>
      <c r="V15" s="23">
        <v>2193853.7200000002</v>
      </c>
      <c r="W15" s="23">
        <v>2200515.46</v>
      </c>
      <c r="X15" s="23">
        <v>2179434.94</v>
      </c>
      <c r="Y15" s="23">
        <v>2081682.4</v>
      </c>
      <c r="Z15" s="23">
        <v>2177889.2799999998</v>
      </c>
      <c r="AA15" s="23">
        <v>2294719.37</v>
      </c>
      <c r="AB15" s="23">
        <v>2339487.77</v>
      </c>
      <c r="AC15" s="23">
        <v>2377335.98</v>
      </c>
      <c r="AD15" s="23">
        <v>2409293.39</v>
      </c>
      <c r="AE15" s="23">
        <v>2548576.83</v>
      </c>
    </row>
    <row r="16" spans="1:31" x14ac:dyDescent="0.3">
      <c r="A16" s="86" t="s">
        <v>2902</v>
      </c>
      <c r="B16" s="11" t="s">
        <v>2904</v>
      </c>
      <c r="C16" s="11"/>
      <c r="D16" s="11"/>
      <c r="E16" s="11"/>
      <c r="F16" s="11"/>
      <c r="G16"/>
      <c r="H16" s="23"/>
      <c r="I16" s="23">
        <v>75000</v>
      </c>
      <c r="J16" s="23">
        <v>75000</v>
      </c>
      <c r="K16" s="23">
        <v>73390</v>
      </c>
      <c r="L16" s="23">
        <v>73390</v>
      </c>
      <c r="M16" s="23">
        <v>98390</v>
      </c>
      <c r="N16" s="23">
        <v>98390</v>
      </c>
      <c r="O16" s="23">
        <v>121390</v>
      </c>
      <c r="P16" s="23">
        <v>121390</v>
      </c>
      <c r="Q16" s="23">
        <v>121390</v>
      </c>
      <c r="R16" s="23">
        <v>121390</v>
      </c>
      <c r="S16" s="23">
        <v>121390</v>
      </c>
      <c r="T16" s="23">
        <v>121390</v>
      </c>
      <c r="U16" s="23">
        <v>121390</v>
      </c>
      <c r="V16" s="23">
        <v>149390</v>
      </c>
      <c r="W16" s="23">
        <v>149390</v>
      </c>
      <c r="X16" s="23">
        <v>149390</v>
      </c>
      <c r="Y16" s="23">
        <v>149390</v>
      </c>
      <c r="Z16" s="23">
        <v>179390</v>
      </c>
      <c r="AA16" s="23">
        <v>157720</v>
      </c>
      <c r="AB16" s="23">
        <v>157720</v>
      </c>
      <c r="AC16" s="23">
        <v>185720</v>
      </c>
      <c r="AD16" s="23">
        <v>185720</v>
      </c>
      <c r="AE16" s="23">
        <v>185720</v>
      </c>
    </row>
    <row r="17" spans="1:31" x14ac:dyDescent="0.3">
      <c r="A17" s="11" t="s">
        <v>1703</v>
      </c>
      <c r="B17" s="11" t="s">
        <v>1702</v>
      </c>
      <c r="C17" s="11"/>
      <c r="D17" s="11"/>
      <c r="E17" s="11"/>
      <c r="F17" s="11"/>
      <c r="G17"/>
      <c r="H17" s="23">
        <v>183714.19</v>
      </c>
      <c r="I17" s="23">
        <v>360532.6</v>
      </c>
      <c r="J17" s="23">
        <v>325598.84999999998</v>
      </c>
      <c r="K17" s="23">
        <v>325598.84999999998</v>
      </c>
      <c r="L17" s="23">
        <v>281663.38</v>
      </c>
      <c r="M17" s="23">
        <v>276832.09000000003</v>
      </c>
      <c r="N17" s="23">
        <v>250408.1</v>
      </c>
      <c r="O17" s="23">
        <v>250408.1</v>
      </c>
      <c r="P17" s="23">
        <v>224137.04</v>
      </c>
      <c r="Q17" s="23">
        <v>224137.04</v>
      </c>
      <c r="R17" s="23">
        <v>198178.83</v>
      </c>
      <c r="S17" s="23">
        <v>198178.83</v>
      </c>
      <c r="T17" s="23">
        <v>183714.19</v>
      </c>
      <c r="U17" s="23">
        <v>183714.19</v>
      </c>
      <c r="V17" s="23">
        <v>164346.62</v>
      </c>
      <c r="W17" s="23">
        <v>164346.62</v>
      </c>
      <c r="X17" s="23">
        <v>131024.93</v>
      </c>
      <c r="Y17" s="23">
        <v>131024.93</v>
      </c>
      <c r="Z17" s="23">
        <v>96612.32</v>
      </c>
      <c r="AA17" s="23">
        <v>96612.32</v>
      </c>
      <c r="AB17" s="23">
        <v>81781.77</v>
      </c>
      <c r="AC17" s="23">
        <v>81781.77</v>
      </c>
      <c r="AD17" s="23">
        <v>68638.25</v>
      </c>
      <c r="AE17" s="23">
        <v>68638.25</v>
      </c>
    </row>
    <row r="18" spans="1:31" x14ac:dyDescent="0.3">
      <c r="A18" s="86" t="s">
        <v>2903</v>
      </c>
      <c r="B18" s="11" t="s">
        <v>2901</v>
      </c>
      <c r="C18" s="11"/>
      <c r="D18" s="11"/>
      <c r="E18" s="11"/>
      <c r="F18" s="11"/>
      <c r="G18"/>
      <c r="H18" s="23"/>
      <c r="I18" s="23">
        <v>23000</v>
      </c>
      <c r="J18" s="23">
        <v>23000</v>
      </c>
      <c r="K18" s="23">
        <v>23000</v>
      </c>
      <c r="L18" s="23">
        <v>23000</v>
      </c>
      <c r="M18" s="23">
        <v>23000</v>
      </c>
      <c r="N18" s="23">
        <v>23000</v>
      </c>
      <c r="O18" s="23">
        <v>23000</v>
      </c>
      <c r="P18" s="23">
        <v>23000</v>
      </c>
      <c r="Q18" s="23">
        <v>23000</v>
      </c>
      <c r="R18" s="23">
        <v>23000</v>
      </c>
      <c r="S18" s="23">
        <v>23000</v>
      </c>
      <c r="T18" s="23">
        <v>23000</v>
      </c>
      <c r="U18" s="23">
        <v>23000</v>
      </c>
      <c r="V18" s="23">
        <v>23000</v>
      </c>
      <c r="W18" s="23">
        <v>23000</v>
      </c>
      <c r="X18" s="23">
        <v>23000</v>
      </c>
      <c r="Y18" s="23">
        <v>23000</v>
      </c>
      <c r="Z18" s="23">
        <v>23000</v>
      </c>
      <c r="AA18" s="23">
        <v>23000</v>
      </c>
      <c r="AB18" s="23">
        <v>23000</v>
      </c>
      <c r="AC18" s="23">
        <v>35000</v>
      </c>
      <c r="AD18" s="23">
        <v>35000</v>
      </c>
      <c r="AE18" s="23">
        <v>35000</v>
      </c>
    </row>
    <row r="19" spans="1:31" x14ac:dyDescent="0.3">
      <c r="A19" s="11" t="s">
        <v>1701</v>
      </c>
      <c r="B19" s="11" t="s">
        <v>1700</v>
      </c>
      <c r="C19" s="11"/>
      <c r="D19" s="11"/>
      <c r="E19" s="11"/>
      <c r="F19" s="11"/>
      <c r="G19"/>
      <c r="H19" s="23">
        <v>3809235.91</v>
      </c>
      <c r="I19" s="23">
        <v>3156076.19</v>
      </c>
      <c r="J19" s="23">
        <v>3173126.5</v>
      </c>
      <c r="K19" s="23">
        <v>3223967.48</v>
      </c>
      <c r="L19" s="23">
        <v>3215961.49</v>
      </c>
      <c r="M19" s="23">
        <v>3272548.88</v>
      </c>
      <c r="N19" s="23">
        <v>3330949.93</v>
      </c>
      <c r="O19" s="23">
        <v>3434940.89</v>
      </c>
      <c r="P19" s="23">
        <v>3481833.15</v>
      </c>
      <c r="Q19" s="23">
        <v>3569560.37</v>
      </c>
      <c r="R19" s="23">
        <v>3632810.57</v>
      </c>
      <c r="S19" s="23">
        <v>3729621.08</v>
      </c>
      <c r="T19" s="23">
        <v>3809235.91</v>
      </c>
      <c r="U19" s="23">
        <v>3897555.8</v>
      </c>
      <c r="V19" s="23">
        <v>3867372.32</v>
      </c>
      <c r="W19" s="23">
        <v>3886272.91</v>
      </c>
      <c r="X19" s="23">
        <v>3844309.81</v>
      </c>
      <c r="Y19" s="23">
        <v>3956967.49</v>
      </c>
      <c r="Z19" s="23">
        <v>4051284.7</v>
      </c>
      <c r="AA19" s="23">
        <v>4146784.49</v>
      </c>
      <c r="AB19" s="23">
        <v>4154704.06</v>
      </c>
      <c r="AC19" s="23">
        <v>4269013.88</v>
      </c>
      <c r="AD19" s="23">
        <v>4268164.1399999997</v>
      </c>
      <c r="AE19" s="23">
        <v>4318974.6100000003</v>
      </c>
    </row>
    <row r="20" spans="1:31" x14ac:dyDescent="0.3">
      <c r="A20" s="11" t="s">
        <v>1699</v>
      </c>
      <c r="B20" s="11" t="s">
        <v>1698</v>
      </c>
      <c r="C20" s="11"/>
      <c r="D20" s="11"/>
      <c r="E20" s="11"/>
      <c r="F20" s="11"/>
      <c r="G20"/>
      <c r="H20" s="23">
        <v>2827828.99</v>
      </c>
      <c r="I20" s="23">
        <v>2394035.06</v>
      </c>
      <c r="J20" s="23">
        <v>2466315.29</v>
      </c>
      <c r="K20" s="23">
        <v>2490480.66</v>
      </c>
      <c r="L20" s="23">
        <v>2531526.6</v>
      </c>
      <c r="M20" s="23">
        <v>2589524.54</v>
      </c>
      <c r="N20" s="23">
        <v>2728381.48</v>
      </c>
      <c r="O20" s="23">
        <v>2788243.83</v>
      </c>
      <c r="P20" s="23">
        <v>2792660.39</v>
      </c>
      <c r="Q20" s="23">
        <v>2876907.67</v>
      </c>
      <c r="R20" s="23">
        <v>2846130.8</v>
      </c>
      <c r="S20" s="23">
        <v>2783516.25</v>
      </c>
      <c r="T20" s="23">
        <v>2827828.99</v>
      </c>
      <c r="U20" s="23">
        <v>2875724.18</v>
      </c>
      <c r="V20" s="23">
        <v>2928105.5</v>
      </c>
      <c r="W20" s="23">
        <v>2850426.41</v>
      </c>
      <c r="X20" s="23">
        <v>2873353.11</v>
      </c>
      <c r="Y20" s="23">
        <v>2898101.07</v>
      </c>
      <c r="Z20" s="23">
        <v>3000101.39</v>
      </c>
      <c r="AA20" s="23">
        <v>2914514.9</v>
      </c>
      <c r="AB20" s="23">
        <v>2920827.84</v>
      </c>
      <c r="AC20" s="23">
        <v>3026199.02</v>
      </c>
      <c r="AD20" s="23">
        <v>3137722.39</v>
      </c>
      <c r="AE20" s="23">
        <v>3205010.32</v>
      </c>
    </row>
    <row r="21" spans="1:31" x14ac:dyDescent="0.3">
      <c r="A21" s="11" t="s">
        <v>1697</v>
      </c>
      <c r="B21" s="11" t="s">
        <v>1696</v>
      </c>
      <c r="C21" s="11"/>
      <c r="D21" s="11"/>
      <c r="E21" s="11"/>
      <c r="F21" s="11"/>
      <c r="G21"/>
      <c r="H21" s="23">
        <v>2188793.2000000002</v>
      </c>
      <c r="I21" s="23">
        <v>1708373.85</v>
      </c>
      <c r="J21" s="23">
        <v>1770412.73</v>
      </c>
      <c r="K21" s="23">
        <v>1819215.24</v>
      </c>
      <c r="L21" s="23">
        <v>1900514.06</v>
      </c>
      <c r="M21" s="23">
        <v>1944307.23</v>
      </c>
      <c r="N21" s="23">
        <v>1959682.85</v>
      </c>
      <c r="O21" s="23">
        <v>2030971.46</v>
      </c>
      <c r="P21" s="23">
        <v>2079771.14</v>
      </c>
      <c r="Q21" s="23">
        <v>2200536.59</v>
      </c>
      <c r="R21" s="23">
        <v>2184706.8199999998</v>
      </c>
      <c r="S21" s="23">
        <v>2152340.73</v>
      </c>
      <c r="T21" s="23">
        <v>2188793.2000000002</v>
      </c>
      <c r="U21" s="23">
        <v>2242162.8199999998</v>
      </c>
      <c r="V21" s="23">
        <v>2321212.75</v>
      </c>
      <c r="W21" s="23">
        <v>2333162.0499999998</v>
      </c>
      <c r="X21" s="23">
        <v>2438280.2000000002</v>
      </c>
      <c r="Y21" s="23">
        <v>2475980.58</v>
      </c>
      <c r="Z21" s="23">
        <v>2462218.7999999998</v>
      </c>
      <c r="AA21" s="23">
        <v>2534365.77</v>
      </c>
      <c r="AB21" s="23">
        <v>2524858.6</v>
      </c>
      <c r="AC21" s="23">
        <v>2583283.89</v>
      </c>
      <c r="AD21" s="23">
        <v>2663615.11</v>
      </c>
      <c r="AE21" s="23">
        <v>2702149.68</v>
      </c>
    </row>
    <row r="22" spans="1:31" x14ac:dyDescent="0.3">
      <c r="A22" s="11" t="s">
        <v>1695</v>
      </c>
      <c r="B22" s="11" t="s">
        <v>1694</v>
      </c>
      <c r="C22" s="11"/>
      <c r="D22" s="11"/>
      <c r="E22" s="11"/>
      <c r="F22" s="11"/>
      <c r="G22"/>
      <c r="H22" s="23">
        <v>1832178.05</v>
      </c>
      <c r="I22" s="23">
        <v>1768151.77</v>
      </c>
      <c r="J22" s="23">
        <v>1713213.87</v>
      </c>
      <c r="K22" s="23">
        <v>1780394.96</v>
      </c>
      <c r="L22" s="23">
        <v>1769656.77</v>
      </c>
      <c r="M22" s="23">
        <v>1779503.47</v>
      </c>
      <c r="N22" s="23">
        <v>1790011.56</v>
      </c>
      <c r="O22" s="23">
        <v>1751486.9</v>
      </c>
      <c r="P22" s="23">
        <v>1788291.71</v>
      </c>
      <c r="Q22" s="23">
        <v>1844567.81</v>
      </c>
      <c r="R22" s="23">
        <v>1772984</v>
      </c>
      <c r="S22" s="23">
        <v>1762569.96</v>
      </c>
      <c r="T22" s="23">
        <v>1832178.05</v>
      </c>
      <c r="U22" s="23">
        <v>1802946.54</v>
      </c>
      <c r="V22" s="23">
        <v>1852012.93</v>
      </c>
      <c r="W22" s="23">
        <v>1869280.17</v>
      </c>
      <c r="X22" s="23">
        <v>1841437.86</v>
      </c>
      <c r="Y22" s="23">
        <v>1795005.05</v>
      </c>
      <c r="Z22" s="23">
        <v>1790021.44</v>
      </c>
      <c r="AA22" s="23">
        <v>1780947.07</v>
      </c>
      <c r="AB22" s="23">
        <v>1770096.69</v>
      </c>
      <c r="AC22" s="23">
        <v>1745055.8</v>
      </c>
      <c r="AD22" s="23">
        <v>1701414.63</v>
      </c>
      <c r="AE22" s="23">
        <v>1696245.97</v>
      </c>
    </row>
    <row r="23" spans="1:31" x14ac:dyDescent="0.3">
      <c r="A23" s="11" t="s">
        <v>1693</v>
      </c>
      <c r="B23" s="11" t="s">
        <v>1692</v>
      </c>
      <c r="C23" s="11"/>
      <c r="D23" s="11"/>
      <c r="E23" s="11"/>
      <c r="F23" s="11"/>
      <c r="G23"/>
      <c r="H23" s="23">
        <v>1024895.5</v>
      </c>
      <c r="I23" s="23">
        <v>1113336.77</v>
      </c>
      <c r="J23" s="23">
        <v>1374554.78</v>
      </c>
      <c r="K23" s="23">
        <v>1282828.48</v>
      </c>
      <c r="L23" s="23">
        <v>1292911.21</v>
      </c>
      <c r="M23" s="23">
        <v>1346856.36</v>
      </c>
      <c r="N23" s="23">
        <v>1335374.1000000001</v>
      </c>
      <c r="O23" s="23">
        <v>1272891</v>
      </c>
      <c r="P23" s="23">
        <v>1264174.8799999999</v>
      </c>
      <c r="Q23" s="23">
        <v>1067152.93</v>
      </c>
      <c r="R23" s="23">
        <v>1124841.3799999999</v>
      </c>
      <c r="S23" s="23">
        <v>1185986.76</v>
      </c>
      <c r="T23" s="23">
        <v>1024895.5</v>
      </c>
      <c r="U23" s="23">
        <v>1057966.19</v>
      </c>
      <c r="V23" s="23">
        <v>1133210.18</v>
      </c>
      <c r="W23" s="23">
        <v>1258233.56</v>
      </c>
      <c r="X23" s="23">
        <v>1122652.3600000001</v>
      </c>
      <c r="Y23" s="23">
        <v>1090070.01</v>
      </c>
      <c r="Z23" s="23">
        <v>1102060.75</v>
      </c>
      <c r="AA23" s="23">
        <v>1300495.6399999999</v>
      </c>
      <c r="AB23" s="23">
        <v>1321824.82</v>
      </c>
      <c r="AC23" s="23">
        <v>1243107.03</v>
      </c>
      <c r="AD23" s="23">
        <v>1176742.23</v>
      </c>
      <c r="AE23" s="23">
        <v>1286540.5900000001</v>
      </c>
    </row>
    <row r="24" spans="1:31" x14ac:dyDescent="0.3">
      <c r="A24" s="11" t="s">
        <v>1691</v>
      </c>
      <c r="B24" s="11" t="s">
        <v>1690</v>
      </c>
      <c r="C24" s="11"/>
      <c r="D24" s="11"/>
      <c r="E24" s="11"/>
      <c r="F24" s="11"/>
      <c r="G24"/>
      <c r="H24" s="23">
        <v>995009.48</v>
      </c>
      <c r="I24" s="23">
        <v>843889.55</v>
      </c>
      <c r="J24" s="23">
        <v>865333.43</v>
      </c>
      <c r="K24" s="23">
        <v>871963.86</v>
      </c>
      <c r="L24" s="23">
        <v>874829.65</v>
      </c>
      <c r="M24" s="23">
        <v>883805.42</v>
      </c>
      <c r="N24" s="23">
        <v>894522.87</v>
      </c>
      <c r="O24" s="23">
        <v>920144.3</v>
      </c>
      <c r="P24" s="23">
        <v>940802.71</v>
      </c>
      <c r="Q24" s="23">
        <v>959566.23</v>
      </c>
      <c r="R24" s="23">
        <v>977647.9</v>
      </c>
      <c r="S24" s="23">
        <v>986501.35</v>
      </c>
      <c r="T24" s="23">
        <v>995009.48</v>
      </c>
      <c r="U24" s="23">
        <v>1004498.82</v>
      </c>
      <c r="V24" s="23">
        <v>1015956.44</v>
      </c>
      <c r="W24" s="23">
        <v>1024218.35</v>
      </c>
      <c r="X24" s="23">
        <v>1053960.01</v>
      </c>
      <c r="Y24" s="23">
        <v>1055932.3</v>
      </c>
      <c r="Z24" s="23">
        <v>1073972.83</v>
      </c>
      <c r="AA24" s="23">
        <v>1098670.47</v>
      </c>
      <c r="AB24" s="23">
        <v>1123192.6499999999</v>
      </c>
      <c r="AC24" s="23">
        <v>1139623.6100000001</v>
      </c>
      <c r="AD24" s="23">
        <v>1144542.19</v>
      </c>
      <c r="AE24" s="23">
        <v>1133754.3</v>
      </c>
    </row>
    <row r="25" spans="1:31" x14ac:dyDescent="0.3">
      <c r="A25" s="11" t="s">
        <v>1689</v>
      </c>
      <c r="B25" s="11" t="s">
        <v>1688</v>
      </c>
      <c r="C25" s="23">
        <v>430218.6</v>
      </c>
      <c r="D25" s="23">
        <v>317592.53999999998</v>
      </c>
      <c r="E25" s="23">
        <v>448368.87</v>
      </c>
      <c r="F25" s="23">
        <v>420031.78</v>
      </c>
      <c r="G25" s="23">
        <v>410180.78</v>
      </c>
      <c r="H25" s="23">
        <v>365303.59</v>
      </c>
      <c r="I25" s="23">
        <v>430218.6</v>
      </c>
      <c r="J25" s="23">
        <v>317592.53999999998</v>
      </c>
      <c r="K25" s="23">
        <v>448368.87</v>
      </c>
      <c r="L25" s="23">
        <v>420031.78</v>
      </c>
      <c r="M25" s="23">
        <v>410180.78</v>
      </c>
      <c r="N25" s="23">
        <v>365303.59</v>
      </c>
      <c r="O25" s="23">
        <v>468794.35</v>
      </c>
      <c r="P25" s="23">
        <v>607239.11</v>
      </c>
      <c r="Q25" s="23">
        <v>487281.19</v>
      </c>
      <c r="R25" s="23">
        <v>566424.43000000005</v>
      </c>
      <c r="S25" s="23">
        <v>643266.89</v>
      </c>
      <c r="T25" s="23">
        <v>574594.38</v>
      </c>
      <c r="U25" s="23">
        <v>496367.88</v>
      </c>
      <c r="V25" s="23">
        <v>503172.53</v>
      </c>
      <c r="W25" s="23">
        <v>410509.36</v>
      </c>
      <c r="X25" s="23">
        <v>548017.1</v>
      </c>
      <c r="Y25" s="23">
        <v>523899.05</v>
      </c>
      <c r="Z25" s="23">
        <v>606694.67000000004</v>
      </c>
      <c r="AA25" s="23">
        <v>521326.97</v>
      </c>
      <c r="AB25" s="23">
        <v>651970.59</v>
      </c>
      <c r="AC25" s="23">
        <v>666769.29</v>
      </c>
      <c r="AD25" s="23">
        <v>589317.97</v>
      </c>
      <c r="AE25" s="23">
        <v>658318.65</v>
      </c>
    </row>
    <row r="26" spans="1:31" x14ac:dyDescent="0.3">
      <c r="A26" s="11" t="s">
        <v>1687</v>
      </c>
      <c r="B26" s="11" t="s">
        <v>1686</v>
      </c>
      <c r="C26" s="23">
        <v>94607.06</v>
      </c>
      <c r="D26" s="23">
        <v>124781.39</v>
      </c>
      <c r="E26" s="23">
        <v>118315.87</v>
      </c>
      <c r="F26" s="23">
        <v>135438.79999999999</v>
      </c>
      <c r="G26" s="23">
        <v>141009.28</v>
      </c>
      <c r="H26" s="23">
        <v>113088.33</v>
      </c>
      <c r="I26" s="23">
        <v>94607.06</v>
      </c>
      <c r="J26" s="23">
        <v>124781.39</v>
      </c>
      <c r="K26" s="23">
        <v>118315.87</v>
      </c>
      <c r="L26" s="23">
        <v>135438.79999999999</v>
      </c>
      <c r="M26" s="23">
        <v>141009.28</v>
      </c>
      <c r="N26" s="23">
        <v>113088.33</v>
      </c>
      <c r="O26" s="23">
        <v>137754.01999999999</v>
      </c>
      <c r="P26" s="23">
        <v>121799.21</v>
      </c>
      <c r="Q26" s="23">
        <v>100894.9</v>
      </c>
      <c r="R26" s="23">
        <v>124283.54</v>
      </c>
      <c r="S26" s="23">
        <v>126637.61</v>
      </c>
      <c r="T26" s="23">
        <v>137412.28</v>
      </c>
      <c r="U26" s="23">
        <v>102361.37</v>
      </c>
      <c r="V26" s="23">
        <v>81281.440000000002</v>
      </c>
      <c r="W26" s="23">
        <v>32682</v>
      </c>
      <c r="X26" s="23">
        <v>30259.66</v>
      </c>
      <c r="Y26" s="23">
        <v>36737.339999999997</v>
      </c>
      <c r="Z26" s="23">
        <v>30507.78</v>
      </c>
      <c r="AA26" s="23">
        <v>49236.46</v>
      </c>
      <c r="AB26" s="23">
        <v>27316.04</v>
      </c>
      <c r="AC26" s="23">
        <v>83082.509999999995</v>
      </c>
      <c r="AD26" s="23">
        <v>88976.44</v>
      </c>
      <c r="AE26" s="23">
        <v>96172</v>
      </c>
    </row>
    <row r="27" spans="1:31" x14ac:dyDescent="0.3">
      <c r="A27" s="11" t="s">
        <v>1685</v>
      </c>
      <c r="B27" s="11" t="s">
        <v>1684</v>
      </c>
      <c r="C27" s="23">
        <v>14980</v>
      </c>
      <c r="D27" s="23">
        <v>14980</v>
      </c>
      <c r="E27" s="23">
        <v>14980</v>
      </c>
      <c r="F27" s="23">
        <v>14980</v>
      </c>
      <c r="G27" s="23">
        <v>14980</v>
      </c>
      <c r="H27" s="23">
        <v>14980</v>
      </c>
      <c r="I27" s="23">
        <v>14980</v>
      </c>
      <c r="J27" s="23">
        <v>14980</v>
      </c>
      <c r="K27" s="23">
        <v>14980</v>
      </c>
      <c r="L27" s="23">
        <v>14980</v>
      </c>
      <c r="M27" s="23">
        <v>14980</v>
      </c>
      <c r="N27" s="23">
        <v>14980</v>
      </c>
      <c r="O27" s="23">
        <v>14980</v>
      </c>
      <c r="P27" s="23">
        <v>14980</v>
      </c>
      <c r="Q27" s="23">
        <v>14980</v>
      </c>
      <c r="R27" s="23">
        <v>14980</v>
      </c>
      <c r="S27" s="23">
        <v>14980</v>
      </c>
      <c r="T27" s="23">
        <v>14980</v>
      </c>
      <c r="U27" s="23">
        <v>14980</v>
      </c>
      <c r="V27" s="23">
        <v>14980</v>
      </c>
      <c r="W27" s="23">
        <v>14980</v>
      </c>
      <c r="X27" s="23">
        <v>14980</v>
      </c>
      <c r="Y27" s="23">
        <v>14980</v>
      </c>
      <c r="Z27" s="23">
        <v>14980</v>
      </c>
      <c r="AA27" s="23">
        <v>14980</v>
      </c>
      <c r="AB27" s="23">
        <v>14980</v>
      </c>
      <c r="AC27" s="23">
        <v>14980</v>
      </c>
      <c r="AD27" s="23">
        <v>14980</v>
      </c>
      <c r="AE27" s="23">
        <v>14980</v>
      </c>
    </row>
    <row r="28" spans="1:31" x14ac:dyDescent="0.3">
      <c r="A28" s="11" t="s">
        <v>1683</v>
      </c>
      <c r="B28" s="11" t="s">
        <v>1682</v>
      </c>
      <c r="C28" s="23">
        <v>1378395.18</v>
      </c>
      <c r="D28" s="23">
        <v>1344249.28</v>
      </c>
      <c r="E28" s="23">
        <v>1384353.82</v>
      </c>
      <c r="F28" s="23">
        <v>1370299.44</v>
      </c>
      <c r="G28" s="23">
        <v>1388211.44</v>
      </c>
      <c r="H28" s="23">
        <v>1380131.2</v>
      </c>
      <c r="I28" s="23">
        <v>1378395.18</v>
      </c>
      <c r="J28" s="23">
        <v>1344249.28</v>
      </c>
      <c r="K28" s="23">
        <v>1384353.82</v>
      </c>
      <c r="L28" s="23">
        <v>1370299.44</v>
      </c>
      <c r="M28" s="23">
        <v>1388211.44</v>
      </c>
      <c r="N28" s="23">
        <v>1380131.2</v>
      </c>
      <c r="O28" s="23">
        <v>1370042.42</v>
      </c>
      <c r="P28" s="23">
        <v>1374745.91</v>
      </c>
      <c r="Q28" s="23">
        <v>1423819.45</v>
      </c>
      <c r="R28" s="23">
        <v>1370447.35</v>
      </c>
      <c r="S28" s="23">
        <v>1365643.37</v>
      </c>
      <c r="T28" s="23">
        <v>1432255.98</v>
      </c>
      <c r="U28" s="23">
        <v>1395556.51</v>
      </c>
      <c r="V28" s="23">
        <v>1449797.52</v>
      </c>
      <c r="W28" s="23">
        <v>1477368.01</v>
      </c>
      <c r="X28" s="23">
        <v>1461227.45</v>
      </c>
      <c r="Y28" s="23">
        <v>1407165.46</v>
      </c>
      <c r="Z28" s="23">
        <v>1424341.35</v>
      </c>
      <c r="AA28" s="23">
        <v>1413079.68</v>
      </c>
      <c r="AB28" s="23">
        <v>1439067.25</v>
      </c>
      <c r="AC28" s="23">
        <v>1443616.3</v>
      </c>
      <c r="AD28" s="23">
        <v>1432904.9</v>
      </c>
      <c r="AE28" s="23">
        <v>1434294.64</v>
      </c>
    </row>
    <row r="29" spans="1:31" x14ac:dyDescent="0.3">
      <c r="A29" s="11" t="s">
        <v>1681</v>
      </c>
      <c r="B29" s="11" t="s">
        <v>1680</v>
      </c>
      <c r="C29" s="23">
        <v>216597.67</v>
      </c>
      <c r="D29" s="23">
        <v>219724.47</v>
      </c>
      <c r="E29" s="23">
        <v>233996.96</v>
      </c>
      <c r="F29" s="23">
        <v>232298.98</v>
      </c>
      <c r="G29" s="23">
        <v>220917.03</v>
      </c>
      <c r="H29" s="23">
        <v>230986.09</v>
      </c>
      <c r="I29" s="23">
        <v>216597.67</v>
      </c>
      <c r="J29" s="23">
        <v>219724.47</v>
      </c>
      <c r="K29" s="23">
        <v>233996.96</v>
      </c>
      <c r="L29" s="23">
        <v>232298.98</v>
      </c>
      <c r="M29" s="23">
        <v>220917.03</v>
      </c>
      <c r="N29" s="23">
        <v>230986.09</v>
      </c>
      <c r="O29" s="23">
        <v>205804.88</v>
      </c>
      <c r="P29" s="23">
        <v>234532.27</v>
      </c>
      <c r="Q29" s="23">
        <v>248014.58</v>
      </c>
      <c r="R29" s="23">
        <v>230208.63</v>
      </c>
      <c r="S29" s="23">
        <v>227170.73</v>
      </c>
      <c r="T29" s="23">
        <v>220588.28</v>
      </c>
      <c r="U29" s="23">
        <v>226111.43</v>
      </c>
      <c r="V29" s="23">
        <v>221007.74</v>
      </c>
      <c r="W29" s="23">
        <v>225588.65</v>
      </c>
      <c r="X29" s="23">
        <v>222606.19</v>
      </c>
      <c r="Y29" s="23">
        <v>213395.97</v>
      </c>
      <c r="Z29" s="23">
        <v>201053.3</v>
      </c>
      <c r="AA29" s="23">
        <v>211364.17</v>
      </c>
      <c r="AB29" s="23">
        <v>209627.66</v>
      </c>
      <c r="AC29" s="23">
        <v>205480.82</v>
      </c>
      <c r="AD29" s="23">
        <v>191393.7</v>
      </c>
      <c r="AE29" s="23">
        <v>182400.12</v>
      </c>
    </row>
    <row r="30" spans="1:31" x14ac:dyDescent="0.3">
      <c r="A30" s="11" t="s">
        <v>1679</v>
      </c>
      <c r="B30" s="11" t="s">
        <v>1678</v>
      </c>
      <c r="C30" s="23">
        <v>147686.01</v>
      </c>
      <c r="D30" s="23">
        <v>138763.79</v>
      </c>
      <c r="E30" s="23">
        <v>149470.73000000001</v>
      </c>
      <c r="F30" s="23">
        <v>157048.69</v>
      </c>
      <c r="G30" s="23">
        <v>159551.9</v>
      </c>
      <c r="H30" s="23">
        <v>166672.81</v>
      </c>
      <c r="I30" s="23">
        <v>147686.01</v>
      </c>
      <c r="J30" s="23">
        <v>138763.79</v>
      </c>
      <c r="K30" s="23">
        <v>149470.73000000001</v>
      </c>
      <c r="L30" s="23">
        <v>157048.69</v>
      </c>
      <c r="M30" s="23">
        <v>159551.9</v>
      </c>
      <c r="N30" s="23">
        <v>166672.81</v>
      </c>
      <c r="O30" s="23">
        <v>161470.39000000001</v>
      </c>
      <c r="P30" s="23">
        <v>168430.38</v>
      </c>
      <c r="Q30" s="23">
        <v>160902.45000000001</v>
      </c>
      <c r="R30" s="23">
        <v>160349.41</v>
      </c>
      <c r="S30" s="23">
        <v>158101.39000000001</v>
      </c>
      <c r="T30" s="23">
        <v>168065.83</v>
      </c>
      <c r="U30" s="23">
        <v>170621.41</v>
      </c>
      <c r="V30" s="23">
        <v>169865.96</v>
      </c>
      <c r="W30" s="23">
        <v>154819.56</v>
      </c>
      <c r="X30" s="23">
        <v>146476.71</v>
      </c>
      <c r="Y30" s="23">
        <v>163158.94</v>
      </c>
      <c r="Z30" s="23">
        <v>152928.66</v>
      </c>
      <c r="AA30" s="23">
        <v>145379.69</v>
      </c>
      <c r="AB30" s="23">
        <v>109938.1</v>
      </c>
      <c r="AC30" s="23">
        <v>81374.14</v>
      </c>
      <c r="AD30" s="23">
        <v>61773.63</v>
      </c>
      <c r="AE30" s="23">
        <v>63966.34</v>
      </c>
    </row>
    <row r="31" spans="1:31" x14ac:dyDescent="0.3">
      <c r="A31" s="86" t="s">
        <v>2907</v>
      </c>
      <c r="B31" s="11" t="s">
        <v>2905</v>
      </c>
      <c r="C31" s="23"/>
      <c r="D31" s="23"/>
      <c r="E31" s="23"/>
      <c r="F31" s="23"/>
      <c r="G31" s="23"/>
      <c r="H31" s="23"/>
      <c r="I31" s="23">
        <v>10226.52</v>
      </c>
      <c r="J31" s="23">
        <v>10143.290000000001</v>
      </c>
      <c r="K31" s="23">
        <v>11006.17</v>
      </c>
      <c r="L31" s="23">
        <v>9854.4500000000007</v>
      </c>
      <c r="M31" s="23">
        <v>10503.79</v>
      </c>
      <c r="N31" s="23">
        <v>11638.46</v>
      </c>
      <c r="O31" s="23">
        <v>11652.59</v>
      </c>
      <c r="P31" s="23">
        <v>10350.44</v>
      </c>
      <c r="Q31" s="23">
        <v>11377.14</v>
      </c>
      <c r="R31" s="23">
        <v>11456.19</v>
      </c>
      <c r="S31" s="23">
        <v>11124.34</v>
      </c>
      <c r="T31" s="23">
        <v>10795.36</v>
      </c>
      <c r="U31" s="23">
        <v>10260.49</v>
      </c>
      <c r="V31" s="23">
        <v>10845.08</v>
      </c>
      <c r="W31" s="23">
        <v>10875.99</v>
      </c>
      <c r="X31" s="23">
        <v>10377.36</v>
      </c>
      <c r="Y31" s="23">
        <v>10409.99</v>
      </c>
      <c r="Z31" s="23">
        <v>10760.59</v>
      </c>
      <c r="AA31" s="23">
        <v>10571.2</v>
      </c>
      <c r="AB31" s="23">
        <v>11050.6</v>
      </c>
      <c r="AC31" s="23">
        <v>13973.47</v>
      </c>
      <c r="AD31" s="23">
        <v>14513.76</v>
      </c>
      <c r="AE31" s="23">
        <v>14950.5</v>
      </c>
    </row>
    <row r="32" spans="1:31" x14ac:dyDescent="0.3">
      <c r="A32" s="11" t="s">
        <v>1677</v>
      </c>
      <c r="B32" s="11" t="s">
        <v>1676</v>
      </c>
      <c r="C32" s="23">
        <v>257.89</v>
      </c>
      <c r="D32" s="23">
        <v>248.52</v>
      </c>
      <c r="E32" s="23">
        <v>1550.01</v>
      </c>
      <c r="F32" s="23">
        <v>95.74</v>
      </c>
      <c r="G32" s="23">
        <v>258.45</v>
      </c>
      <c r="H32" s="23">
        <v>557.91999999999996</v>
      </c>
      <c r="I32" s="23">
        <v>257.89</v>
      </c>
      <c r="J32" s="23">
        <v>248.52</v>
      </c>
      <c r="K32" s="23">
        <v>1550.01</v>
      </c>
      <c r="L32" s="23">
        <v>95.74</v>
      </c>
      <c r="M32" s="23">
        <v>258.45</v>
      </c>
      <c r="N32" s="23">
        <v>557.91999999999996</v>
      </c>
      <c r="O32" s="23">
        <v>2491.31</v>
      </c>
      <c r="P32" s="23">
        <v>214.32</v>
      </c>
      <c r="Q32" s="23">
        <v>372.71</v>
      </c>
      <c r="R32" s="23">
        <v>352.49</v>
      </c>
      <c r="S32" s="23">
        <v>432.97</v>
      </c>
      <c r="T32" s="23">
        <v>465.89</v>
      </c>
      <c r="U32" s="23">
        <v>377.52</v>
      </c>
      <c r="V32" s="23">
        <v>388.97</v>
      </c>
      <c r="W32" s="23">
        <v>568.53</v>
      </c>
      <c r="X32" s="23">
        <v>586.64</v>
      </c>
      <c r="Y32" s="23">
        <v>843.87</v>
      </c>
      <c r="Z32" s="23">
        <v>587.46</v>
      </c>
      <c r="AA32" s="23">
        <v>333.87</v>
      </c>
      <c r="AB32" s="23">
        <v>311.94</v>
      </c>
      <c r="AC32" s="23">
        <v>538.96</v>
      </c>
      <c r="AD32" s="23">
        <v>808.61</v>
      </c>
      <c r="AE32" s="23">
        <v>428.22</v>
      </c>
    </row>
    <row r="33" spans="1:31" x14ac:dyDescent="0.3">
      <c r="A33" s="11" t="s">
        <v>1675</v>
      </c>
      <c r="B33" s="11" t="s">
        <v>1674</v>
      </c>
      <c r="C33" s="23">
        <v>14988.5</v>
      </c>
      <c r="D33" s="23">
        <v>84.52</v>
      </c>
      <c r="E33" s="23">
        <v>14.17</v>
      </c>
      <c r="F33" s="23">
        <v>59.47</v>
      </c>
      <c r="G33" s="23">
        <v>10.36</v>
      </c>
      <c r="H33" s="23">
        <v>25.06</v>
      </c>
      <c r="I33" s="23">
        <v>14988.5</v>
      </c>
      <c r="J33" s="23">
        <v>84.52</v>
      </c>
      <c r="K33" s="23">
        <v>14.17</v>
      </c>
      <c r="L33" s="23">
        <v>59.47</v>
      </c>
      <c r="M33" s="23">
        <v>10.36</v>
      </c>
      <c r="N33" s="23">
        <v>25.06</v>
      </c>
      <c r="O33" s="23">
        <v>25.3</v>
      </c>
      <c r="P33" s="23">
        <v>18.36</v>
      </c>
      <c r="Q33" s="23">
        <v>80.430000000000007</v>
      </c>
      <c r="R33" s="23">
        <v>11.77</v>
      </c>
      <c r="S33" s="23">
        <v>82.86</v>
      </c>
      <c r="T33" s="23">
        <v>0</v>
      </c>
      <c r="U33" s="23">
        <v>0</v>
      </c>
      <c r="V33" s="23">
        <v>22.16</v>
      </c>
      <c r="W33" s="23">
        <v>34.979999999999997</v>
      </c>
      <c r="X33" s="23">
        <v>156.51</v>
      </c>
      <c r="Y33" s="23">
        <v>24.12</v>
      </c>
      <c r="Z33" s="23">
        <v>125.05</v>
      </c>
      <c r="AA33" s="23">
        <v>161.38999999999999</v>
      </c>
      <c r="AB33" s="23">
        <v>94.46</v>
      </c>
      <c r="AC33" s="23">
        <v>65.42</v>
      </c>
      <c r="AD33" s="23">
        <v>0</v>
      </c>
      <c r="AE33" s="23">
        <v>71.73</v>
      </c>
    </row>
    <row r="34" spans="1:31" x14ac:dyDescent="0.3">
      <c r="A34" s="86" t="s">
        <v>2908</v>
      </c>
      <c r="B34" s="11" t="s">
        <v>2906</v>
      </c>
      <c r="C34" s="78"/>
      <c r="D34" s="78"/>
      <c r="E34" s="78"/>
      <c r="F34" s="78"/>
      <c r="G34" s="78"/>
      <c r="H34" s="23"/>
      <c r="I34" s="23">
        <v>0</v>
      </c>
      <c r="J34" s="23">
        <v>0</v>
      </c>
      <c r="K34" s="23">
        <v>3.09</v>
      </c>
      <c r="L34" s="23">
        <v>0</v>
      </c>
      <c r="M34" s="23">
        <v>50.5</v>
      </c>
      <c r="N34" s="23">
        <v>0.02</v>
      </c>
      <c r="O34" s="23">
        <v>0.02</v>
      </c>
      <c r="P34" s="23">
        <v>0.02</v>
      </c>
      <c r="Q34" s="23">
        <v>1.05</v>
      </c>
      <c r="R34" s="23">
        <v>158.16</v>
      </c>
      <c r="S34" s="23">
        <v>14.31</v>
      </c>
      <c r="T34" s="23">
        <v>6.72</v>
      </c>
      <c r="U34" s="23">
        <v>19.18</v>
      </c>
      <c r="V34" s="23">
        <v>85.51</v>
      </c>
      <c r="W34" s="23">
        <v>24.46</v>
      </c>
      <c r="X34" s="23">
        <v>7.01</v>
      </c>
      <c r="Y34" s="23">
        <v>6.69</v>
      </c>
      <c r="Z34" s="23">
        <v>225.04</v>
      </c>
      <c r="AA34" s="23">
        <v>57.08</v>
      </c>
      <c r="AB34" s="23">
        <v>6.69</v>
      </c>
      <c r="AC34" s="23">
        <v>6.69</v>
      </c>
      <c r="AD34" s="23">
        <v>20.03</v>
      </c>
      <c r="AE34" s="23">
        <v>134.41999999999999</v>
      </c>
    </row>
    <row r="35" spans="1:31" x14ac:dyDescent="0.3">
      <c r="I35" s="74"/>
      <c r="J35" s="74"/>
      <c r="K35" s="74"/>
      <c r="L35" s="74"/>
      <c r="M35" s="74"/>
      <c r="N35" s="74"/>
      <c r="O35" s="74"/>
      <c r="P35" s="74"/>
      <c r="Q35" s="74"/>
      <c r="R35" s="74"/>
      <c r="S35" s="74"/>
      <c r="T35" s="74"/>
      <c r="U35" s="74"/>
      <c r="V35" s="74"/>
      <c r="W35" s="74"/>
      <c r="X35" s="74"/>
      <c r="Y35" s="74"/>
      <c r="Z35" s="74"/>
      <c r="AA35" s="7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58"/>
  <sheetViews>
    <sheetView zoomScale="76" zoomScaleNormal="90" zoomScaleSheetLayoutView="50" workbookViewId="0">
      <pane xSplit="2" ySplit="2" topLeftCell="AH33" activePane="bottomRight" state="frozen"/>
      <selection pane="topRight" activeCell="C1" sqref="C1"/>
      <selection pane="bottomLeft" activeCell="A3" sqref="A3"/>
      <selection pane="bottomRight" activeCell="AJ54" sqref="AJ54"/>
    </sheetView>
  </sheetViews>
  <sheetFormatPr baseColWidth="10" defaultColWidth="9.44140625" defaultRowHeight="14.4" x14ac:dyDescent="0.3"/>
  <cols>
    <col min="1" max="1" width="21.5546875" bestFit="1" customWidth="1"/>
    <col min="2" max="2" width="42.5546875" bestFit="1" customWidth="1"/>
    <col min="3" max="37" width="13.5546875" style="1" customWidth="1"/>
  </cols>
  <sheetData>
    <row r="1" spans="1:37" x14ac:dyDescent="0.3">
      <c r="A1" s="11"/>
      <c r="B1" s="11"/>
      <c r="C1" s="12" t="s">
        <v>92</v>
      </c>
      <c r="D1" s="12" t="s">
        <v>92</v>
      </c>
      <c r="E1" s="12" t="s">
        <v>92</v>
      </c>
      <c r="F1" s="12" t="s">
        <v>92</v>
      </c>
      <c r="G1" s="12" t="s">
        <v>92</v>
      </c>
      <c r="H1" s="12" t="s">
        <v>92</v>
      </c>
      <c r="I1" s="12" t="s">
        <v>92</v>
      </c>
      <c r="J1" s="12" t="s">
        <v>92</v>
      </c>
      <c r="K1" s="12" t="s">
        <v>92</v>
      </c>
      <c r="L1" s="12" t="s">
        <v>92</v>
      </c>
      <c r="M1" s="12" t="s">
        <v>92</v>
      </c>
      <c r="N1" s="12" t="s">
        <v>92</v>
      </c>
      <c r="O1" s="12" t="s">
        <v>92</v>
      </c>
      <c r="P1" s="12" t="s">
        <v>92</v>
      </c>
      <c r="Q1" s="12" t="s">
        <v>92</v>
      </c>
      <c r="R1" s="12" t="s">
        <v>92</v>
      </c>
      <c r="S1" s="12" t="s">
        <v>92</v>
      </c>
      <c r="T1" s="12" t="s">
        <v>92</v>
      </c>
      <c r="U1" s="12" t="s">
        <v>92</v>
      </c>
      <c r="V1" s="12" t="s">
        <v>92</v>
      </c>
      <c r="W1" s="12" t="s">
        <v>92</v>
      </c>
      <c r="X1" s="12" t="s">
        <v>92</v>
      </c>
      <c r="Y1" s="12" t="s">
        <v>92</v>
      </c>
      <c r="Z1" s="12" t="s">
        <v>92</v>
      </c>
      <c r="AA1" s="12" t="s">
        <v>92</v>
      </c>
      <c r="AB1" s="12" t="s">
        <v>92</v>
      </c>
      <c r="AC1" s="12" t="s">
        <v>92</v>
      </c>
      <c r="AD1" s="12" t="s">
        <v>92</v>
      </c>
      <c r="AE1" s="12" t="s">
        <v>92</v>
      </c>
      <c r="AF1" s="12" t="s">
        <v>92</v>
      </c>
      <c r="AG1" s="12" t="s">
        <v>92</v>
      </c>
      <c r="AH1" s="12" t="s">
        <v>92</v>
      </c>
      <c r="AI1" s="12"/>
      <c r="AJ1" s="12"/>
      <c r="AK1" s="12"/>
    </row>
    <row r="2" spans="1:37" x14ac:dyDescent="0.3">
      <c r="A2" s="13" t="s">
        <v>206</v>
      </c>
      <c r="B2" s="13" t="s">
        <v>205</v>
      </c>
      <c r="C2" s="19">
        <v>44927</v>
      </c>
      <c r="D2" s="19">
        <v>44958</v>
      </c>
      <c r="E2" s="19">
        <v>44986</v>
      </c>
      <c r="F2" s="19">
        <v>45017</v>
      </c>
      <c r="G2" s="19">
        <v>45047</v>
      </c>
      <c r="H2" s="19">
        <v>45078</v>
      </c>
      <c r="I2" s="19">
        <v>45108</v>
      </c>
      <c r="J2" s="19">
        <v>45139</v>
      </c>
      <c r="K2" s="19">
        <v>45170</v>
      </c>
      <c r="L2" s="19">
        <v>45200</v>
      </c>
      <c r="M2" s="19">
        <v>45231</v>
      </c>
      <c r="N2" s="19">
        <v>45261</v>
      </c>
      <c r="O2" s="19">
        <v>45292</v>
      </c>
      <c r="P2" s="19">
        <v>45323</v>
      </c>
      <c r="Q2" s="19">
        <v>45352</v>
      </c>
      <c r="R2" s="19">
        <v>45383</v>
      </c>
      <c r="S2" s="19">
        <v>45413</v>
      </c>
      <c r="T2" s="19">
        <v>45444</v>
      </c>
      <c r="U2" s="19">
        <v>45474</v>
      </c>
      <c r="V2" s="19">
        <v>45505</v>
      </c>
      <c r="W2" s="19">
        <v>45536</v>
      </c>
      <c r="X2" s="19">
        <v>45566</v>
      </c>
      <c r="Y2" s="19">
        <v>45597</v>
      </c>
      <c r="Z2" s="19">
        <v>45627</v>
      </c>
      <c r="AA2" s="19">
        <v>45658</v>
      </c>
      <c r="AB2" s="19">
        <v>45689</v>
      </c>
      <c r="AC2" s="19">
        <v>45717</v>
      </c>
      <c r="AD2" s="19">
        <v>45748</v>
      </c>
      <c r="AE2" s="19">
        <v>45778</v>
      </c>
      <c r="AF2" s="19">
        <v>45809</v>
      </c>
      <c r="AG2" s="19">
        <v>45839</v>
      </c>
      <c r="AH2" s="19">
        <v>45870</v>
      </c>
      <c r="AI2" s="19">
        <v>45901</v>
      </c>
      <c r="AJ2" s="19">
        <v>45961</v>
      </c>
      <c r="AK2" s="19">
        <v>45989</v>
      </c>
    </row>
    <row r="3" spans="1:37" x14ac:dyDescent="0.3">
      <c r="A3" s="11" t="s">
        <v>353</v>
      </c>
      <c r="B3" s="11" t="s">
        <v>352</v>
      </c>
      <c r="C3" s="63">
        <v>12651846091789.199</v>
      </c>
      <c r="D3" s="63">
        <v>12860036355976.9</v>
      </c>
      <c r="E3" s="63">
        <v>12894681182287.1</v>
      </c>
      <c r="F3" s="63">
        <v>13048962022850.9</v>
      </c>
      <c r="G3" s="63">
        <v>13111291085600.6</v>
      </c>
      <c r="H3" s="63">
        <v>12830438151236.1</v>
      </c>
      <c r="I3" s="63">
        <v>13031243554566.6</v>
      </c>
      <c r="J3" s="63">
        <v>13075528245412.4</v>
      </c>
      <c r="K3" s="63">
        <v>13266910274859</v>
      </c>
      <c r="L3" s="63">
        <v>13368701181436.801</v>
      </c>
      <c r="M3" s="63">
        <v>13478034485877.5</v>
      </c>
      <c r="N3" s="63">
        <v>13232096194299.6</v>
      </c>
      <c r="O3" s="63">
        <v>13654629588010.6</v>
      </c>
      <c r="P3" s="63">
        <v>13706134585703.301</v>
      </c>
      <c r="Q3" s="63">
        <v>13735487746142.1</v>
      </c>
      <c r="R3" s="63">
        <v>13788207073687.5</v>
      </c>
      <c r="S3" s="63">
        <v>13853296374778.4</v>
      </c>
      <c r="T3" s="63">
        <v>13984424626820.699</v>
      </c>
      <c r="U3" s="63">
        <v>14177672571215.199</v>
      </c>
      <c r="V3" s="63">
        <v>14381861917675.699</v>
      </c>
      <c r="W3" s="63">
        <v>14176571706719.801</v>
      </c>
      <c r="X3" s="63">
        <v>14725894249262.301</v>
      </c>
      <c r="Y3" s="63">
        <v>14927437388615.5</v>
      </c>
      <c r="Z3" s="63">
        <v>15121653596258.6</v>
      </c>
      <c r="AA3" s="63">
        <v>15274005745030.1</v>
      </c>
      <c r="AB3" s="63">
        <v>15014382749481.5</v>
      </c>
      <c r="AC3" s="63">
        <v>15196382970379.699</v>
      </c>
      <c r="AD3" s="63">
        <v>15233883034182.4</v>
      </c>
      <c r="AE3" s="63">
        <v>15526032603761.1</v>
      </c>
      <c r="AF3" s="63">
        <v>15221659296271.801</v>
      </c>
      <c r="AG3" s="63">
        <v>15322209198239.1</v>
      </c>
      <c r="AH3" s="63">
        <v>15360355372916.4</v>
      </c>
      <c r="AI3" s="63">
        <v>15302197408194.5</v>
      </c>
      <c r="AJ3" s="63">
        <v>15568804399150.199</v>
      </c>
      <c r="AK3" s="63">
        <v>15540484324700.699</v>
      </c>
    </row>
    <row r="4" spans="1:37" x14ac:dyDescent="0.3">
      <c r="A4" s="11" t="s">
        <v>351</v>
      </c>
      <c r="B4" s="11" t="s">
        <v>350</v>
      </c>
      <c r="C4" s="63">
        <v>12708854180073.6</v>
      </c>
      <c r="D4" s="63">
        <v>12915203792411.1</v>
      </c>
      <c r="E4" s="63">
        <v>12949955877667.9</v>
      </c>
      <c r="F4" s="63">
        <v>13104371779608.5</v>
      </c>
      <c r="G4" s="63">
        <v>13166037328301.1</v>
      </c>
      <c r="H4" s="63">
        <v>12887527654056.9</v>
      </c>
      <c r="I4" s="63">
        <v>13088816815562.699</v>
      </c>
      <c r="J4" s="63">
        <v>13132942923345</v>
      </c>
      <c r="K4" s="63">
        <v>13326409974719.9</v>
      </c>
      <c r="L4" s="63">
        <v>13429110759862.1</v>
      </c>
      <c r="M4" s="63">
        <v>13534729766614.699</v>
      </c>
      <c r="N4" s="63">
        <v>13292258085777.4</v>
      </c>
      <c r="O4" s="63">
        <v>13712216310092.5</v>
      </c>
      <c r="P4" s="63">
        <v>13762590468048.801</v>
      </c>
      <c r="Q4" s="63">
        <v>13815980226228.801</v>
      </c>
      <c r="R4" s="63">
        <v>13863930942630.801</v>
      </c>
      <c r="S4" s="63">
        <v>13928255049052.199</v>
      </c>
      <c r="T4" s="63">
        <v>14060091739517.9</v>
      </c>
      <c r="U4" s="63">
        <v>14250899631193.9</v>
      </c>
      <c r="V4" s="63">
        <v>14453699256357.4</v>
      </c>
      <c r="W4" s="63">
        <v>14248895665611.801</v>
      </c>
      <c r="X4" s="63">
        <v>14798003170278</v>
      </c>
      <c r="Y4" s="63">
        <v>15020819038602.1</v>
      </c>
      <c r="Z4" s="63">
        <v>15210575248594.801</v>
      </c>
      <c r="AA4" s="63">
        <v>15344813960630.699</v>
      </c>
      <c r="AB4" s="63">
        <v>15081466109157.6</v>
      </c>
      <c r="AC4" s="63">
        <v>15266557638808</v>
      </c>
      <c r="AD4" s="63">
        <v>15304429077490.1</v>
      </c>
      <c r="AE4" s="63">
        <v>15597975243454.199</v>
      </c>
      <c r="AF4" s="63">
        <v>15291765412601.5</v>
      </c>
      <c r="AG4" s="63">
        <v>15389124179033.9</v>
      </c>
      <c r="AH4" s="63">
        <v>15431059822311.801</v>
      </c>
      <c r="AI4" s="63">
        <v>15373993304322.5</v>
      </c>
      <c r="AJ4" s="63">
        <v>15647778330781.4</v>
      </c>
      <c r="AK4" s="63">
        <v>15623953645705.5</v>
      </c>
    </row>
    <row r="5" spans="1:37" x14ac:dyDescent="0.3">
      <c r="A5" s="11" t="s">
        <v>349</v>
      </c>
      <c r="B5" s="11" t="s">
        <v>87</v>
      </c>
      <c r="C5" s="63">
        <v>201603170609.98999</v>
      </c>
      <c r="D5" s="63">
        <v>191728532224.89999</v>
      </c>
      <c r="E5" s="63">
        <v>200991242066.03</v>
      </c>
      <c r="F5" s="63">
        <v>205691107492.47</v>
      </c>
      <c r="G5" s="63">
        <v>200429963827.13</v>
      </c>
      <c r="H5" s="63">
        <v>196066029246.04001</v>
      </c>
      <c r="I5" s="63">
        <v>201590495432.01999</v>
      </c>
      <c r="J5" s="63">
        <v>206862158099.34</v>
      </c>
      <c r="K5" s="63">
        <v>197685213948.17999</v>
      </c>
      <c r="L5" s="63">
        <v>202280870917.03</v>
      </c>
      <c r="M5" s="63">
        <v>220119939490.07999</v>
      </c>
      <c r="N5" s="63">
        <v>234033453550.39001</v>
      </c>
      <c r="O5" s="63">
        <v>207294017507.5</v>
      </c>
      <c r="P5" s="63">
        <v>204533247683.09</v>
      </c>
      <c r="Q5" s="63">
        <v>235664202081.76999</v>
      </c>
      <c r="R5" s="63">
        <v>209273321683.16</v>
      </c>
      <c r="S5" s="63">
        <v>206117873375.64999</v>
      </c>
      <c r="T5" s="63">
        <v>200951037761.79999</v>
      </c>
      <c r="U5" s="63">
        <v>218881103063.70999</v>
      </c>
      <c r="V5" s="63">
        <v>207899377707.76999</v>
      </c>
      <c r="W5" s="63">
        <v>218405803757.92999</v>
      </c>
      <c r="X5" s="63">
        <v>219149914606.41</v>
      </c>
      <c r="Y5" s="63">
        <v>230315927795.57999</v>
      </c>
      <c r="Z5" s="63">
        <v>247940260015.79999</v>
      </c>
      <c r="AA5" s="63">
        <v>231562202093.63</v>
      </c>
      <c r="AB5" s="63">
        <v>221027414415.35001</v>
      </c>
      <c r="AC5" s="63">
        <v>214553907881.72</v>
      </c>
      <c r="AD5" s="63">
        <v>222998317844.04999</v>
      </c>
      <c r="AE5" s="63">
        <v>205663490266.89001</v>
      </c>
      <c r="AF5" s="63">
        <v>197531004894.82999</v>
      </c>
      <c r="AG5" s="63">
        <v>217823619444.78</v>
      </c>
      <c r="AH5" s="63">
        <v>198273742516.48001</v>
      </c>
      <c r="AI5" s="63">
        <v>213659631806.67001</v>
      </c>
      <c r="AJ5" s="63">
        <v>213939603075.98001</v>
      </c>
      <c r="AK5" s="63">
        <v>232707688280.19</v>
      </c>
    </row>
    <row r="6" spans="1:37" x14ac:dyDescent="0.3">
      <c r="A6" s="11" t="s">
        <v>348</v>
      </c>
      <c r="B6" s="11" t="s">
        <v>347</v>
      </c>
      <c r="C6" s="63">
        <v>166604242666.98999</v>
      </c>
      <c r="D6" s="63">
        <v>178434369223.70001</v>
      </c>
      <c r="E6" s="63">
        <v>163463424622.31</v>
      </c>
      <c r="F6" s="63">
        <v>184476535288.42001</v>
      </c>
      <c r="G6" s="63">
        <v>179175462673.20001</v>
      </c>
      <c r="H6" s="63">
        <v>175394377765.26999</v>
      </c>
      <c r="I6" s="63">
        <v>164145227372.70001</v>
      </c>
      <c r="J6" s="63">
        <v>159697027646.45999</v>
      </c>
      <c r="K6" s="63">
        <v>161025299819.87</v>
      </c>
      <c r="L6" s="63">
        <v>162256729882.48001</v>
      </c>
      <c r="M6" s="63">
        <v>162485558162.98001</v>
      </c>
      <c r="N6" s="63">
        <v>176131673107.95999</v>
      </c>
      <c r="O6" s="63">
        <v>175083121408.20001</v>
      </c>
      <c r="P6" s="63">
        <v>173446684232.51999</v>
      </c>
      <c r="Q6" s="63">
        <v>186363139485.66</v>
      </c>
      <c r="R6" s="63">
        <v>178413283008.51999</v>
      </c>
      <c r="S6" s="63">
        <v>167605448016.42999</v>
      </c>
      <c r="T6" s="63">
        <v>185781119823.89999</v>
      </c>
      <c r="U6" s="63">
        <v>167739135490.32001</v>
      </c>
      <c r="V6" s="63">
        <v>179548394042.70999</v>
      </c>
      <c r="W6" s="63">
        <v>204535933310.88</v>
      </c>
      <c r="X6" s="63">
        <v>224015395165.48001</v>
      </c>
      <c r="Y6" s="63">
        <v>277031981094.17999</v>
      </c>
      <c r="Z6" s="63">
        <v>263284376001.92001</v>
      </c>
      <c r="AA6" s="63">
        <v>222076554399.57999</v>
      </c>
      <c r="AB6" s="63">
        <v>220967017454.10001</v>
      </c>
      <c r="AC6" s="63">
        <v>248354191591.23999</v>
      </c>
      <c r="AD6" s="63">
        <v>246099995510.64001</v>
      </c>
      <c r="AE6" s="63">
        <v>231607898065.95001</v>
      </c>
      <c r="AF6" s="63">
        <v>253815430771.57001</v>
      </c>
      <c r="AG6" s="63">
        <v>232155750729.72</v>
      </c>
      <c r="AH6" s="63">
        <v>238233501460.75</v>
      </c>
      <c r="AI6" s="63">
        <v>264213981268.25</v>
      </c>
      <c r="AJ6" s="63">
        <v>242268963260.35999</v>
      </c>
      <c r="AK6" s="63">
        <v>281995840278.59998</v>
      </c>
    </row>
    <row r="7" spans="1:37" x14ac:dyDescent="0.3">
      <c r="A7" s="11" t="s">
        <v>346</v>
      </c>
      <c r="B7" s="11" t="s">
        <v>345</v>
      </c>
      <c r="C7" s="63">
        <v>243679540187.62</v>
      </c>
      <c r="D7" s="63">
        <v>197680825340.06</v>
      </c>
      <c r="E7" s="63">
        <v>170461567040.10001</v>
      </c>
      <c r="F7" s="63">
        <v>191268729949.63</v>
      </c>
      <c r="G7" s="63">
        <v>219446818359.54001</v>
      </c>
      <c r="H7" s="63">
        <v>229448861788.48001</v>
      </c>
      <c r="I7" s="63">
        <v>210232364777.56</v>
      </c>
      <c r="J7" s="63">
        <v>195359574051.39001</v>
      </c>
      <c r="K7" s="63">
        <v>257749521170.88</v>
      </c>
      <c r="L7" s="63">
        <v>260583494807.42001</v>
      </c>
      <c r="M7" s="63">
        <v>224366443362.38</v>
      </c>
      <c r="N7" s="63">
        <v>212440232398.81</v>
      </c>
      <c r="O7" s="63">
        <v>267184321845.09</v>
      </c>
      <c r="P7" s="63">
        <v>288169601782</v>
      </c>
      <c r="Q7" s="63">
        <v>235653246434.64001</v>
      </c>
      <c r="R7" s="63">
        <v>203882902645.42001</v>
      </c>
      <c r="S7" s="63">
        <v>264310956038.25</v>
      </c>
      <c r="T7" s="63">
        <v>289463872717.28003</v>
      </c>
      <c r="U7" s="63">
        <v>251182759429.79001</v>
      </c>
      <c r="V7" s="63">
        <v>238786404295.72</v>
      </c>
      <c r="W7" s="63">
        <v>229292572280.72</v>
      </c>
      <c r="X7" s="63">
        <v>269597574503.09</v>
      </c>
      <c r="Y7" s="63">
        <v>179130181239.5</v>
      </c>
      <c r="Z7" s="63">
        <v>257145200648.32001</v>
      </c>
      <c r="AA7" s="63">
        <v>256129335056.35001</v>
      </c>
      <c r="AB7" s="63">
        <v>218010772805.47</v>
      </c>
      <c r="AC7" s="63">
        <v>278337288090.90997</v>
      </c>
      <c r="AD7" s="63">
        <v>243514923603.42999</v>
      </c>
      <c r="AE7" s="63">
        <v>321096028866.84998</v>
      </c>
      <c r="AF7" s="63">
        <v>377934296593.70001</v>
      </c>
      <c r="AG7" s="63">
        <v>240195596933.34</v>
      </c>
      <c r="AH7" s="63">
        <v>237028934536.56</v>
      </c>
      <c r="AI7" s="63">
        <v>252285430992.39999</v>
      </c>
      <c r="AJ7" s="63">
        <v>277493675260.08002</v>
      </c>
      <c r="AK7" s="63">
        <v>179717166194.20999</v>
      </c>
    </row>
    <row r="8" spans="1:37" x14ac:dyDescent="0.3">
      <c r="A8" s="11" t="s">
        <v>344</v>
      </c>
      <c r="B8" s="11" t="s">
        <v>343</v>
      </c>
      <c r="C8" s="63">
        <v>3088706181280.1802</v>
      </c>
      <c r="D8" s="63">
        <v>3100309714214.3398</v>
      </c>
      <c r="E8" s="63">
        <v>3051428696649.7202</v>
      </c>
      <c r="F8" s="63">
        <v>3115641838079.73</v>
      </c>
      <c r="G8" s="63">
        <v>3155586707272.1401</v>
      </c>
      <c r="H8" s="63">
        <v>3155787836570.1099</v>
      </c>
      <c r="I8" s="63">
        <v>3234441688214.6099</v>
      </c>
      <c r="J8" s="63">
        <v>3276983857226.5098</v>
      </c>
      <c r="K8" s="63">
        <v>3278326642476.9102</v>
      </c>
      <c r="L8" s="63">
        <v>3346420759597.3599</v>
      </c>
      <c r="M8" s="63">
        <v>3388966249233.8701</v>
      </c>
      <c r="N8" s="63">
        <v>3361906668896.1802</v>
      </c>
      <c r="O8" s="63">
        <v>3432017678550.8301</v>
      </c>
      <c r="P8" s="63">
        <v>3612332815582.0498</v>
      </c>
      <c r="Q8" s="63">
        <v>3604600396825.1099</v>
      </c>
      <c r="R8" s="63">
        <v>3647570780001.5298</v>
      </c>
      <c r="S8" s="63">
        <v>3657452782413.7202</v>
      </c>
      <c r="T8" s="63">
        <v>3658463657627.9199</v>
      </c>
      <c r="U8" s="63">
        <v>3751392803022.2798</v>
      </c>
      <c r="V8" s="63">
        <v>3784229355917.1802</v>
      </c>
      <c r="W8" s="63">
        <v>3662834542041.02</v>
      </c>
      <c r="X8" s="63">
        <v>3652684768263.2598</v>
      </c>
      <c r="Y8" s="63">
        <v>3805696164296.9199</v>
      </c>
      <c r="Z8" s="63">
        <v>3872829051530.4399</v>
      </c>
      <c r="AA8" s="63">
        <v>3907997747998.5601</v>
      </c>
      <c r="AB8" s="63">
        <v>3945100256999.1499</v>
      </c>
      <c r="AC8" s="63">
        <v>3899715634918.27</v>
      </c>
      <c r="AD8" s="63">
        <v>3930621185642.9902</v>
      </c>
      <c r="AE8" s="63">
        <v>4047150403472.3501</v>
      </c>
      <c r="AF8" s="63">
        <v>4011452768646.4302</v>
      </c>
      <c r="AG8" s="63">
        <v>4046557541862.0698</v>
      </c>
      <c r="AH8" s="63">
        <v>4014858957191.1802</v>
      </c>
      <c r="AI8" s="63">
        <v>3987402659857.9902</v>
      </c>
      <c r="AJ8" s="63">
        <v>4028908476264.75</v>
      </c>
      <c r="AK8" s="63">
        <v>4108251630808.0098</v>
      </c>
    </row>
    <row r="9" spans="1:37" x14ac:dyDescent="0.3">
      <c r="A9" s="11" t="s">
        <v>342</v>
      </c>
      <c r="B9" s="11" t="s">
        <v>82</v>
      </c>
      <c r="C9" s="63">
        <v>3098075178844.1802</v>
      </c>
      <c r="D9" s="63">
        <v>3109115471216.3398</v>
      </c>
      <c r="E9" s="63">
        <v>3060295056802.7202</v>
      </c>
      <c r="F9" s="63">
        <v>3124386703155.73</v>
      </c>
      <c r="G9" s="63">
        <v>3164399525846.1401</v>
      </c>
      <c r="H9" s="63">
        <v>3168047909933.1099</v>
      </c>
      <c r="I9" s="63">
        <v>3243172833302.6099</v>
      </c>
      <c r="J9" s="63">
        <v>3286527042224.5098</v>
      </c>
      <c r="K9" s="63">
        <v>3289718645485.9102</v>
      </c>
      <c r="L9" s="63">
        <v>3359078010544.3599</v>
      </c>
      <c r="M9" s="63">
        <v>3400360940252.8701</v>
      </c>
      <c r="N9" s="63">
        <v>3375255945778.1802</v>
      </c>
      <c r="O9" s="63">
        <v>3447670340912.8301</v>
      </c>
      <c r="P9" s="63">
        <v>3626632977890.0498</v>
      </c>
      <c r="Q9" s="63">
        <v>3622152128900.1099</v>
      </c>
      <c r="R9" s="63">
        <v>3662017589047.5298</v>
      </c>
      <c r="S9" s="63">
        <v>3673191247376.7202</v>
      </c>
      <c r="T9" s="63">
        <v>3674459371037.9199</v>
      </c>
      <c r="U9" s="63">
        <v>3765691111588.2798</v>
      </c>
      <c r="V9" s="63">
        <v>3799962372989.1802</v>
      </c>
      <c r="W9" s="63">
        <v>3679985876613.02</v>
      </c>
      <c r="X9" s="63">
        <v>3669914099101.2598</v>
      </c>
      <c r="Y9" s="63">
        <v>3818405435314.9199</v>
      </c>
      <c r="Z9" s="63">
        <v>3884888230073.4399</v>
      </c>
      <c r="AA9" s="63">
        <v>3921517552864.5601</v>
      </c>
      <c r="AB9" s="63">
        <v>3960154056530.1499</v>
      </c>
      <c r="AC9" s="63">
        <v>3912054504385.27</v>
      </c>
      <c r="AD9" s="63">
        <v>3939682433728.9902</v>
      </c>
      <c r="AE9" s="63">
        <v>4055668352203.3501</v>
      </c>
      <c r="AF9" s="63">
        <v>4019339278798.4302</v>
      </c>
      <c r="AG9" s="63">
        <v>4053496741860.0698</v>
      </c>
      <c r="AH9" s="63">
        <v>4023367467666.1802</v>
      </c>
      <c r="AI9" s="63">
        <v>3996548323435.9902</v>
      </c>
      <c r="AJ9" s="63">
        <v>4038848020161.75</v>
      </c>
      <c r="AK9" s="63">
        <v>4116999038240.0098</v>
      </c>
    </row>
    <row r="10" spans="1:37" x14ac:dyDescent="0.3">
      <c r="A10" s="11" t="s">
        <v>341</v>
      </c>
      <c r="B10" s="11" t="s">
        <v>340</v>
      </c>
      <c r="C10" s="63">
        <v>127229435768.48</v>
      </c>
      <c r="D10" s="63">
        <v>126832072996.58</v>
      </c>
      <c r="E10" s="63">
        <v>127856415232.8</v>
      </c>
      <c r="F10" s="63">
        <v>129777500090.12</v>
      </c>
      <c r="G10" s="63">
        <v>133651628659.49001</v>
      </c>
      <c r="H10" s="63">
        <v>134714288194.59</v>
      </c>
      <c r="I10" s="63">
        <v>136872597416.85001</v>
      </c>
      <c r="J10" s="63">
        <v>134891331467.52</v>
      </c>
      <c r="K10" s="63">
        <v>137505908233.35001</v>
      </c>
      <c r="L10" s="63">
        <v>141397384791.20999</v>
      </c>
      <c r="M10" s="63">
        <v>143891596226.41</v>
      </c>
      <c r="N10" s="63">
        <v>135127473852.60001</v>
      </c>
      <c r="O10" s="63">
        <v>136811295219.73</v>
      </c>
      <c r="P10" s="63">
        <v>135837919819.33</v>
      </c>
      <c r="Q10" s="63">
        <v>131923089426</v>
      </c>
      <c r="R10" s="63">
        <v>133800652386.07001</v>
      </c>
      <c r="S10" s="63">
        <v>136627868979.17999</v>
      </c>
      <c r="T10" s="63">
        <v>135074759614.97</v>
      </c>
      <c r="U10" s="63">
        <v>137918978914.17999</v>
      </c>
      <c r="V10" s="63">
        <v>142107359310.87</v>
      </c>
      <c r="W10" s="63">
        <v>143785647694.92001</v>
      </c>
      <c r="X10" s="63">
        <v>145906609333.20001</v>
      </c>
      <c r="Y10" s="63">
        <v>148080147141.91</v>
      </c>
      <c r="Z10" s="63">
        <v>146992902808.89001</v>
      </c>
      <c r="AA10" s="63">
        <v>147457291407.64001</v>
      </c>
      <c r="AB10" s="63">
        <v>148495905265.07999</v>
      </c>
      <c r="AC10" s="63">
        <v>148001923534.10001</v>
      </c>
      <c r="AD10" s="63">
        <v>151404983351.82999</v>
      </c>
      <c r="AE10" s="63">
        <v>154452617670.29999</v>
      </c>
      <c r="AF10" s="63">
        <v>155872810436.66</v>
      </c>
      <c r="AG10" s="63">
        <v>158449816137.03</v>
      </c>
      <c r="AH10" s="63">
        <v>161408384608.53</v>
      </c>
      <c r="AI10" s="63">
        <v>168152391801.12</v>
      </c>
      <c r="AJ10" s="63">
        <v>171038604494.51001</v>
      </c>
      <c r="AK10" s="63">
        <v>172409982613.54001</v>
      </c>
    </row>
    <row r="11" spans="1:37" x14ac:dyDescent="0.3">
      <c r="A11" s="11" t="s">
        <v>339</v>
      </c>
      <c r="B11" s="11" t="s">
        <v>338</v>
      </c>
      <c r="C11" s="63">
        <v>-191987097685.34</v>
      </c>
      <c r="D11" s="63">
        <v>-194226077491.39999</v>
      </c>
      <c r="E11" s="63">
        <v>-194805219857.01999</v>
      </c>
      <c r="F11" s="63">
        <v>-195975109308.07001</v>
      </c>
      <c r="G11" s="63">
        <v>-198381657547.01999</v>
      </c>
      <c r="H11" s="63">
        <v>-197989396923.17001</v>
      </c>
      <c r="I11" s="63">
        <v>-202534821505.23001</v>
      </c>
      <c r="J11" s="63">
        <v>-202954065640.84</v>
      </c>
      <c r="K11" s="63">
        <v>-200450281751.32001</v>
      </c>
      <c r="L11" s="63">
        <v>-204690843804.32999</v>
      </c>
      <c r="M11" s="63">
        <v>-208131081353.48999</v>
      </c>
      <c r="N11" s="63">
        <v>-202066891915.85001</v>
      </c>
      <c r="O11" s="63">
        <v>-202784661135.07999</v>
      </c>
      <c r="P11" s="63">
        <v>-202002017804.57001</v>
      </c>
      <c r="Q11" s="63">
        <v>-202590496030.31</v>
      </c>
      <c r="R11" s="63">
        <v>-203936463460.76999</v>
      </c>
      <c r="S11" s="63">
        <v>-205885420266.09</v>
      </c>
      <c r="T11" s="63">
        <v>-206945917370.45999</v>
      </c>
      <c r="U11" s="63">
        <v>-210301033925.34</v>
      </c>
      <c r="V11" s="63">
        <v>-215579613173.59</v>
      </c>
      <c r="W11" s="63">
        <v>-217636439522.79999</v>
      </c>
      <c r="X11" s="63">
        <v>-220728519558.35001</v>
      </c>
      <c r="Y11" s="63">
        <v>-223260645041.5</v>
      </c>
      <c r="Z11" s="63">
        <v>-223434233420.09</v>
      </c>
      <c r="AA11" s="63">
        <v>-223819752310.64999</v>
      </c>
      <c r="AB11" s="63">
        <v>-225268873590.75</v>
      </c>
      <c r="AC11" s="63">
        <v>-226480035580.01001</v>
      </c>
      <c r="AD11" s="63">
        <v>-227791898188.79999</v>
      </c>
      <c r="AE11" s="63">
        <v>-230574771205.32001</v>
      </c>
      <c r="AF11" s="63">
        <v>-229687122502.17999</v>
      </c>
      <c r="AG11" s="63">
        <v>-231996787478.62</v>
      </c>
      <c r="AH11" s="63">
        <v>-234600855487.95999</v>
      </c>
      <c r="AI11" s="63">
        <v>-239267371386.81</v>
      </c>
      <c r="AJ11" s="63">
        <v>-242339847740.95001</v>
      </c>
      <c r="AK11" s="63">
        <v>-242931820178.04001</v>
      </c>
    </row>
    <row r="12" spans="1:37" x14ac:dyDescent="0.3">
      <c r="A12" s="11" t="s">
        <v>337</v>
      </c>
      <c r="B12" s="11" t="s">
        <v>336</v>
      </c>
      <c r="C12" s="63">
        <v>6148510774642.8604</v>
      </c>
      <c r="D12" s="63">
        <v>6183730085654.04</v>
      </c>
      <c r="E12" s="63">
        <v>6245550451878.5195</v>
      </c>
      <c r="F12" s="63">
        <v>6294159937710.5195</v>
      </c>
      <c r="G12" s="63">
        <v>6305379329646.2002</v>
      </c>
      <c r="H12" s="63">
        <v>6319645521267.9404</v>
      </c>
      <c r="I12" s="63">
        <v>6421794506247.0098</v>
      </c>
      <c r="J12" s="63">
        <v>6465347880924.5498</v>
      </c>
      <c r="K12" s="63">
        <v>6550521401800.2305</v>
      </c>
      <c r="L12" s="63">
        <v>6610108317378.2998</v>
      </c>
      <c r="M12" s="63">
        <v>6693335269457.4297</v>
      </c>
      <c r="N12" s="63">
        <v>6689830807005.1299</v>
      </c>
      <c r="O12" s="63">
        <v>6679657642785.9404</v>
      </c>
      <c r="P12" s="63">
        <v>6699903411719.0801</v>
      </c>
      <c r="Q12" s="63">
        <v>6786354667540.9199</v>
      </c>
      <c r="R12" s="63">
        <v>6843499178521.3701</v>
      </c>
      <c r="S12" s="63">
        <v>6920091407901.7305</v>
      </c>
      <c r="T12" s="63">
        <v>7039268787074.5</v>
      </c>
      <c r="U12" s="63">
        <v>7106024247894.5596</v>
      </c>
      <c r="V12" s="63">
        <v>7230490909739.2598</v>
      </c>
      <c r="W12" s="63">
        <v>7222315362364.0195</v>
      </c>
      <c r="X12" s="63">
        <v>7295837511218.4004</v>
      </c>
      <c r="Y12" s="63">
        <v>7437307524978.0596</v>
      </c>
      <c r="Z12" s="63">
        <v>7515669880624.8301</v>
      </c>
      <c r="AA12" s="63">
        <v>7573596893819.0498</v>
      </c>
      <c r="AB12" s="63">
        <v>7596398712060.7998</v>
      </c>
      <c r="AC12" s="63">
        <v>7650307376143.3096</v>
      </c>
      <c r="AD12" s="63">
        <v>7649523798658.5195</v>
      </c>
      <c r="AE12" s="63">
        <v>7699747845045.6201</v>
      </c>
      <c r="AF12" s="63">
        <v>7668076505284.9297</v>
      </c>
      <c r="AG12" s="63">
        <v>7709950997040.7598</v>
      </c>
      <c r="AH12" s="63">
        <v>7727228035384.4004</v>
      </c>
      <c r="AI12" s="63">
        <v>7732740683294.0498</v>
      </c>
      <c r="AJ12" s="63">
        <v>7807020102441.0703</v>
      </c>
      <c r="AK12" s="63">
        <v>7914188810065.3301</v>
      </c>
    </row>
    <row r="13" spans="1:37" x14ac:dyDescent="0.3">
      <c r="A13" s="17" t="s">
        <v>335</v>
      </c>
      <c r="B13" s="11" t="s">
        <v>334</v>
      </c>
      <c r="C13" s="63">
        <v>6252776793223.2402</v>
      </c>
      <c r="D13" s="63">
        <v>6287382213149.1699</v>
      </c>
      <c r="E13" s="63">
        <v>6350741661118.29</v>
      </c>
      <c r="F13" s="63">
        <v>6399417234274.54</v>
      </c>
      <c r="G13" s="63">
        <v>6411146925806.1201</v>
      </c>
      <c r="H13" s="63">
        <v>6425056619293.4902</v>
      </c>
      <c r="I13" s="63">
        <v>6528644843682.46</v>
      </c>
      <c r="J13" s="63">
        <v>6573071866284.0303</v>
      </c>
      <c r="K13" s="63">
        <v>6658264696447.0898</v>
      </c>
      <c r="L13" s="63">
        <v>6718415095034.2197</v>
      </c>
      <c r="M13" s="63">
        <v>6797472192844.7197</v>
      </c>
      <c r="N13" s="63">
        <v>6793609138919.6602</v>
      </c>
      <c r="O13" s="63">
        <v>6780509605370.3799</v>
      </c>
      <c r="P13" s="63">
        <v>6800280743717.2803</v>
      </c>
      <c r="Q13" s="63">
        <v>6911456980947.6699</v>
      </c>
      <c r="R13" s="63">
        <v>6965554210650.6299</v>
      </c>
      <c r="S13" s="63">
        <v>7040480510259.4805</v>
      </c>
      <c r="T13" s="63">
        <v>7161458782904.9902</v>
      </c>
      <c r="U13" s="63">
        <v>7229546025408.2402</v>
      </c>
      <c r="V13" s="63">
        <v>7351193139673.4502</v>
      </c>
      <c r="W13" s="63">
        <v>7341346613008.6201</v>
      </c>
      <c r="X13" s="63">
        <v>7416393776863.9697</v>
      </c>
      <c r="Y13" s="63">
        <v>7581259307103.1299</v>
      </c>
      <c r="Z13" s="63">
        <v>7659564592750.9805</v>
      </c>
      <c r="AA13" s="63">
        <v>7693675594315.5801</v>
      </c>
      <c r="AB13" s="63">
        <v>7713582425004.29</v>
      </c>
      <c r="AC13" s="63">
        <v>7773454512162.5596</v>
      </c>
      <c r="AD13" s="63">
        <v>7776463579466.3096</v>
      </c>
      <c r="AE13" s="63">
        <v>7830417736223.71</v>
      </c>
      <c r="AF13" s="63">
        <v>7797749944782.7402</v>
      </c>
      <c r="AG13" s="63">
        <v>7839661636948.1797</v>
      </c>
      <c r="AH13" s="63">
        <v>7858406002648.4199</v>
      </c>
      <c r="AI13" s="63">
        <v>7865186458848.3896</v>
      </c>
      <c r="AJ13" s="63">
        <v>7946801161454.1797</v>
      </c>
      <c r="AK13" s="63">
        <v>8059421553187.1201</v>
      </c>
    </row>
    <row r="14" spans="1:37" x14ac:dyDescent="0.3">
      <c r="A14" s="17">
        <v>101800105001</v>
      </c>
      <c r="B14" s="11" t="s">
        <v>2346</v>
      </c>
      <c r="C14" s="63">
        <v>3799751368644.7202</v>
      </c>
      <c r="D14" s="63">
        <v>3813289126538.02</v>
      </c>
      <c r="E14" s="63">
        <v>3851078287830.4199</v>
      </c>
      <c r="F14" s="63">
        <v>3872999853119.27</v>
      </c>
      <c r="G14" s="63">
        <v>3856971721960.8501</v>
      </c>
      <c r="H14" s="63">
        <v>3833247702468.9199</v>
      </c>
      <c r="I14" s="63">
        <v>3910873584027.4502</v>
      </c>
      <c r="J14" s="63">
        <v>3925203416703.7202</v>
      </c>
      <c r="K14" s="63">
        <v>3976862865717.2998</v>
      </c>
      <c r="L14" s="63">
        <v>4012559233370.1699</v>
      </c>
      <c r="M14" s="63">
        <v>4034685596042.5601</v>
      </c>
      <c r="N14" s="63">
        <v>4030191295177.2402</v>
      </c>
      <c r="O14" s="63">
        <v>4009365180615.75</v>
      </c>
      <c r="P14" s="63">
        <v>4015705154676.0801</v>
      </c>
      <c r="Q14" s="63">
        <v>4057234321194.3301</v>
      </c>
      <c r="R14" s="63">
        <v>4088682445828.77</v>
      </c>
      <c r="S14" s="63">
        <v>4126604824968.25</v>
      </c>
      <c r="T14" s="63">
        <v>4222854700519.2402</v>
      </c>
      <c r="U14" s="63">
        <v>4264640044259.52</v>
      </c>
      <c r="V14" s="63">
        <v>4352785076189.6699</v>
      </c>
      <c r="W14" s="63">
        <v>4316782132755.52</v>
      </c>
      <c r="X14" s="63">
        <v>4360043133594.3999</v>
      </c>
      <c r="Y14" s="63">
        <v>4459280035509.0195</v>
      </c>
      <c r="Z14" s="63">
        <v>4532942613044.2002</v>
      </c>
      <c r="AA14" s="63">
        <v>4556037256256.3398</v>
      </c>
      <c r="AB14" s="63">
        <v>4561625273707.6396</v>
      </c>
      <c r="AC14" s="63">
        <v>4603173580218.71</v>
      </c>
      <c r="AD14" s="63">
        <v>4578150187340.96</v>
      </c>
      <c r="AE14" s="63">
        <v>4609314942942.6299</v>
      </c>
      <c r="AF14" s="63">
        <v>4551725329851.2598</v>
      </c>
      <c r="AG14" s="63">
        <v>4563975773727.7402</v>
      </c>
      <c r="AH14" s="63">
        <v>4554288025651.9297</v>
      </c>
      <c r="AI14" s="63">
        <v>4539202413788.4004</v>
      </c>
      <c r="AJ14" s="63">
        <v>4590482538709.6201</v>
      </c>
      <c r="AK14" s="63">
        <v>4638140767695.6104</v>
      </c>
    </row>
    <row r="15" spans="1:37" x14ac:dyDescent="0.3">
      <c r="A15" s="17">
        <v>101800105002</v>
      </c>
      <c r="B15" s="11" t="s">
        <v>2347</v>
      </c>
      <c r="C15" s="63">
        <v>1229677095439.23</v>
      </c>
      <c r="D15" s="63">
        <v>1243193966098.7</v>
      </c>
      <c r="E15" s="63">
        <v>1256153636359.0601</v>
      </c>
      <c r="F15" s="63">
        <v>1276062878313.98</v>
      </c>
      <c r="G15" s="63">
        <v>1292708111620.6299</v>
      </c>
      <c r="H15" s="63">
        <v>1319416441374.27</v>
      </c>
      <c r="I15" s="63">
        <v>1334225139712.5901</v>
      </c>
      <c r="J15" s="63">
        <v>1356725110722.28</v>
      </c>
      <c r="K15" s="63">
        <v>1379239872786.22</v>
      </c>
      <c r="L15" s="63">
        <v>1395901427592.3501</v>
      </c>
      <c r="M15" s="63">
        <v>1441936510057.8401</v>
      </c>
      <c r="N15" s="63">
        <v>1431933960094.75</v>
      </c>
      <c r="O15" s="63">
        <v>1435638742948.75</v>
      </c>
      <c r="P15" s="63">
        <v>1441263580180.6001</v>
      </c>
      <c r="Q15" s="63">
        <v>1500767278516.3701</v>
      </c>
      <c r="R15" s="63">
        <v>1516881368593.3201</v>
      </c>
      <c r="S15" s="63">
        <v>1543283438944.3999</v>
      </c>
      <c r="T15" s="63">
        <v>1559750614769.1799</v>
      </c>
      <c r="U15" s="63">
        <v>1576509110072.3999</v>
      </c>
      <c r="V15" s="63">
        <v>1601868527677.6201</v>
      </c>
      <c r="W15" s="63">
        <v>1618451472507.73</v>
      </c>
      <c r="X15" s="63">
        <v>1641998959538.1699</v>
      </c>
      <c r="Y15" s="63">
        <v>1697336982423.4399</v>
      </c>
      <c r="Z15" s="63">
        <v>1694264533628.01</v>
      </c>
      <c r="AA15" s="63">
        <v>1702816980534.6201</v>
      </c>
      <c r="AB15" s="63">
        <v>1712170856306.8301</v>
      </c>
      <c r="AC15" s="63">
        <v>1722889372817.6899</v>
      </c>
      <c r="AD15" s="63">
        <v>1745719587398.8101</v>
      </c>
      <c r="AE15" s="63">
        <v>1759664377660.1699</v>
      </c>
      <c r="AF15" s="63">
        <v>1779501845683.1101</v>
      </c>
      <c r="AG15" s="63">
        <v>1800615748927.4199</v>
      </c>
      <c r="AH15" s="63">
        <v>1822653286646.8701</v>
      </c>
      <c r="AI15" s="63">
        <v>1838281138608.5801</v>
      </c>
      <c r="AJ15" s="63">
        <v>1860463588843.6499</v>
      </c>
      <c r="AK15" s="63">
        <v>1916923768368.6899</v>
      </c>
    </row>
    <row r="16" spans="1:37" x14ac:dyDescent="0.3">
      <c r="A16" s="17">
        <v>101800105003</v>
      </c>
      <c r="B16" s="11" t="s">
        <v>2348</v>
      </c>
      <c r="C16" s="63">
        <v>1223348329139.29</v>
      </c>
      <c r="D16" s="63">
        <v>1230899120512.45</v>
      </c>
      <c r="E16" s="63">
        <v>1243509736928.8101</v>
      </c>
      <c r="F16" s="63">
        <v>1250354502841.29</v>
      </c>
      <c r="G16" s="63">
        <v>1261467092224.6399</v>
      </c>
      <c r="H16" s="63">
        <v>1272392475450.3</v>
      </c>
      <c r="I16" s="63">
        <v>1283546119942.4199</v>
      </c>
      <c r="J16" s="63">
        <v>1291143338858.03</v>
      </c>
      <c r="K16" s="63">
        <v>1302161957943.5701</v>
      </c>
      <c r="L16" s="63">
        <v>1309954434071.7</v>
      </c>
      <c r="M16" s="63">
        <v>1320850086744.3201</v>
      </c>
      <c r="N16" s="63">
        <v>1331483883647.6699</v>
      </c>
      <c r="O16" s="63">
        <v>1335505681805.8799</v>
      </c>
      <c r="P16" s="63">
        <v>1343312008860.6001</v>
      </c>
      <c r="Q16" s="63">
        <v>1353455381236.97</v>
      </c>
      <c r="R16" s="63">
        <v>1359990396228.54</v>
      </c>
      <c r="S16" s="63">
        <v>1370592246346.8301</v>
      </c>
      <c r="T16" s="63">
        <v>1378853467616.5701</v>
      </c>
      <c r="U16" s="63">
        <v>1388396871076.3201</v>
      </c>
      <c r="V16" s="63">
        <v>1396539535806.1599</v>
      </c>
      <c r="W16" s="63">
        <v>1406113007745.3701</v>
      </c>
      <c r="X16" s="63">
        <v>1414351683731.3999</v>
      </c>
      <c r="Y16" s="63">
        <v>1424642289170.6699</v>
      </c>
      <c r="Z16" s="63">
        <v>1432357446078.77</v>
      </c>
      <c r="AA16" s="63">
        <v>1434821357524.6201</v>
      </c>
      <c r="AB16" s="63">
        <v>1439786294989.8201</v>
      </c>
      <c r="AC16" s="63">
        <v>1447391559126.1599</v>
      </c>
      <c r="AD16" s="63">
        <v>1452593804726.54</v>
      </c>
      <c r="AE16" s="63">
        <v>1461438415620.9099</v>
      </c>
      <c r="AF16" s="63">
        <v>1466522769248.3701</v>
      </c>
      <c r="AG16" s="63">
        <v>1475070114293.02</v>
      </c>
      <c r="AH16" s="63">
        <v>1481464690349.6201</v>
      </c>
      <c r="AI16" s="63">
        <v>1487702906451.4099</v>
      </c>
      <c r="AJ16" s="63">
        <v>1495855033900.9099</v>
      </c>
      <c r="AK16" s="63">
        <v>1504357017122.8201</v>
      </c>
    </row>
    <row r="17" spans="1:37" x14ac:dyDescent="0.3">
      <c r="A17" s="11" t="s">
        <v>333</v>
      </c>
      <c r="B17" s="11" t="s">
        <v>332</v>
      </c>
      <c r="C17" s="63">
        <v>4749686340461.4902</v>
      </c>
      <c r="D17" s="63">
        <v>4776725901241.9297</v>
      </c>
      <c r="E17" s="63">
        <v>4861548327262.6201</v>
      </c>
      <c r="F17" s="63">
        <v>4852481818265.8301</v>
      </c>
      <c r="G17" s="63">
        <v>4861719380395.2695</v>
      </c>
      <c r="H17" s="63">
        <v>4896123803634.5098</v>
      </c>
      <c r="I17" s="63">
        <v>4950662613929.5801</v>
      </c>
      <c r="J17" s="63">
        <v>4990546673434.2002</v>
      </c>
      <c r="K17" s="63">
        <v>4977174113939.1201</v>
      </c>
      <c r="L17" s="63">
        <v>5041477738111.0801</v>
      </c>
      <c r="M17" s="63">
        <v>5130858517384.2695</v>
      </c>
      <c r="N17" s="63">
        <v>5199431645178.6504</v>
      </c>
      <c r="O17" s="63">
        <v>5055640381197.8799</v>
      </c>
      <c r="P17" s="63">
        <v>5154517836695.0498</v>
      </c>
      <c r="Q17" s="63">
        <v>5238279346349.4697</v>
      </c>
      <c r="R17" s="63">
        <v>5162455567879.5195</v>
      </c>
      <c r="S17" s="63">
        <v>5257832980173.4297</v>
      </c>
      <c r="T17" s="63">
        <v>5382581482919.8496</v>
      </c>
      <c r="U17" s="63">
        <v>5318983053274.3398</v>
      </c>
      <c r="V17" s="63">
        <v>5393107819767.8301</v>
      </c>
      <c r="W17" s="63">
        <v>5369096217788.5898</v>
      </c>
      <c r="X17" s="63">
        <v>5448667796421.1299</v>
      </c>
      <c r="Y17" s="63">
        <v>5573488542853.0596</v>
      </c>
      <c r="Z17" s="63">
        <v>5731450106373.1201</v>
      </c>
      <c r="AA17" s="63">
        <v>5571347703070.8896</v>
      </c>
      <c r="AB17" s="63">
        <v>5651846161602.3701</v>
      </c>
      <c r="AC17" s="63">
        <v>5820609314869.0195</v>
      </c>
      <c r="AD17" s="63">
        <v>5746640747709.5303</v>
      </c>
      <c r="AE17" s="63">
        <v>5758614573634.7998</v>
      </c>
      <c r="AF17" s="63">
        <v>5823932944835.6104</v>
      </c>
      <c r="AG17" s="63">
        <v>5772683254018.6602</v>
      </c>
      <c r="AH17" s="63">
        <v>5797963289526.1104</v>
      </c>
      <c r="AI17" s="63">
        <v>5750728778600.9102</v>
      </c>
      <c r="AJ17" s="63">
        <v>5743091952993.4805</v>
      </c>
      <c r="AK17" s="63">
        <v>5932615623316.1904</v>
      </c>
    </row>
    <row r="18" spans="1:37" x14ac:dyDescent="0.3">
      <c r="A18" s="11" t="s">
        <v>331</v>
      </c>
      <c r="B18" s="11" t="s">
        <v>330</v>
      </c>
      <c r="C18" s="63">
        <v>4746627090387.0498</v>
      </c>
      <c r="D18" s="63">
        <v>4773909870370.6299</v>
      </c>
      <c r="E18" s="63">
        <v>4861066988742.4199</v>
      </c>
      <c r="F18" s="63">
        <v>4848800044253.7402</v>
      </c>
      <c r="G18" s="63">
        <v>4858223994035.9805</v>
      </c>
      <c r="H18" s="63">
        <v>4891475170003.9199</v>
      </c>
      <c r="I18" s="63">
        <v>4948106528368.3398</v>
      </c>
      <c r="J18" s="63">
        <v>4989463924934.5596</v>
      </c>
      <c r="K18" s="63">
        <v>4975502324194.2598</v>
      </c>
      <c r="L18" s="63">
        <v>5039511800253.4102</v>
      </c>
      <c r="M18" s="63">
        <v>5127861231784.5703</v>
      </c>
      <c r="N18" s="63">
        <v>5196777419598.5</v>
      </c>
      <c r="O18" s="63">
        <v>5053466018380.9697</v>
      </c>
      <c r="P18" s="63">
        <v>5153527247589.3604</v>
      </c>
      <c r="Q18" s="63">
        <v>5235808186620.5898</v>
      </c>
      <c r="R18" s="63">
        <v>5158267619539.1104</v>
      </c>
      <c r="S18" s="63">
        <v>5254828284886.3604</v>
      </c>
      <c r="T18" s="63">
        <v>5379031733510.79</v>
      </c>
      <c r="U18" s="63">
        <v>5316065243942.9697</v>
      </c>
      <c r="V18" s="63">
        <v>5388772693559.3799</v>
      </c>
      <c r="W18" s="63">
        <v>5364467346468.71</v>
      </c>
      <c r="X18" s="63">
        <v>5444268740636.9199</v>
      </c>
      <c r="Y18" s="63">
        <v>5569307258420.0498</v>
      </c>
      <c r="Z18" s="63">
        <v>5724655507023.6699</v>
      </c>
      <c r="AA18" s="63">
        <v>5568735724313.1504</v>
      </c>
      <c r="AB18" s="63">
        <v>5647318693817.04</v>
      </c>
      <c r="AC18" s="63">
        <v>5818382443581.54</v>
      </c>
      <c r="AD18" s="63">
        <v>5743416986198.0303</v>
      </c>
      <c r="AE18" s="63">
        <v>5755564012066.8496</v>
      </c>
      <c r="AF18" s="63">
        <v>5820818950821.5195</v>
      </c>
      <c r="AG18" s="63">
        <v>5769964930930.1699</v>
      </c>
      <c r="AH18" s="63">
        <v>5794950193137.21</v>
      </c>
      <c r="AI18" s="63">
        <v>5748599018994.8701</v>
      </c>
      <c r="AJ18" s="63">
        <v>5739352155792.5898</v>
      </c>
      <c r="AK18" s="63">
        <v>5928356546206.2002</v>
      </c>
    </row>
    <row r="19" spans="1:37" x14ac:dyDescent="0.3">
      <c r="A19" s="17">
        <v>2.002001030012E+16</v>
      </c>
      <c r="B19" s="11" t="s">
        <v>2343</v>
      </c>
      <c r="C19" s="63">
        <v>2406693209984.54</v>
      </c>
      <c r="D19" s="63">
        <v>2403166054571.6802</v>
      </c>
      <c r="E19" s="63">
        <v>2430210451315.6001</v>
      </c>
      <c r="F19" s="63">
        <v>2401939362826.0498</v>
      </c>
      <c r="G19" s="63">
        <v>2360503708439.3501</v>
      </c>
      <c r="H19" s="63">
        <v>2377885645084</v>
      </c>
      <c r="I19" s="63">
        <v>2331490591271.4702</v>
      </c>
      <c r="J19" s="63">
        <v>2330148974925.4502</v>
      </c>
      <c r="K19" s="63">
        <v>2320145864498.5298</v>
      </c>
      <c r="L19" s="63">
        <v>2315939159541.1001</v>
      </c>
      <c r="M19" s="63">
        <v>2395086990483.7002</v>
      </c>
      <c r="N19" s="63">
        <v>2527232985627.6802</v>
      </c>
      <c r="O19" s="63">
        <v>2386318211812.7402</v>
      </c>
      <c r="P19" s="63">
        <v>2388629543046.77</v>
      </c>
      <c r="Q19" s="63">
        <v>2455184402801.6602</v>
      </c>
      <c r="R19" s="63">
        <v>2375991586513.6401</v>
      </c>
      <c r="S19" s="63">
        <v>2405236445639.8301</v>
      </c>
      <c r="T19" s="63">
        <v>2467970018140.96</v>
      </c>
      <c r="U19" s="63">
        <v>2417462434366.8701</v>
      </c>
      <c r="V19" s="63">
        <v>2461450148017.1001</v>
      </c>
      <c r="W19" s="63">
        <v>2420441926394.4199</v>
      </c>
      <c r="X19" s="63">
        <v>2446286068505.4102</v>
      </c>
      <c r="Y19" s="63">
        <v>2564739318151.6499</v>
      </c>
      <c r="Z19" s="63">
        <v>2686671076319</v>
      </c>
      <c r="AA19" s="63">
        <v>2573375094025.2598</v>
      </c>
      <c r="AB19" s="63">
        <v>2565484567316.6299</v>
      </c>
      <c r="AC19" s="63">
        <v>2568796800174.4502</v>
      </c>
      <c r="AD19" s="63">
        <v>2581041961909.1899</v>
      </c>
      <c r="AE19" s="63">
        <v>2617410995141.5498</v>
      </c>
      <c r="AF19" s="63">
        <v>2631853184606.8198</v>
      </c>
      <c r="AG19" s="63">
        <v>2615364135058.5098</v>
      </c>
      <c r="AH19" s="63">
        <v>2616363390331.2202</v>
      </c>
      <c r="AI19" s="63">
        <v>2559892579345.1602</v>
      </c>
      <c r="AJ19" s="63">
        <v>2597218024061.3599</v>
      </c>
      <c r="AK19" s="63">
        <v>2755104026292.8999</v>
      </c>
    </row>
    <row r="20" spans="1:37" x14ac:dyDescent="0.3">
      <c r="A20" s="17">
        <v>2.002001030022E+16</v>
      </c>
      <c r="B20" s="11" t="s">
        <v>2344</v>
      </c>
      <c r="C20" s="63">
        <v>2339933880402.5098</v>
      </c>
      <c r="D20" s="63">
        <v>2370743815798.9502</v>
      </c>
      <c r="E20" s="63">
        <v>2430856537426.8198</v>
      </c>
      <c r="F20" s="63">
        <v>2446860681427.6899</v>
      </c>
      <c r="G20" s="63">
        <v>2497720285596.6299</v>
      </c>
      <c r="H20" s="63">
        <v>2513589524919.9199</v>
      </c>
      <c r="I20" s="63">
        <v>2616615937096.8701</v>
      </c>
      <c r="J20" s="63">
        <v>2659314950009.1099</v>
      </c>
      <c r="K20" s="63">
        <v>2655356459695.73</v>
      </c>
      <c r="L20" s="63">
        <v>2723572640712.3101</v>
      </c>
      <c r="M20" s="63">
        <v>2732774241300.8701</v>
      </c>
      <c r="N20" s="63">
        <v>2669544433970.8198</v>
      </c>
      <c r="O20" s="63">
        <v>2667147806568.23</v>
      </c>
      <c r="P20" s="63">
        <v>2764897704542.5898</v>
      </c>
      <c r="Q20" s="63">
        <v>2780623783818.9302</v>
      </c>
      <c r="R20" s="63">
        <v>2782276033025.4702</v>
      </c>
      <c r="S20" s="63">
        <v>2849591839246.5298</v>
      </c>
      <c r="T20" s="63">
        <v>2911061715369.8301</v>
      </c>
      <c r="U20" s="63">
        <v>2898602809576.1001</v>
      </c>
      <c r="V20" s="63">
        <v>2927322545542.2798</v>
      </c>
      <c r="W20" s="63">
        <v>2944025420074.29</v>
      </c>
      <c r="X20" s="63">
        <v>2997982672131.5098</v>
      </c>
      <c r="Y20" s="63">
        <v>3004567940268.3999</v>
      </c>
      <c r="Z20" s="63">
        <v>3037984430704.6699</v>
      </c>
      <c r="AA20" s="63">
        <v>2995360630287.8901</v>
      </c>
      <c r="AB20" s="63">
        <v>3081834126500.4102</v>
      </c>
      <c r="AC20" s="63">
        <v>3249585643407.0898</v>
      </c>
      <c r="AD20" s="63">
        <v>3162375024288.8398</v>
      </c>
      <c r="AE20" s="63">
        <v>3138153016925.2998</v>
      </c>
      <c r="AF20" s="63">
        <v>3188965766214.7002</v>
      </c>
      <c r="AG20" s="63">
        <v>3154600795871.6602</v>
      </c>
      <c r="AH20" s="63">
        <v>3178586802805.9902</v>
      </c>
      <c r="AI20" s="63">
        <v>3188706439649.71</v>
      </c>
      <c r="AJ20" s="63">
        <v>3142134131731.23</v>
      </c>
      <c r="AK20" s="63">
        <v>3173252519913.2998</v>
      </c>
    </row>
    <row r="21" spans="1:37" x14ac:dyDescent="0.3">
      <c r="A21" s="17">
        <v>2.002001020021E+16</v>
      </c>
      <c r="B21" s="11" t="s">
        <v>329</v>
      </c>
      <c r="C21" s="63">
        <v>2048116527931.1101</v>
      </c>
      <c r="D21" s="63">
        <v>2046285447897.9299</v>
      </c>
      <c r="E21" s="63">
        <v>2084595217844.24</v>
      </c>
      <c r="F21" s="63">
        <v>2120352562329.3101</v>
      </c>
      <c r="G21" s="63">
        <v>2137612099278.3101</v>
      </c>
      <c r="H21" s="63">
        <v>2151059115845.97</v>
      </c>
      <c r="I21" s="63">
        <v>2189166681068.1001</v>
      </c>
      <c r="J21" s="63">
        <v>2195534593030.8</v>
      </c>
      <c r="K21" s="63">
        <v>2249805296635.1899</v>
      </c>
      <c r="L21" s="63">
        <v>2266728713530.9902</v>
      </c>
      <c r="M21" s="63">
        <v>2308946211633.0898</v>
      </c>
      <c r="N21" s="63">
        <v>2273516511505.9399</v>
      </c>
      <c r="O21" s="63">
        <v>2368005748889.4102</v>
      </c>
      <c r="P21" s="63">
        <v>2360222100328.29</v>
      </c>
      <c r="Q21" s="63">
        <v>2294480475514.5698</v>
      </c>
      <c r="R21" s="63">
        <v>2330072993270.0498</v>
      </c>
      <c r="S21" s="63">
        <v>2347390804806.6001</v>
      </c>
      <c r="T21" s="63">
        <v>2301742100267.5601</v>
      </c>
      <c r="U21" s="63">
        <v>2378403485397.73</v>
      </c>
      <c r="V21" s="63">
        <v>2413434329786.7002</v>
      </c>
      <c r="W21" s="63">
        <v>2378009278791.0498</v>
      </c>
      <c r="X21" s="63">
        <v>2459194907846.6401</v>
      </c>
      <c r="Y21" s="63">
        <v>2533930827254.4199</v>
      </c>
      <c r="Z21" s="63">
        <v>2456435257874.0298</v>
      </c>
      <c r="AA21" s="63">
        <v>2534829301088.1699</v>
      </c>
      <c r="AB21" s="63">
        <v>2460023787577.1499</v>
      </c>
      <c r="AC21" s="63">
        <v>2472567157122.21</v>
      </c>
      <c r="AD21" s="63">
        <v>2502599342468.54</v>
      </c>
      <c r="AE21" s="63">
        <v>2538015671329.3599</v>
      </c>
      <c r="AF21" s="63">
        <v>2462031649630.2998</v>
      </c>
      <c r="AG21" s="63">
        <v>2576024260055.96</v>
      </c>
      <c r="AH21" s="63">
        <v>2609188905761.6299</v>
      </c>
      <c r="AI21" s="63">
        <v>2554594605223.46</v>
      </c>
      <c r="AJ21" s="63">
        <v>2632434560213.5098</v>
      </c>
      <c r="AK21" s="63">
        <v>2590545424310.8701</v>
      </c>
    </row>
    <row r="22" spans="1:37" x14ac:dyDescent="0.3">
      <c r="A22" s="17">
        <v>2.002001020022E+16</v>
      </c>
      <c r="B22" s="11" t="s">
        <v>328</v>
      </c>
      <c r="C22" s="63">
        <v>2048055700185.1101</v>
      </c>
      <c r="D22" s="63">
        <v>2046211608428.9299</v>
      </c>
      <c r="E22" s="63">
        <v>2084537730147.24</v>
      </c>
      <c r="F22" s="63">
        <v>2120268805088.3101</v>
      </c>
      <c r="G22" s="63">
        <v>2137586647704.3101</v>
      </c>
      <c r="H22" s="63">
        <v>2151023316530.97</v>
      </c>
      <c r="I22" s="63">
        <v>2189078158919.1001</v>
      </c>
      <c r="J22" s="63">
        <v>2195433574512.8</v>
      </c>
      <c r="K22" s="63">
        <v>2249670726567.1899</v>
      </c>
      <c r="L22" s="63">
        <v>2266643055581.9902</v>
      </c>
      <c r="M22" s="63">
        <v>2308849372320.0898</v>
      </c>
      <c r="N22" s="63">
        <v>2273460637236.9399</v>
      </c>
      <c r="O22" s="63">
        <v>2367837938441.4102</v>
      </c>
      <c r="P22" s="63">
        <v>2360131546350.29</v>
      </c>
      <c r="Q22" s="63">
        <v>2294343257165.5698</v>
      </c>
      <c r="R22" s="63">
        <v>2329978500696.0498</v>
      </c>
      <c r="S22" s="63">
        <v>2347241187020.6001</v>
      </c>
      <c r="T22" s="63">
        <v>2301585338217.5601</v>
      </c>
      <c r="U22" s="63">
        <v>2378276199180.73</v>
      </c>
      <c r="V22" s="63">
        <v>2413279981386.7002</v>
      </c>
      <c r="W22" s="63">
        <v>2377827130500.0498</v>
      </c>
      <c r="X22" s="63">
        <v>2459116825960.6401</v>
      </c>
      <c r="Y22" s="63">
        <v>2533853233184.4199</v>
      </c>
      <c r="Z22" s="63">
        <v>2456389849326.0298</v>
      </c>
      <c r="AA22" s="63">
        <v>2534785324829.1699</v>
      </c>
      <c r="AB22" s="63">
        <v>2459982446342.1499</v>
      </c>
      <c r="AC22" s="63">
        <v>2472521471939.21</v>
      </c>
      <c r="AD22" s="63">
        <v>2502546592248.54</v>
      </c>
      <c r="AE22" s="63">
        <v>2537979644539.3599</v>
      </c>
      <c r="AF22" s="63">
        <v>2461987924143.2998</v>
      </c>
      <c r="AG22" s="63">
        <v>2575986103408.96</v>
      </c>
      <c r="AH22" s="63">
        <v>2609065902779.6299</v>
      </c>
      <c r="AI22" s="63">
        <v>2554564286670.46</v>
      </c>
      <c r="AJ22" s="63">
        <v>2632403866597.5098</v>
      </c>
      <c r="AK22" s="63">
        <v>2590515091151.8701</v>
      </c>
    </row>
    <row r="23" spans="1:37" x14ac:dyDescent="0.3">
      <c r="A23" s="17">
        <v>2.002002030032E+16</v>
      </c>
      <c r="B23" s="11" t="s">
        <v>155</v>
      </c>
      <c r="C23" s="63">
        <v>1719197689461.5901</v>
      </c>
      <c r="D23" s="63">
        <v>1719624133792.6799</v>
      </c>
      <c r="E23" s="63">
        <v>1731828060381.3101</v>
      </c>
      <c r="F23" s="63">
        <v>1754795346017.71</v>
      </c>
      <c r="G23" s="63">
        <v>1773061211454.71</v>
      </c>
      <c r="H23" s="63">
        <v>1788312168338.8</v>
      </c>
      <c r="I23" s="63">
        <v>1817968885416.3301</v>
      </c>
      <c r="J23" s="63">
        <v>1842479312640.3401</v>
      </c>
      <c r="K23" s="63">
        <v>1904954489245.3201</v>
      </c>
      <c r="L23" s="63">
        <v>1924146945092.54</v>
      </c>
      <c r="M23" s="63">
        <v>1912732481440.74</v>
      </c>
      <c r="N23" s="63">
        <v>1924886160041.72</v>
      </c>
      <c r="O23" s="63">
        <v>1954476362572.1699</v>
      </c>
      <c r="P23" s="63">
        <v>1947663361814.0801</v>
      </c>
      <c r="Q23" s="63">
        <v>1946893720320.76</v>
      </c>
      <c r="R23" s="63">
        <v>1943872862182.3101</v>
      </c>
      <c r="S23" s="63">
        <v>1955342221776.8</v>
      </c>
      <c r="T23" s="63">
        <v>1964366530112.95</v>
      </c>
      <c r="U23" s="63">
        <v>1999333099979.1499</v>
      </c>
      <c r="V23" s="63">
        <v>2018226523912.24</v>
      </c>
      <c r="W23" s="63">
        <v>2034453962293.46</v>
      </c>
      <c r="X23" s="63">
        <v>2039858694741.51</v>
      </c>
      <c r="Y23" s="63">
        <v>2042100924795.1699</v>
      </c>
      <c r="Z23" s="63">
        <v>2063538686703.23</v>
      </c>
      <c r="AA23" s="63">
        <v>2073637941154.9099</v>
      </c>
      <c r="AB23" s="63">
        <v>2075914310979.3101</v>
      </c>
      <c r="AC23" s="63">
        <v>2076133410711.4299</v>
      </c>
      <c r="AD23" s="63">
        <v>2058134780177.1299</v>
      </c>
      <c r="AE23" s="63">
        <v>2080303902291.49</v>
      </c>
      <c r="AF23" s="63">
        <v>2063486898917.74</v>
      </c>
      <c r="AG23" s="63">
        <v>2091608505416.0801</v>
      </c>
      <c r="AH23" s="63">
        <v>2103129132510.71</v>
      </c>
      <c r="AI23" s="63">
        <v>2106292461346.1201</v>
      </c>
      <c r="AJ23" s="63">
        <v>2136496419014.74</v>
      </c>
      <c r="AK23" s="63">
        <v>2107578582440.54</v>
      </c>
    </row>
    <row r="24" spans="1:37" x14ac:dyDescent="0.3">
      <c r="A24" s="17">
        <v>2.002002030042E+16</v>
      </c>
      <c r="B24" s="11" t="s">
        <v>154</v>
      </c>
      <c r="C24" s="63">
        <v>328858010723.52002</v>
      </c>
      <c r="D24" s="63">
        <v>326587474636.25</v>
      </c>
      <c r="E24" s="63">
        <v>352709669765.92999</v>
      </c>
      <c r="F24" s="63">
        <v>365473459070.59998</v>
      </c>
      <c r="G24" s="63">
        <v>364525436249.59998</v>
      </c>
      <c r="H24" s="63">
        <v>362711148192.16998</v>
      </c>
      <c r="I24" s="63">
        <v>371109273502.77002</v>
      </c>
      <c r="J24" s="63">
        <v>352954261872.46002</v>
      </c>
      <c r="K24" s="63">
        <v>344716237321.87</v>
      </c>
      <c r="L24" s="63">
        <v>342496110489.45001</v>
      </c>
      <c r="M24" s="63">
        <v>396116890879.34998</v>
      </c>
      <c r="N24" s="63">
        <v>348574477195.21997</v>
      </c>
      <c r="O24" s="63">
        <v>413361575869.23999</v>
      </c>
      <c r="P24" s="63">
        <v>412468184536.21002</v>
      </c>
      <c r="Q24" s="63">
        <v>347449536844.81</v>
      </c>
      <c r="R24" s="63">
        <v>386105638513.73999</v>
      </c>
      <c r="S24" s="63">
        <v>391898965243.79999</v>
      </c>
      <c r="T24" s="63">
        <v>337218808104.60999</v>
      </c>
      <c r="U24" s="63">
        <v>378943099201.58002</v>
      </c>
      <c r="V24" s="63">
        <v>395053457474.46002</v>
      </c>
      <c r="W24" s="63">
        <v>343373168206.59003</v>
      </c>
      <c r="X24" s="63">
        <v>419258131219.13</v>
      </c>
      <c r="Y24" s="63">
        <v>491752308389.25</v>
      </c>
      <c r="Z24" s="63">
        <v>392851162622.79999</v>
      </c>
      <c r="AA24" s="63">
        <v>461147383674.26001</v>
      </c>
      <c r="AB24" s="63">
        <v>384068135362.84003</v>
      </c>
      <c r="AC24" s="63">
        <v>396388061227.78003</v>
      </c>
      <c r="AD24" s="63">
        <v>444411812071.40997</v>
      </c>
      <c r="AE24" s="63">
        <v>457675742247.87</v>
      </c>
      <c r="AF24" s="63">
        <v>398501025225.56</v>
      </c>
      <c r="AG24" s="63">
        <v>484377597992.88</v>
      </c>
      <c r="AH24" s="63">
        <v>505936770268.91998</v>
      </c>
      <c r="AI24" s="63">
        <v>448271825324.34003</v>
      </c>
      <c r="AJ24" s="63">
        <v>495907447582.77002</v>
      </c>
      <c r="AK24" s="63">
        <v>482936508711.33002</v>
      </c>
    </row>
    <row r="25" spans="1:37" x14ac:dyDescent="0.3">
      <c r="A25" s="11" t="s">
        <v>327</v>
      </c>
      <c r="B25" s="11" t="s">
        <v>326</v>
      </c>
      <c r="C25" s="63">
        <v>311129263554.87</v>
      </c>
      <c r="D25" s="63">
        <v>304736756250.75</v>
      </c>
      <c r="E25" s="63">
        <v>311841729703.79999</v>
      </c>
      <c r="F25" s="63">
        <v>310661134215.59003</v>
      </c>
      <c r="G25" s="63">
        <v>315609749620.44</v>
      </c>
      <c r="H25" s="63">
        <v>298708986532.73999</v>
      </c>
      <c r="I25" s="63">
        <v>314055200711</v>
      </c>
      <c r="J25" s="63">
        <v>316172920250.01001</v>
      </c>
      <c r="K25" s="63">
        <v>307885311283.20001</v>
      </c>
      <c r="L25" s="63">
        <v>308481832860.22998</v>
      </c>
      <c r="M25" s="63">
        <v>326282768240.94</v>
      </c>
      <c r="N25" s="63">
        <v>352054144432.65997</v>
      </c>
      <c r="O25" s="63">
        <v>302844373935.70001</v>
      </c>
      <c r="P25" s="63">
        <v>304491986981.65002</v>
      </c>
      <c r="Q25" s="63">
        <v>304481379522.82001</v>
      </c>
      <c r="R25" s="63">
        <v>296626687815.25</v>
      </c>
      <c r="S25" s="63">
        <v>297503864152.90997</v>
      </c>
      <c r="T25" s="63">
        <v>306401059775.23999</v>
      </c>
      <c r="U25" s="63">
        <v>299655677458.21002</v>
      </c>
      <c r="V25" s="63">
        <v>325938145599.95001</v>
      </c>
      <c r="W25" s="63">
        <v>331179556934.98999</v>
      </c>
      <c r="X25" s="63">
        <v>310979645682.81</v>
      </c>
      <c r="Y25" s="63">
        <v>409873390743.15002</v>
      </c>
      <c r="Z25" s="63">
        <v>401468467900.40002</v>
      </c>
      <c r="AA25" s="63">
        <v>403574435585.5</v>
      </c>
      <c r="AB25" s="63">
        <v>401179853500.59003</v>
      </c>
      <c r="AC25" s="63">
        <v>403158085539.09003</v>
      </c>
      <c r="AD25" s="63">
        <v>397354778195.92999</v>
      </c>
      <c r="AE25" s="63">
        <v>401193821260.29999</v>
      </c>
      <c r="AF25" s="63">
        <v>390273151983.27002</v>
      </c>
      <c r="AG25" s="63">
        <v>391230035787.35999</v>
      </c>
      <c r="AH25" s="63">
        <v>389540071612.84003</v>
      </c>
      <c r="AI25" s="63">
        <v>376214009738.22998</v>
      </c>
      <c r="AJ25" s="63">
        <v>375475656760.62</v>
      </c>
      <c r="AK25" s="63">
        <v>391285874019.03003</v>
      </c>
    </row>
    <row r="26" spans="1:37" x14ac:dyDescent="0.3">
      <c r="A26" s="11" t="s">
        <v>325</v>
      </c>
      <c r="B26" s="11" t="s">
        <v>324</v>
      </c>
      <c r="C26" s="63">
        <v>1481341475598.71</v>
      </c>
      <c r="D26" s="63">
        <v>1439559519416.24</v>
      </c>
      <c r="E26" s="63">
        <v>1367460538225.6599</v>
      </c>
      <c r="F26" s="63">
        <v>1512660068791.55</v>
      </c>
      <c r="G26" s="63">
        <v>1583813535044.1101</v>
      </c>
      <c r="H26" s="63">
        <v>1445937103187.3999</v>
      </c>
      <c r="I26" s="63">
        <v>1397470609231.01</v>
      </c>
      <c r="J26" s="63">
        <v>1399770713390.3701</v>
      </c>
      <c r="K26" s="63">
        <v>1436741628625.5</v>
      </c>
      <c r="L26" s="63">
        <v>1445389387550.45</v>
      </c>
      <c r="M26" s="63">
        <v>1423214009686.4299</v>
      </c>
      <c r="N26" s="63">
        <v>1395197294156.7</v>
      </c>
      <c r="O26" s="63">
        <v>1562877927287.99</v>
      </c>
      <c r="P26" s="63">
        <v>1617710509389.1201</v>
      </c>
      <c r="Q26" s="63">
        <v>1581200299059.76</v>
      </c>
      <c r="R26" s="63">
        <v>1638121627288.71</v>
      </c>
      <c r="S26" s="63">
        <v>1721223949608.1799</v>
      </c>
      <c r="T26" s="63">
        <v>1637381001561.0601</v>
      </c>
      <c r="U26" s="63">
        <v>1770985922237.73</v>
      </c>
      <c r="V26" s="63">
        <v>1833897932237.23</v>
      </c>
      <c r="W26" s="63">
        <v>1743506274826.1201</v>
      </c>
      <c r="X26" s="63">
        <v>1831645925709.45</v>
      </c>
      <c r="Y26" s="63">
        <v>1896720616905.48</v>
      </c>
      <c r="Z26" s="63">
        <v>1887335529460.74</v>
      </c>
      <c r="AA26" s="63">
        <v>1911767347838.28</v>
      </c>
      <c r="AB26" s="63">
        <v>1936020210559.74</v>
      </c>
      <c r="AC26" s="63">
        <v>1914940105140.28</v>
      </c>
      <c r="AD26" s="63">
        <v>2031709017572.0801</v>
      </c>
      <c r="AE26" s="63">
        <v>2161042845482.3</v>
      </c>
      <c r="AF26" s="63">
        <v>1968514829175.2</v>
      </c>
      <c r="AG26" s="63">
        <v>1961463681923.0601</v>
      </c>
      <c r="AH26" s="63">
        <v>1929587272087.6599</v>
      </c>
      <c r="AI26" s="63">
        <v>1893529746333.99</v>
      </c>
      <c r="AJ26" s="63">
        <v>1909744506713.8701</v>
      </c>
      <c r="AK26" s="63">
        <v>1964471879828.1001</v>
      </c>
    </row>
    <row r="27" spans="1:37" x14ac:dyDescent="0.3">
      <c r="A27" s="11" t="s">
        <v>323</v>
      </c>
      <c r="B27" s="11" t="s">
        <v>322</v>
      </c>
      <c r="C27" s="63">
        <v>11295274908247.801</v>
      </c>
      <c r="D27" s="63">
        <v>11491367100776.301</v>
      </c>
      <c r="E27" s="63">
        <v>11508803920096.1</v>
      </c>
      <c r="F27" s="63">
        <v>11656816052324.6</v>
      </c>
      <c r="G27" s="63">
        <v>11698645120345.4</v>
      </c>
      <c r="H27" s="63">
        <v>11410702243274.5</v>
      </c>
      <c r="I27" s="63">
        <v>11604101197766</v>
      </c>
      <c r="J27" s="63">
        <v>11642022268652.4</v>
      </c>
      <c r="K27" s="63">
        <v>11824200921931.199</v>
      </c>
      <c r="L27" s="63">
        <v>11925326947843.6</v>
      </c>
      <c r="M27" s="63">
        <v>12003990721915</v>
      </c>
      <c r="N27" s="63">
        <v>11785651450866</v>
      </c>
      <c r="O27" s="63">
        <v>12176241347288.4</v>
      </c>
      <c r="P27" s="63">
        <v>12205196574738</v>
      </c>
      <c r="Q27" s="63">
        <v>12253021716018.199</v>
      </c>
      <c r="R27" s="63">
        <v>12331203372951.301</v>
      </c>
      <c r="S27" s="63">
        <v>12368723199969</v>
      </c>
      <c r="T27" s="63">
        <v>12490542986666</v>
      </c>
      <c r="U27" s="63">
        <v>12662390127547.199</v>
      </c>
      <c r="V27" s="63">
        <v>12833342610246.301</v>
      </c>
      <c r="W27" s="63">
        <v>12611790693807.4</v>
      </c>
      <c r="X27" s="63">
        <v>13145101327497.5</v>
      </c>
      <c r="Y27" s="63">
        <v>13364888335274.301</v>
      </c>
      <c r="Z27" s="63">
        <v>13556798600669.5</v>
      </c>
      <c r="AA27" s="63">
        <v>13659117480223.199</v>
      </c>
      <c r="AB27" s="63">
        <v>13364370651165.9</v>
      </c>
      <c r="AC27" s="63">
        <v>13535326682738</v>
      </c>
      <c r="AD27" s="63">
        <v>13581162414599.5</v>
      </c>
      <c r="AE27" s="63">
        <v>13854189698466.801</v>
      </c>
      <c r="AF27" s="63">
        <v>13539791725597.301</v>
      </c>
      <c r="AG27" s="63">
        <v>13613273030135.4</v>
      </c>
      <c r="AH27" s="63">
        <v>13626474015807.301</v>
      </c>
      <c r="AI27" s="63">
        <v>13564454191443.6</v>
      </c>
      <c r="AJ27" s="63">
        <v>13812202129948.199</v>
      </c>
      <c r="AK27" s="63">
        <v>13802128727751.699</v>
      </c>
    </row>
    <row r="28" spans="1:37" x14ac:dyDescent="0.3">
      <c r="A28" s="11" t="s">
        <v>321</v>
      </c>
      <c r="B28" s="11" t="s">
        <v>320</v>
      </c>
      <c r="C28" s="63">
        <v>25354543560.599998</v>
      </c>
      <c r="D28" s="63">
        <v>43417974760.889999</v>
      </c>
      <c r="E28" s="63">
        <v>70292475689.639999</v>
      </c>
      <c r="F28" s="63">
        <v>92945583772.580002</v>
      </c>
      <c r="G28" s="63">
        <v>114750980811.47</v>
      </c>
      <c r="H28" s="63">
        <v>138913530327.04001</v>
      </c>
      <c r="I28" s="63">
        <v>157455108964.79001</v>
      </c>
      <c r="J28" s="63">
        <v>181309719965.01999</v>
      </c>
      <c r="K28" s="63">
        <v>205300908267.23001</v>
      </c>
      <c r="L28" s="63">
        <v>227616834591.13</v>
      </c>
      <c r="M28" s="63">
        <v>247869430121.73001</v>
      </c>
      <c r="N28" s="63">
        <v>272552880306.56</v>
      </c>
      <c r="O28" s="63">
        <v>27169197525.810001</v>
      </c>
      <c r="P28" s="63">
        <v>48820301737.629997</v>
      </c>
      <c r="Q28" s="63">
        <v>69128393881.770004</v>
      </c>
      <c r="R28" s="63">
        <v>92997477739.020004</v>
      </c>
      <c r="S28" s="63">
        <v>118089145685.82001</v>
      </c>
      <c r="T28" s="63">
        <v>144403990332.51001</v>
      </c>
      <c r="U28" s="63">
        <v>171290862206.57999</v>
      </c>
      <c r="V28" s="63">
        <v>195399109102.31</v>
      </c>
      <c r="W28" s="63">
        <v>222104659279.01001</v>
      </c>
      <c r="X28" s="63">
        <v>245087284861.88</v>
      </c>
      <c r="Y28" s="63">
        <v>267297019569.39001</v>
      </c>
      <c r="Z28" s="63">
        <v>289446935614.97998</v>
      </c>
      <c r="AA28" s="63">
        <v>27430042701.549999</v>
      </c>
      <c r="AB28" s="63">
        <v>50141611012.080002</v>
      </c>
      <c r="AC28" s="63">
        <v>76348297371.240005</v>
      </c>
      <c r="AD28" s="63">
        <v>100699573403.46001</v>
      </c>
      <c r="AE28" s="63">
        <v>126712792067.05</v>
      </c>
      <c r="AF28" s="63">
        <v>152787005260.23001</v>
      </c>
      <c r="AG28" s="63">
        <v>178693416421.35999</v>
      </c>
      <c r="AH28" s="63">
        <v>203410274255.70001</v>
      </c>
      <c r="AI28" s="63">
        <v>227023371673.70001</v>
      </c>
      <c r="AJ28" s="63">
        <v>251945065077.07999</v>
      </c>
      <c r="AK28" s="63">
        <v>278161765310.32001</v>
      </c>
    </row>
    <row r="29" spans="1:37" x14ac:dyDescent="0.3">
      <c r="A29" s="11" t="s">
        <v>319</v>
      </c>
      <c r="B29" s="11" t="s">
        <v>318</v>
      </c>
      <c r="C29" s="63">
        <v>1409997106580.3</v>
      </c>
      <c r="D29" s="63">
        <v>1420233559346.8999</v>
      </c>
      <c r="E29" s="63">
        <v>1437530229773.8701</v>
      </c>
      <c r="F29" s="63">
        <v>1444105235729.1799</v>
      </c>
      <c r="G29" s="63">
        <v>1463910693520.46</v>
      </c>
      <c r="H29" s="63">
        <v>1473315063385.26</v>
      </c>
      <c r="I29" s="63">
        <v>1481175845749.49</v>
      </c>
      <c r="J29" s="63">
        <v>1487344457594.21</v>
      </c>
      <c r="K29" s="63">
        <v>1498597354178.3101</v>
      </c>
      <c r="L29" s="63">
        <v>1500113123838.51</v>
      </c>
      <c r="M29" s="63">
        <v>1526961319418.98</v>
      </c>
      <c r="N29" s="63">
        <v>1503518914355.3701</v>
      </c>
      <c r="O29" s="63">
        <v>1533035892843.1101</v>
      </c>
      <c r="P29" s="63">
        <v>1554525446460.5901</v>
      </c>
      <c r="Q29" s="63">
        <v>1558376622578.9299</v>
      </c>
      <c r="R29" s="63">
        <v>1528080836927.6799</v>
      </c>
      <c r="S29" s="63">
        <v>1554815669363.0701</v>
      </c>
      <c r="T29" s="63">
        <v>1564877379043.6399</v>
      </c>
      <c r="U29" s="63">
        <v>1583790568719.6299</v>
      </c>
      <c r="V29" s="63">
        <v>1615570457079.3601</v>
      </c>
      <c r="W29" s="63">
        <v>1632275859368.55</v>
      </c>
      <c r="X29" s="63">
        <v>1648009056071.3701</v>
      </c>
      <c r="Y29" s="63">
        <v>1650899575118.98</v>
      </c>
      <c r="Z29" s="63">
        <v>1648732413707.8301</v>
      </c>
      <c r="AA29" s="63">
        <v>1682954499134.55</v>
      </c>
      <c r="AB29" s="63">
        <v>1714327524910.4399</v>
      </c>
      <c r="AC29" s="63">
        <v>1728482333226.74</v>
      </c>
      <c r="AD29" s="63">
        <v>1719343749664.1399</v>
      </c>
      <c r="AE29" s="63">
        <v>1739832030876.3101</v>
      </c>
      <c r="AF29" s="63">
        <v>1747967048161.3401</v>
      </c>
      <c r="AG29" s="63">
        <v>1771981248678.47</v>
      </c>
      <c r="AH29" s="63">
        <v>1800688018645.0701</v>
      </c>
      <c r="AI29" s="63">
        <v>1805599672206.77</v>
      </c>
      <c r="AJ29" s="63">
        <v>1831634431327.79</v>
      </c>
      <c r="AK29" s="63">
        <v>1817741635400.3601</v>
      </c>
    </row>
    <row r="30" spans="1:37" x14ac:dyDescent="0.3">
      <c r="A30" s="11" t="s">
        <v>317</v>
      </c>
      <c r="B30" s="11" t="s">
        <v>316</v>
      </c>
      <c r="C30" s="63">
        <v>1413579271825.8401</v>
      </c>
      <c r="D30" s="63">
        <v>1423836691635.8701</v>
      </c>
      <c r="E30" s="63">
        <v>1441151957571.8401</v>
      </c>
      <c r="F30" s="63">
        <v>1447555727283.8799</v>
      </c>
      <c r="G30" s="63">
        <v>1467392207955.7</v>
      </c>
      <c r="H30" s="63">
        <v>1476825410782.45</v>
      </c>
      <c r="I30" s="63">
        <v>1484715617796.6699</v>
      </c>
      <c r="J30" s="63">
        <v>1490920654692.52</v>
      </c>
      <c r="K30" s="63">
        <v>1502209052788.79</v>
      </c>
      <c r="L30" s="63">
        <v>1503783812018.5</v>
      </c>
      <c r="M30" s="63">
        <v>1530739044699.6599</v>
      </c>
      <c r="N30" s="63">
        <v>1506606634911.3899</v>
      </c>
      <c r="O30" s="63">
        <v>1535974962804.1499</v>
      </c>
      <c r="P30" s="63">
        <v>1557393893310.8799</v>
      </c>
      <c r="Q30" s="63">
        <v>1562958510210.54</v>
      </c>
      <c r="R30" s="63">
        <v>1532727569679.49</v>
      </c>
      <c r="S30" s="63">
        <v>1559531849083.2</v>
      </c>
      <c r="T30" s="63">
        <v>1569548752851.8501</v>
      </c>
      <c r="U30" s="63">
        <v>1588509503646.76</v>
      </c>
      <c r="V30" s="63">
        <v>1620356646111.1799</v>
      </c>
      <c r="W30" s="63">
        <v>1637104971804.4099</v>
      </c>
      <c r="X30" s="63">
        <v>1652901842780.5</v>
      </c>
      <c r="Y30" s="63">
        <v>1655930703327.77</v>
      </c>
      <c r="Z30" s="63">
        <v>1653776647925.3201</v>
      </c>
      <c r="AA30" s="63">
        <v>1685696480407.51</v>
      </c>
      <c r="AB30" s="63">
        <v>1717095457991.6699</v>
      </c>
      <c r="AC30" s="63">
        <v>1731230956069.99</v>
      </c>
      <c r="AD30" s="63">
        <v>1723266662890.6299</v>
      </c>
      <c r="AE30" s="63">
        <v>1743785544987.3401</v>
      </c>
      <c r="AF30" s="63">
        <v>1751973687004.1899</v>
      </c>
      <c r="AG30" s="63">
        <v>1775851148898.46</v>
      </c>
      <c r="AH30" s="63">
        <v>1804585806504.46</v>
      </c>
      <c r="AI30" s="63">
        <v>1809539112878.8501</v>
      </c>
      <c r="AJ30" s="63">
        <v>1835576200833.22</v>
      </c>
      <c r="AK30" s="63">
        <v>1821824917953.8501</v>
      </c>
    </row>
    <row r="31" spans="1:37" x14ac:dyDescent="0.3">
      <c r="A31" s="11" t="s">
        <v>315</v>
      </c>
      <c r="B31" s="11" t="s">
        <v>314</v>
      </c>
      <c r="C31" s="63">
        <v>2981250058373.5601</v>
      </c>
      <c r="D31" s="63">
        <v>3006937760096.1602</v>
      </c>
      <c r="E31" s="63">
        <v>2989565196156.1401</v>
      </c>
      <c r="F31" s="63">
        <v>2999505920176.02</v>
      </c>
      <c r="G31" s="63">
        <v>3042844379128.2402</v>
      </c>
      <c r="H31" s="63">
        <v>3076222727488.73</v>
      </c>
      <c r="I31" s="63">
        <v>3051596245538.4902</v>
      </c>
      <c r="J31" s="63">
        <v>3121584641733.5298</v>
      </c>
      <c r="K31" s="63">
        <v>3157863598445.7002</v>
      </c>
      <c r="L31" s="63">
        <v>3210286440891.73</v>
      </c>
      <c r="M31" s="63">
        <v>3195705076266.1001</v>
      </c>
      <c r="N31" s="63">
        <v>3218135326665.1802</v>
      </c>
      <c r="O31" s="63">
        <v>3257884823911.2998</v>
      </c>
      <c r="P31" s="63">
        <v>3279830068540.5698</v>
      </c>
      <c r="Q31" s="63">
        <v>3356810763183.7998</v>
      </c>
      <c r="R31" s="63">
        <v>3455697311423.1099</v>
      </c>
      <c r="S31" s="63">
        <v>3519004186018.3799</v>
      </c>
      <c r="T31" s="63">
        <v>3652997298095.2998</v>
      </c>
      <c r="U31" s="63">
        <v>3679781979603.9502</v>
      </c>
      <c r="V31" s="63">
        <v>3750024453786.6299</v>
      </c>
      <c r="W31" s="63">
        <v>3791091958413.6001</v>
      </c>
      <c r="X31" s="63">
        <v>3822728951936.5698</v>
      </c>
      <c r="Y31" s="63">
        <v>3859858262196.21</v>
      </c>
      <c r="Z31" s="63">
        <v>3878868763453.1499</v>
      </c>
      <c r="AA31" s="63">
        <v>3912252403143.1602</v>
      </c>
      <c r="AB31" s="63">
        <v>3894862478020.0601</v>
      </c>
      <c r="AC31" s="63">
        <v>3926993766820.3599</v>
      </c>
      <c r="AD31" s="63">
        <v>3951029202370.2402</v>
      </c>
      <c r="AE31" s="63">
        <v>3836468695210.9502</v>
      </c>
      <c r="AF31" s="63">
        <v>3858567656756.4102</v>
      </c>
      <c r="AG31" s="63">
        <v>3885816857103.7402</v>
      </c>
      <c r="AH31" s="63">
        <v>3942546986385.3999</v>
      </c>
      <c r="AI31" s="63">
        <v>3976031311369.9102</v>
      </c>
      <c r="AJ31" s="63">
        <v>4009265925945.4502</v>
      </c>
      <c r="AK31" s="63">
        <v>4021075769345.98</v>
      </c>
    </row>
    <row r="32" spans="1:37" x14ac:dyDescent="0.3">
      <c r="A32" s="11" t="s">
        <v>313</v>
      </c>
      <c r="B32" s="11" t="s">
        <v>312</v>
      </c>
      <c r="C32" s="15">
        <v>2.1151</v>
      </c>
      <c r="D32" s="15">
        <v>2.0973999999999999</v>
      </c>
      <c r="E32" s="15">
        <v>2.0897999999999999</v>
      </c>
      <c r="F32" s="15">
        <v>2.1040999999999999</v>
      </c>
      <c r="G32" s="15">
        <v>2.1652999999999998</v>
      </c>
      <c r="H32" s="15">
        <v>2.1844999999999999</v>
      </c>
      <c r="I32" s="15">
        <v>2.1878000000000002</v>
      </c>
      <c r="J32" s="15">
        <v>2.1429999999999998</v>
      </c>
      <c r="K32" s="15">
        <v>2.1539999999999999</v>
      </c>
      <c r="L32" s="15">
        <v>2.1917</v>
      </c>
      <c r="M32" s="15">
        <v>2.2014999999999998</v>
      </c>
      <c r="N32" s="15">
        <v>2.0790000000000002</v>
      </c>
      <c r="O32" s="15">
        <v>2.1097999999999999</v>
      </c>
      <c r="P32" s="15">
        <v>2.0891000000000002</v>
      </c>
      <c r="Q32" s="15">
        <v>2.0015000000000001</v>
      </c>
      <c r="R32" s="15">
        <v>2.0186000000000002</v>
      </c>
      <c r="S32" s="15">
        <v>2.0354000000000001</v>
      </c>
      <c r="T32" s="15">
        <v>1.9830000000000001</v>
      </c>
      <c r="U32" s="15">
        <v>2.0070999999999999</v>
      </c>
      <c r="V32" s="15">
        <v>2.0339999999999998</v>
      </c>
      <c r="W32" s="15">
        <v>2.0590000000000002</v>
      </c>
      <c r="X32" s="15">
        <v>2.0695999999999999</v>
      </c>
      <c r="Y32" s="15">
        <v>2.0497999999999998</v>
      </c>
      <c r="Z32" s="15">
        <v>2.0179999999999998</v>
      </c>
      <c r="AA32" s="15">
        <v>2.0152999999999999</v>
      </c>
      <c r="AB32" s="15">
        <v>2.0257000000000001</v>
      </c>
      <c r="AC32" s="15">
        <v>2.0026999999999999</v>
      </c>
      <c r="AD32" s="15">
        <v>2.0466000000000002</v>
      </c>
      <c r="AE32" s="15">
        <v>2.0764</v>
      </c>
      <c r="AF32" s="15">
        <v>2.1017000000000001</v>
      </c>
      <c r="AG32" s="15">
        <v>2.1255000000000002</v>
      </c>
      <c r="AH32" s="15">
        <v>2.1598000000000002</v>
      </c>
      <c r="AI32" s="15">
        <v>2.2481</v>
      </c>
      <c r="AJ32" s="15">
        <v>2.2650999999999999</v>
      </c>
      <c r="AK32" s="15">
        <v>2.2507000000000001</v>
      </c>
    </row>
    <row r="33" spans="1:37" x14ac:dyDescent="0.3">
      <c r="A33" s="11" t="s">
        <v>311</v>
      </c>
      <c r="B33" s="11" t="s">
        <v>310</v>
      </c>
      <c r="C33" s="15">
        <v>2.0710000000000002</v>
      </c>
      <c r="D33" s="15">
        <v>2.0527000000000002</v>
      </c>
      <c r="E33" s="15">
        <v>2.0488</v>
      </c>
      <c r="F33" s="15">
        <v>2.0634999999999999</v>
      </c>
      <c r="G33" s="15">
        <v>2.1214</v>
      </c>
      <c r="H33" s="15">
        <v>2.1334</v>
      </c>
      <c r="I33" s="15">
        <v>2.1331000000000002</v>
      </c>
      <c r="J33" s="15">
        <v>2.0880000000000001</v>
      </c>
      <c r="K33" s="15">
        <v>2.1009000000000002</v>
      </c>
      <c r="L33" s="15">
        <v>2.1408999999999998</v>
      </c>
      <c r="M33" s="15">
        <v>2.1515</v>
      </c>
      <c r="N33" s="15">
        <v>2.0215000000000001</v>
      </c>
      <c r="O33" s="15">
        <v>2.0497999999999998</v>
      </c>
      <c r="P33" s="15">
        <v>2.0289999999999999</v>
      </c>
      <c r="Q33" s="15">
        <v>1.9454</v>
      </c>
      <c r="R33" s="15">
        <v>1.9567000000000001</v>
      </c>
      <c r="S33" s="15">
        <v>1.9759</v>
      </c>
      <c r="T33" s="15">
        <v>1.9204000000000001</v>
      </c>
      <c r="U33" s="15">
        <v>1.9424999999999999</v>
      </c>
      <c r="V33" s="15">
        <v>1.9671000000000001</v>
      </c>
      <c r="W33" s="15">
        <v>1.9925999999999999</v>
      </c>
      <c r="X33" s="15">
        <v>2.0015999999999998</v>
      </c>
      <c r="Y33" s="15">
        <v>1.9927999999999999</v>
      </c>
      <c r="Z33" s="15">
        <v>1.9578</v>
      </c>
      <c r="AA33" s="15">
        <v>1.9490000000000001</v>
      </c>
      <c r="AB33" s="15">
        <v>1.9568000000000001</v>
      </c>
      <c r="AC33" s="15">
        <v>1.9367000000000001</v>
      </c>
      <c r="AD33" s="15">
        <v>1.9817</v>
      </c>
      <c r="AE33" s="15">
        <v>2.0084</v>
      </c>
      <c r="AF33" s="15">
        <v>2.0352000000000001</v>
      </c>
      <c r="AG33" s="15">
        <v>2.0575999999999999</v>
      </c>
      <c r="AH33" s="15">
        <v>2.0914000000000001</v>
      </c>
      <c r="AI33" s="15">
        <v>2.1798999999999999</v>
      </c>
      <c r="AJ33" s="15">
        <v>2.1966000000000001</v>
      </c>
      <c r="AK33" s="15">
        <v>2.1840999999999999</v>
      </c>
    </row>
    <row r="34" spans="1:37" x14ac:dyDescent="0.3">
      <c r="A34" s="11" t="s">
        <v>309</v>
      </c>
      <c r="B34" s="11" t="s">
        <v>308</v>
      </c>
      <c r="C34" s="15">
        <v>3.8513000000000002</v>
      </c>
      <c r="D34" s="15">
        <v>3.8418000000000001</v>
      </c>
      <c r="E34" s="15">
        <v>3.8342999999999998</v>
      </c>
      <c r="F34" s="15">
        <v>3.8540999999999999</v>
      </c>
      <c r="G34" s="15">
        <v>3.9418000000000002</v>
      </c>
      <c r="H34" s="15">
        <v>3.9883000000000002</v>
      </c>
      <c r="I34" s="15">
        <v>3.9843000000000002</v>
      </c>
      <c r="J34" s="15">
        <v>3.9649000000000001</v>
      </c>
      <c r="K34" s="15">
        <v>3.984</v>
      </c>
      <c r="L34" s="15">
        <v>4.0401999999999996</v>
      </c>
      <c r="M34" s="15">
        <v>4.0880000000000001</v>
      </c>
      <c r="N34" s="15">
        <v>4.0530999999999997</v>
      </c>
      <c r="O34" s="15">
        <v>4.1353999999999997</v>
      </c>
      <c r="P34" s="15">
        <v>4.1840999999999999</v>
      </c>
      <c r="Q34" s="15">
        <v>4.1159999999999997</v>
      </c>
      <c r="R34" s="15">
        <v>4.1654999999999998</v>
      </c>
      <c r="S34" s="15">
        <v>4.1829999999999998</v>
      </c>
      <c r="T34" s="15">
        <v>4.1313000000000004</v>
      </c>
      <c r="U34" s="15">
        <v>4.1669</v>
      </c>
      <c r="V34" s="15">
        <v>4.1684999999999999</v>
      </c>
      <c r="W34" s="15">
        <v>4.2237</v>
      </c>
      <c r="X34" s="15">
        <v>4.2362000000000002</v>
      </c>
      <c r="Y34" s="15">
        <v>4.1860999999999997</v>
      </c>
      <c r="Z34" s="15">
        <v>4.1341000000000001</v>
      </c>
      <c r="AA34" s="15">
        <v>4.1574</v>
      </c>
      <c r="AB34" s="15">
        <v>4.1527000000000003</v>
      </c>
      <c r="AC34" s="15">
        <v>4.1334999999999997</v>
      </c>
      <c r="AD34" s="15">
        <v>4.1787000000000001</v>
      </c>
      <c r="AE34" s="15">
        <v>4.2213000000000003</v>
      </c>
      <c r="AF34" s="15">
        <v>4.2876000000000003</v>
      </c>
      <c r="AG34" s="15">
        <v>4.3250999999999999</v>
      </c>
      <c r="AH34" s="15">
        <v>4.3848000000000003</v>
      </c>
      <c r="AI34" s="15">
        <v>4.4997999999999996</v>
      </c>
      <c r="AJ34" s="15">
        <v>4.5292000000000003</v>
      </c>
      <c r="AK34" s="15">
        <v>4.5223000000000004</v>
      </c>
    </row>
    <row r="35" spans="1:37" x14ac:dyDescent="0.3">
      <c r="A35" s="11" t="s">
        <v>307</v>
      </c>
      <c r="B35" s="11" t="s">
        <v>306</v>
      </c>
      <c r="C35" s="15">
        <v>3.5802</v>
      </c>
      <c r="D35" s="15">
        <v>3.5775000000000001</v>
      </c>
      <c r="E35" s="15">
        <v>3.5831</v>
      </c>
      <c r="F35" s="15">
        <v>3.6113</v>
      </c>
      <c r="G35" s="15">
        <v>3.7016</v>
      </c>
      <c r="H35" s="15">
        <v>3.746</v>
      </c>
      <c r="I35" s="15">
        <v>3.7465999999999999</v>
      </c>
      <c r="J35" s="15">
        <v>3.7334000000000001</v>
      </c>
      <c r="K35" s="15">
        <v>3.7563</v>
      </c>
      <c r="L35" s="15">
        <v>3.8203999999999998</v>
      </c>
      <c r="M35" s="15">
        <v>3.8635000000000002</v>
      </c>
      <c r="N35" s="15">
        <v>3.8365</v>
      </c>
      <c r="O35" s="15">
        <v>3.9115000000000002</v>
      </c>
      <c r="P35" s="15">
        <v>3.9582999999999999</v>
      </c>
      <c r="Q35" s="15">
        <v>3.8986999999999998</v>
      </c>
      <c r="R35" s="15">
        <v>3.9378000000000002</v>
      </c>
      <c r="S35" s="15">
        <v>3.9548000000000001</v>
      </c>
      <c r="T35" s="15">
        <v>3.8994</v>
      </c>
      <c r="U35" s="15">
        <v>3.9316</v>
      </c>
      <c r="V35" s="15">
        <v>3.9295</v>
      </c>
      <c r="W35" s="15">
        <v>3.9836</v>
      </c>
      <c r="X35" s="15">
        <v>3.9929999999999999</v>
      </c>
      <c r="Y35" s="15">
        <v>3.9626999999999999</v>
      </c>
      <c r="Z35" s="15">
        <v>3.9045000000000001</v>
      </c>
      <c r="AA35" s="15">
        <v>3.9125000000000001</v>
      </c>
      <c r="AB35" s="15">
        <v>3.9001999999999999</v>
      </c>
      <c r="AC35" s="15">
        <v>3.8826000000000001</v>
      </c>
      <c r="AD35" s="15">
        <v>3.9266000000000001</v>
      </c>
      <c r="AE35" s="15">
        <v>3.9634</v>
      </c>
      <c r="AF35" s="15">
        <v>4.0221999999999998</v>
      </c>
      <c r="AG35" s="15">
        <v>4.0529999999999999</v>
      </c>
      <c r="AH35" s="15">
        <v>4.1082000000000001</v>
      </c>
      <c r="AI35" s="15">
        <v>4.2180999999999997</v>
      </c>
      <c r="AJ35" s="15">
        <v>4.2449000000000003</v>
      </c>
      <c r="AK35" s="15">
        <v>4.2431999999999999</v>
      </c>
    </row>
    <row r="36" spans="1:37" x14ac:dyDescent="0.3">
      <c r="A36" s="11" t="s">
        <v>305</v>
      </c>
      <c r="B36" s="11" t="s">
        <v>304</v>
      </c>
      <c r="C36" s="15">
        <v>19.273700000000002</v>
      </c>
      <c r="D36" s="15">
        <v>19.2927</v>
      </c>
      <c r="E36" s="15">
        <v>19.304500000000001</v>
      </c>
      <c r="F36" s="15">
        <v>19.204799999999999</v>
      </c>
      <c r="G36" s="15">
        <v>19.372800000000002</v>
      </c>
      <c r="H36" s="15">
        <v>19.488099999999999</v>
      </c>
      <c r="I36" s="15">
        <v>19.377300000000002</v>
      </c>
      <c r="J36" s="15">
        <v>19.334199999999999</v>
      </c>
      <c r="K36" s="15">
        <v>19.304300000000001</v>
      </c>
      <c r="L36" s="15">
        <v>19.1722</v>
      </c>
      <c r="M36" s="15">
        <v>19.263300000000001</v>
      </c>
      <c r="N36" s="15">
        <v>18.8078</v>
      </c>
      <c r="O36" s="15">
        <v>19.55</v>
      </c>
      <c r="P36" s="15">
        <v>19.697900000000001</v>
      </c>
      <c r="Q36" s="15">
        <v>19.4909</v>
      </c>
      <c r="R36" s="15">
        <v>19.142399999999999</v>
      </c>
      <c r="S36" s="15">
        <v>19.3857</v>
      </c>
      <c r="T36" s="15">
        <v>19.292000000000002</v>
      </c>
      <c r="U36" s="15">
        <v>19.336099999999998</v>
      </c>
      <c r="V36" s="15">
        <v>19.436199999999999</v>
      </c>
      <c r="W36" s="15">
        <v>19.3858</v>
      </c>
      <c r="X36" s="15">
        <v>19.476400000000002</v>
      </c>
      <c r="Y36" s="15">
        <v>19.434899999999999</v>
      </c>
      <c r="Z36" s="15">
        <v>19.087499999999999</v>
      </c>
      <c r="AA36" s="15">
        <v>19.450199999999999</v>
      </c>
      <c r="AB36" s="15">
        <v>19.928799999999999</v>
      </c>
      <c r="AC36" s="15">
        <v>19.904599999999999</v>
      </c>
      <c r="AD36" s="15">
        <v>19.683399999999999</v>
      </c>
      <c r="AE36" s="15">
        <v>19.8233</v>
      </c>
      <c r="AF36" s="15">
        <v>20.000599999999999</v>
      </c>
      <c r="AG36" s="15">
        <v>20.241499999999998</v>
      </c>
      <c r="AH36" s="15">
        <v>20.314900000000002</v>
      </c>
      <c r="AI36" s="15">
        <v>20.379000000000001</v>
      </c>
      <c r="AJ36" s="15">
        <v>20.508900000000001</v>
      </c>
      <c r="AK36" s="15"/>
    </row>
    <row r="37" spans="1:37" x14ac:dyDescent="0.3">
      <c r="A37" s="11" t="s">
        <v>303</v>
      </c>
      <c r="B37" s="11" t="s">
        <v>302</v>
      </c>
      <c r="C37" s="15">
        <v>17.930299999999999</v>
      </c>
      <c r="D37" s="15">
        <v>17.974399999999999</v>
      </c>
      <c r="E37" s="15">
        <v>18.048999999999999</v>
      </c>
      <c r="F37" s="15">
        <v>17.954999999999998</v>
      </c>
      <c r="G37" s="15">
        <v>18.140699999999999</v>
      </c>
      <c r="H37" s="15">
        <v>18.103899999999999</v>
      </c>
      <c r="I37" s="15">
        <v>18.037400000000002</v>
      </c>
      <c r="J37" s="15">
        <v>17.9755</v>
      </c>
      <c r="K37" s="15">
        <v>17.9514</v>
      </c>
      <c r="L37" s="15">
        <v>17.851199999999999</v>
      </c>
      <c r="M37" s="15">
        <v>17.990300000000001</v>
      </c>
      <c r="N37" s="15">
        <v>17.480899999999998</v>
      </c>
      <c r="O37" s="15">
        <v>17.9955</v>
      </c>
      <c r="P37" s="15">
        <v>18.131599999999999</v>
      </c>
      <c r="Q37" s="15">
        <v>17.796800000000001</v>
      </c>
      <c r="R37" s="15">
        <v>17.395700000000001</v>
      </c>
      <c r="S37" s="15">
        <v>17.648099999999999</v>
      </c>
      <c r="T37" s="15">
        <v>17.481100000000001</v>
      </c>
      <c r="U37" s="15">
        <v>17.5093</v>
      </c>
      <c r="V37" s="15">
        <v>17.555700000000002</v>
      </c>
      <c r="W37" s="15">
        <v>17.399999999999999</v>
      </c>
      <c r="X37" s="15">
        <v>17.534099999999999</v>
      </c>
      <c r="Y37" s="15">
        <v>17.5929</v>
      </c>
      <c r="Z37" s="15">
        <v>17.2301</v>
      </c>
      <c r="AA37" s="15">
        <v>17.6052</v>
      </c>
      <c r="AB37" s="15">
        <v>17.863299999999999</v>
      </c>
      <c r="AC37" s="15">
        <v>17.876200000000001</v>
      </c>
      <c r="AD37" s="15">
        <v>17.7605</v>
      </c>
      <c r="AE37" s="15">
        <v>17.914999999999999</v>
      </c>
      <c r="AF37" s="15">
        <v>17.9131</v>
      </c>
      <c r="AG37" s="15">
        <v>18.1448</v>
      </c>
      <c r="AH37" s="15">
        <v>18.273199999999999</v>
      </c>
      <c r="AI37" s="15">
        <v>18.375900000000001</v>
      </c>
      <c r="AJ37" s="15">
        <v>18.483899999999998</v>
      </c>
      <c r="AK37" s="15"/>
    </row>
    <row r="38" spans="1:37" x14ac:dyDescent="0.3">
      <c r="A38" s="11" t="s">
        <v>301</v>
      </c>
      <c r="B38" s="11" t="s">
        <v>300</v>
      </c>
      <c r="C38" s="63">
        <v>1390235583194.5</v>
      </c>
      <c r="D38" s="63">
        <v>1392079485362</v>
      </c>
      <c r="E38" s="63">
        <v>1407877232030.3999</v>
      </c>
      <c r="F38" s="63">
        <v>1411123421536.2</v>
      </c>
      <c r="G38" s="63">
        <v>1428603021131.7</v>
      </c>
      <c r="H38" s="63">
        <v>1441986780961.3</v>
      </c>
      <c r="I38" s="63">
        <v>1447768629631.7</v>
      </c>
      <c r="J38" s="63">
        <v>1453364607716</v>
      </c>
      <c r="K38" s="63">
        <v>1466383053155</v>
      </c>
      <c r="L38" s="63">
        <v>1468931885689.3999</v>
      </c>
      <c r="M38" s="63">
        <v>1494278528850.7</v>
      </c>
      <c r="N38" s="63">
        <v>1464285499784.3</v>
      </c>
      <c r="O38" s="63">
        <v>1508049794879.1499</v>
      </c>
      <c r="P38" s="63">
        <v>1532886046504.23</v>
      </c>
      <c r="Q38" s="63">
        <v>1533806473254.21</v>
      </c>
      <c r="R38" s="63">
        <v>1507823786651.6399</v>
      </c>
      <c r="S38" s="63">
        <v>1531914873208.04</v>
      </c>
      <c r="T38" s="63">
        <v>1545953602442.3701</v>
      </c>
      <c r="U38" s="63">
        <v>1568054514366.47</v>
      </c>
      <c r="V38" s="63">
        <v>1610836200772.6399</v>
      </c>
      <c r="W38" s="63">
        <v>1616427938742.3501</v>
      </c>
      <c r="X38" s="63">
        <v>1636314310761.5601</v>
      </c>
      <c r="Y38" s="63">
        <v>1670708385715.3201</v>
      </c>
      <c r="Z38" s="63">
        <v>1665825737151.1101</v>
      </c>
      <c r="AA38" s="63">
        <v>1701408949935.29</v>
      </c>
      <c r="AB38" s="63">
        <v>1750588488493.2</v>
      </c>
      <c r="AC38" s="63">
        <v>1759796089172.21</v>
      </c>
      <c r="AD38" s="63">
        <v>1735964109036.28</v>
      </c>
      <c r="AE38" s="63">
        <v>1754572548731.49</v>
      </c>
      <c r="AF38" s="63">
        <v>1776450559441.23</v>
      </c>
      <c r="AG38" s="63">
        <v>1801932772267.55</v>
      </c>
      <c r="AH38" s="63">
        <v>1824030370661.27</v>
      </c>
      <c r="AI38" s="63">
        <v>1827636270638.1001</v>
      </c>
      <c r="AJ38" s="63">
        <v>1852466937443.05</v>
      </c>
      <c r="AK38" s="63"/>
    </row>
    <row r="39" spans="1:37" x14ac:dyDescent="0.3">
      <c r="A39" s="11" t="s">
        <v>299</v>
      </c>
      <c r="B39" s="11" t="s">
        <v>298</v>
      </c>
      <c r="C39" s="63">
        <v>1293337782723.5</v>
      </c>
      <c r="D39" s="63">
        <v>1296998916628</v>
      </c>
      <c r="E39" s="63">
        <v>1316309283017.3999</v>
      </c>
      <c r="F39" s="63">
        <v>1319338402313.2</v>
      </c>
      <c r="G39" s="63">
        <v>1337748197298.7</v>
      </c>
      <c r="H39" s="63">
        <v>1339565251569.7</v>
      </c>
      <c r="I39" s="63">
        <v>1347656416763.5</v>
      </c>
      <c r="J39" s="63">
        <v>1351233629474.3</v>
      </c>
      <c r="K39" s="63">
        <v>1363610239700.6001</v>
      </c>
      <c r="L39" s="63">
        <v>1367724415333.8</v>
      </c>
      <c r="M39" s="63">
        <v>1395526418108.6001</v>
      </c>
      <c r="N39" s="63">
        <v>1360976683701.8999</v>
      </c>
      <c r="O39" s="63">
        <v>1388143001956.6001</v>
      </c>
      <c r="P39" s="63">
        <v>1411002395775.3999</v>
      </c>
      <c r="Q39" s="63">
        <v>1400487377813.5</v>
      </c>
      <c r="R39" s="63">
        <v>1370238437675.95</v>
      </c>
      <c r="S39" s="63">
        <v>1394602446159.6001</v>
      </c>
      <c r="T39" s="63">
        <v>1400842114597.1499</v>
      </c>
      <c r="U39" s="63">
        <v>1419909356360.3</v>
      </c>
      <c r="V39" s="63">
        <v>1454981566880.95</v>
      </c>
      <c r="W39" s="63">
        <v>1450847001866.5</v>
      </c>
      <c r="X39" s="63">
        <v>1473130510223.45</v>
      </c>
      <c r="Y39" s="63">
        <v>1512363735647.45</v>
      </c>
      <c r="Z39" s="63">
        <v>1503725759124.95</v>
      </c>
      <c r="AA39" s="63">
        <v>1540018025987.6201</v>
      </c>
      <c r="AB39" s="63">
        <v>1569150168537.1799</v>
      </c>
      <c r="AC39" s="63">
        <v>1580467845243.1001</v>
      </c>
      <c r="AD39" s="63">
        <v>1566373504690.2</v>
      </c>
      <c r="AE39" s="63">
        <v>1585664445726.77</v>
      </c>
      <c r="AF39" s="63">
        <v>1591038725204.73</v>
      </c>
      <c r="AG39" s="63">
        <v>1615280864669.3</v>
      </c>
      <c r="AH39" s="63">
        <v>1640706107944.02</v>
      </c>
      <c r="AI39" s="63">
        <v>1647991185411.8501</v>
      </c>
      <c r="AJ39" s="63">
        <v>1669566382923.3</v>
      </c>
      <c r="AK39" s="63"/>
    </row>
    <row r="40" spans="1:37" x14ac:dyDescent="0.3">
      <c r="A40" s="11" t="s">
        <v>297</v>
      </c>
      <c r="B40" s="11" t="s">
        <v>296</v>
      </c>
      <c r="C40" s="63">
        <v>7213126272943.5</v>
      </c>
      <c r="D40" s="63">
        <v>7217357498777.0996</v>
      </c>
      <c r="E40" s="63">
        <v>7292984387971.9004</v>
      </c>
      <c r="F40" s="63">
        <v>7348233376506.0996</v>
      </c>
      <c r="G40" s="63">
        <v>7374287406787.2998</v>
      </c>
      <c r="H40" s="63">
        <v>7399325926002.0996</v>
      </c>
      <c r="I40" s="63">
        <v>7471468278537</v>
      </c>
      <c r="J40" s="63">
        <v>7517079659250.0996</v>
      </c>
      <c r="K40" s="63">
        <v>7596142290924.2002</v>
      </c>
      <c r="L40" s="63">
        <v>7661791016614.9004</v>
      </c>
      <c r="M40" s="63">
        <v>7757109812893.5</v>
      </c>
      <c r="N40" s="63">
        <v>7785512798646.5</v>
      </c>
      <c r="O40" s="63">
        <v>7713830284081.1602</v>
      </c>
      <c r="P40" s="63">
        <v>7781996851117.0303</v>
      </c>
      <c r="Q40" s="63">
        <v>7869335339422.6504</v>
      </c>
      <c r="R40" s="63">
        <v>7876895396667.7598</v>
      </c>
      <c r="S40" s="63">
        <v>7902283896215.5596</v>
      </c>
      <c r="T40" s="63">
        <v>8013453290184.1602</v>
      </c>
      <c r="U40" s="63">
        <v>8109468173920.7402</v>
      </c>
      <c r="V40" s="63">
        <v>8287814153065.4502</v>
      </c>
      <c r="W40" s="63">
        <v>8338205056451.2197</v>
      </c>
      <c r="X40" s="63">
        <v>8401523804835.1396</v>
      </c>
      <c r="Y40" s="63">
        <v>8596447974844.7598</v>
      </c>
      <c r="Z40" s="63">
        <v>8727313560165.2402</v>
      </c>
      <c r="AA40" s="63">
        <v>8747531126143.6504</v>
      </c>
      <c r="AB40" s="63">
        <v>8784230821294.5996</v>
      </c>
      <c r="AC40" s="63">
        <v>8841163451739.25</v>
      </c>
      <c r="AD40" s="63">
        <v>8819448021725.8594</v>
      </c>
      <c r="AE40" s="63">
        <v>8851068604243.5391</v>
      </c>
      <c r="AF40" s="63">
        <v>8881978245342.0703</v>
      </c>
      <c r="AG40" s="63">
        <v>8902174075577.3906</v>
      </c>
      <c r="AH40" s="63">
        <v>8978780714803.1992</v>
      </c>
      <c r="AI40" s="63">
        <v>8968232094212.7402</v>
      </c>
      <c r="AJ40" s="63">
        <v>9032526932857.2793</v>
      </c>
      <c r="AK40" s="63"/>
    </row>
    <row r="41" spans="1:37" x14ac:dyDescent="0.3">
      <c r="A41" s="11" t="s">
        <v>295</v>
      </c>
      <c r="B41" s="11" t="s">
        <v>294</v>
      </c>
      <c r="C41" s="63">
        <v>4989264515611.7002</v>
      </c>
      <c r="D41" s="63">
        <v>4999926506689.5996</v>
      </c>
      <c r="E41" s="63">
        <v>5064349075057.9004</v>
      </c>
      <c r="F41" s="63">
        <v>5089911412075.0996</v>
      </c>
      <c r="G41" s="63">
        <v>5100879221633.4004</v>
      </c>
      <c r="H41" s="63">
        <v>5114430913872.5996</v>
      </c>
      <c r="I41" s="63">
        <v>5159874297815.2002</v>
      </c>
      <c r="J41" s="63">
        <v>5152008641099.7998</v>
      </c>
      <c r="K41" s="63">
        <v>5224043830051</v>
      </c>
      <c r="L41" s="63">
        <v>5263385848047.5996</v>
      </c>
      <c r="M41" s="63">
        <v>5358157010916.2002</v>
      </c>
      <c r="N41" s="63">
        <v>5393884435027.2998</v>
      </c>
      <c r="O41" s="63">
        <v>5355121425748.3398</v>
      </c>
      <c r="P41" s="63">
        <v>5365594288639.7197</v>
      </c>
      <c r="Q41" s="63">
        <v>5432897752437.0498</v>
      </c>
      <c r="R41" s="63">
        <v>5452234648571.21</v>
      </c>
      <c r="S41" s="63">
        <v>5485658415981.7197</v>
      </c>
      <c r="T41" s="63">
        <v>5619431679367.8203</v>
      </c>
      <c r="U41" s="63">
        <v>5665509097297.2695</v>
      </c>
      <c r="V41" s="63">
        <v>5805117168439.4805</v>
      </c>
      <c r="W41" s="63">
        <v>5826519887411.8604</v>
      </c>
      <c r="X41" s="63">
        <v>5877291809775.54</v>
      </c>
      <c r="Y41" s="63">
        <v>6046168937972.9404</v>
      </c>
      <c r="Z41" s="63">
        <v>6134525456083.6201</v>
      </c>
      <c r="AA41" s="63">
        <v>6116711903914.1201</v>
      </c>
      <c r="AB41" s="63">
        <v>6122602678704.8604</v>
      </c>
      <c r="AC41" s="63">
        <v>6189812440659.5498</v>
      </c>
      <c r="AD41" s="63">
        <v>6169912332224.7197</v>
      </c>
      <c r="AE41" s="63">
        <v>6185849634649.3701</v>
      </c>
      <c r="AF41" s="63">
        <v>6186188673973.6104</v>
      </c>
      <c r="AG41" s="63">
        <v>6181289272173.5596</v>
      </c>
      <c r="AH41" s="63">
        <v>6269648177302.8096</v>
      </c>
      <c r="AI41" s="63">
        <v>6270783501480.6299</v>
      </c>
      <c r="AJ41" s="63">
        <v>6296036938593.7803</v>
      </c>
      <c r="AK41" s="63"/>
    </row>
    <row r="42" spans="1:37" x14ac:dyDescent="0.3">
      <c r="A42" s="11" t="s">
        <v>293</v>
      </c>
      <c r="B42" s="11" t="s">
        <v>292</v>
      </c>
      <c r="C42" s="63">
        <v>1332404721645.5901</v>
      </c>
      <c r="D42" s="63">
        <v>1325413800219.01</v>
      </c>
      <c r="E42" s="63">
        <v>1338740074681.3301</v>
      </c>
      <c r="F42" s="63">
        <v>1360293834774.1799</v>
      </c>
      <c r="G42" s="63">
        <v>1373360965950.1699</v>
      </c>
      <c r="H42" s="63">
        <v>1380089649281.5801</v>
      </c>
      <c r="I42" s="63">
        <v>1402983053526.48</v>
      </c>
      <c r="J42" s="63">
        <v>1446780932028.04</v>
      </c>
      <c r="K42" s="63">
        <v>1454963130125.6699</v>
      </c>
      <c r="L42" s="63">
        <v>1470352910552.7</v>
      </c>
      <c r="M42" s="63">
        <v>1464955537306.5</v>
      </c>
      <c r="N42" s="63">
        <v>1449022181011.28</v>
      </c>
      <c r="O42" s="63">
        <v>1407099685465.9199</v>
      </c>
      <c r="P42" s="63">
        <v>1446774786299.48</v>
      </c>
      <c r="Q42" s="63">
        <v>1464737584459.1201</v>
      </c>
      <c r="R42" s="63">
        <v>1451239839521.8201</v>
      </c>
      <c r="S42" s="63">
        <v>1434691420145.95</v>
      </c>
      <c r="T42" s="63">
        <v>1402734762974.0601</v>
      </c>
      <c r="U42" s="63">
        <v>1446394755033.26</v>
      </c>
      <c r="V42" s="63">
        <v>1474209662130.8999</v>
      </c>
      <c r="W42" s="63">
        <v>1493942630833.25</v>
      </c>
      <c r="X42" s="63">
        <v>1494505415447.6799</v>
      </c>
      <c r="Y42" s="63">
        <v>1516747521700.51</v>
      </c>
      <c r="Z42" s="63">
        <v>1561414276404.5801</v>
      </c>
      <c r="AA42" s="63">
        <v>1594183794887.71</v>
      </c>
      <c r="AB42" s="63">
        <v>1606203974973.45</v>
      </c>
      <c r="AC42" s="63">
        <v>1604100203011.21</v>
      </c>
      <c r="AD42" s="63">
        <v>1594436457852.6101</v>
      </c>
      <c r="AE42" s="63">
        <v>1610973037103.03</v>
      </c>
      <c r="AF42" s="63">
        <v>1634759623091.04</v>
      </c>
      <c r="AG42" s="63">
        <v>1652649292228.1699</v>
      </c>
      <c r="AH42" s="63">
        <v>1633677723684.3999</v>
      </c>
      <c r="AI42" s="63">
        <v>1615575181726.74</v>
      </c>
      <c r="AJ42" s="63">
        <v>1656775874638.24</v>
      </c>
      <c r="AK42" s="63"/>
    </row>
    <row r="43" spans="1:37" x14ac:dyDescent="0.3">
      <c r="A43" s="11" t="s">
        <v>291</v>
      </c>
      <c r="B43" s="11" t="s">
        <v>290</v>
      </c>
      <c r="C43" s="63">
        <v>891457035043.78003</v>
      </c>
      <c r="D43" s="63">
        <v>892017190762.19995</v>
      </c>
      <c r="E43" s="63">
        <v>889895237867.02002</v>
      </c>
      <c r="F43" s="63">
        <v>898028129339.12</v>
      </c>
      <c r="G43" s="63">
        <v>900047219052.31006</v>
      </c>
      <c r="H43" s="63">
        <v>904805363000.97998</v>
      </c>
      <c r="I43" s="63">
        <v>908610926781.92004</v>
      </c>
      <c r="J43" s="63">
        <v>918290086582.75</v>
      </c>
      <c r="K43" s="63">
        <v>917135331332.29004</v>
      </c>
      <c r="L43" s="63">
        <v>928052258113.76001</v>
      </c>
      <c r="M43" s="63">
        <v>933997264416.47998</v>
      </c>
      <c r="N43" s="63">
        <v>942606182626.39001</v>
      </c>
      <c r="O43" s="63">
        <v>951609172866.90601</v>
      </c>
      <c r="P43" s="63">
        <v>969627776177.82898</v>
      </c>
      <c r="Q43" s="63">
        <v>971700002526.47595</v>
      </c>
      <c r="R43" s="63">
        <v>973420908574.72595</v>
      </c>
      <c r="S43" s="63">
        <v>981934060087.89502</v>
      </c>
      <c r="T43" s="63">
        <v>991286847842.28503</v>
      </c>
      <c r="U43" s="63">
        <v>997564321590.21594</v>
      </c>
      <c r="V43" s="63">
        <v>1008487322495.0699</v>
      </c>
      <c r="W43" s="63">
        <v>1017742538206.11</v>
      </c>
      <c r="X43" s="63">
        <v>1029726579611.92</v>
      </c>
      <c r="Y43" s="63">
        <v>1033531515171.3101</v>
      </c>
      <c r="Z43" s="63">
        <v>1031373827677.04</v>
      </c>
      <c r="AA43" s="63">
        <v>1036635427341.8199</v>
      </c>
      <c r="AB43" s="63">
        <v>1055424167616.3</v>
      </c>
      <c r="AC43" s="63">
        <v>1047250808068.49</v>
      </c>
      <c r="AD43" s="63">
        <v>1055099231648.54</v>
      </c>
      <c r="AE43" s="63">
        <v>1054245932491.13</v>
      </c>
      <c r="AF43" s="63">
        <v>1061029948277.42</v>
      </c>
      <c r="AG43" s="63">
        <v>1068235511175.65</v>
      </c>
      <c r="AH43" s="63">
        <v>1075454813815.99</v>
      </c>
      <c r="AI43" s="63">
        <v>1081873411005.36</v>
      </c>
      <c r="AJ43" s="63">
        <v>1079714119625.26</v>
      </c>
      <c r="AK43" s="63"/>
    </row>
    <row r="44" spans="1:37" x14ac:dyDescent="0.3">
      <c r="A44" s="11" t="s">
        <v>289</v>
      </c>
      <c r="B44" s="11" t="s">
        <v>288</v>
      </c>
      <c r="C44" s="15">
        <v>10.67</v>
      </c>
      <c r="D44" s="15">
        <v>10.42</v>
      </c>
      <c r="E44" s="15">
        <v>11.234999999999999</v>
      </c>
      <c r="F44" s="15">
        <v>10.8</v>
      </c>
      <c r="G44" s="15">
        <v>10.824999999999999</v>
      </c>
      <c r="H44" s="15">
        <v>11.79</v>
      </c>
      <c r="I44" s="15">
        <v>10.93</v>
      </c>
      <c r="J44" s="15">
        <v>11.01</v>
      </c>
      <c r="K44" s="15">
        <v>11.63</v>
      </c>
      <c r="L44" s="15">
        <v>11.15</v>
      </c>
      <c r="M44" s="15">
        <v>11.24</v>
      </c>
      <c r="N44" s="15">
        <v>11.13</v>
      </c>
      <c r="O44" s="64">
        <v>11.154999999999999</v>
      </c>
      <c r="P44" s="64">
        <v>10.89</v>
      </c>
      <c r="Q44" s="64">
        <v>11.25</v>
      </c>
      <c r="R44" s="64">
        <v>11.205</v>
      </c>
      <c r="S44" s="64">
        <v>11.16</v>
      </c>
      <c r="T44" s="64">
        <v>10.664999999999999</v>
      </c>
      <c r="U44" s="64">
        <v>10.605</v>
      </c>
      <c r="V44" s="64">
        <v>10.455</v>
      </c>
      <c r="W44" s="64">
        <v>10.654999999999999</v>
      </c>
      <c r="X44" s="64">
        <v>10.285</v>
      </c>
      <c r="Y44" s="64">
        <v>10.51</v>
      </c>
      <c r="Z44" s="15">
        <v>10.96</v>
      </c>
      <c r="AA44" s="15">
        <v>10.47</v>
      </c>
      <c r="AB44" s="15">
        <v>10.914999999999999</v>
      </c>
      <c r="AC44" s="15">
        <v>10.88</v>
      </c>
      <c r="AD44" s="15">
        <v>10.734999999999999</v>
      </c>
      <c r="AE44" s="15">
        <v>10.795</v>
      </c>
      <c r="AF44" s="15">
        <v>11.42</v>
      </c>
      <c r="AG44" s="15">
        <v>10.69</v>
      </c>
      <c r="AH44" s="15"/>
      <c r="AI44" s="15">
        <v>11.11</v>
      </c>
      <c r="AJ44" s="15">
        <v>10.99</v>
      </c>
      <c r="AK44" s="15"/>
    </row>
    <row r="45" spans="1:37" x14ac:dyDescent="0.3">
      <c r="A45" s="11" t="s">
        <v>287</v>
      </c>
      <c r="B45" s="11" t="s">
        <v>286</v>
      </c>
      <c r="C45" s="63">
        <v>12624384953863.301</v>
      </c>
      <c r="D45" s="63">
        <v>12640739704393.801</v>
      </c>
      <c r="E45" s="63">
        <v>12711193147297.301</v>
      </c>
      <c r="F45" s="63">
        <v>12890221257790</v>
      </c>
      <c r="G45" s="63">
        <v>13072740491948.6</v>
      </c>
      <c r="H45" s="63">
        <v>12794595586354.1</v>
      </c>
      <c r="I45" s="63">
        <v>13045845114226.5</v>
      </c>
      <c r="J45" s="63">
        <v>13115925466905.9</v>
      </c>
      <c r="K45" s="63">
        <v>13274311946199.4</v>
      </c>
      <c r="L45" s="63">
        <v>13379102530789.301</v>
      </c>
      <c r="M45" s="63">
        <v>13633951765149.1</v>
      </c>
      <c r="N45" s="63">
        <v>13414781597147.9</v>
      </c>
      <c r="O45" s="63">
        <v>13825812771566.301</v>
      </c>
      <c r="P45" s="63">
        <v>13810278236248</v>
      </c>
      <c r="Q45" s="63">
        <v>13951464695778</v>
      </c>
      <c r="R45" s="63">
        <v>14033426462037.9</v>
      </c>
      <c r="S45" s="63">
        <v>14152877244514.301</v>
      </c>
      <c r="T45" s="63">
        <v>14330351074102.9</v>
      </c>
      <c r="U45" s="63">
        <v>14497996276982.4</v>
      </c>
      <c r="V45" s="63">
        <v>14650886615895.699</v>
      </c>
      <c r="W45" s="63">
        <v>14487663795448</v>
      </c>
      <c r="X45" s="63">
        <v>14935862730586.699</v>
      </c>
      <c r="Y45" s="63">
        <v>15170979194054</v>
      </c>
      <c r="Z45" s="63">
        <v>15217059981213.801</v>
      </c>
      <c r="AA45" s="63">
        <v>15492082315184.1</v>
      </c>
      <c r="AB45" s="63">
        <v>15269300158312.5</v>
      </c>
      <c r="AC45" s="63">
        <v>15491028176410.199</v>
      </c>
      <c r="AD45" s="63">
        <v>15484937243625.301</v>
      </c>
      <c r="AE45" s="63">
        <v>15696315474139.4</v>
      </c>
      <c r="AF45" s="63">
        <v>15421639533566.691</v>
      </c>
      <c r="AG45" s="63">
        <v>15565660820834.91</v>
      </c>
      <c r="AH45" s="63"/>
      <c r="AI45" s="63">
        <v>15593899083877.6</v>
      </c>
      <c r="AJ45" s="63">
        <v>15948458863068.199</v>
      </c>
      <c r="AK45" s="63"/>
    </row>
    <row r="46" spans="1:37" x14ac:dyDescent="0.3">
      <c r="A46" s="11" t="s">
        <v>285</v>
      </c>
      <c r="B46" s="11" t="s">
        <v>284</v>
      </c>
      <c r="C46" s="23"/>
      <c r="D46" s="23"/>
      <c r="E46" s="23">
        <v>232.9513</v>
      </c>
      <c r="F46" s="23"/>
      <c r="G46" s="23"/>
      <c r="H46" s="23">
        <v>245.48519999999999</v>
      </c>
      <c r="I46" s="23"/>
      <c r="J46" s="23"/>
      <c r="K46" s="23">
        <v>257.03895</v>
      </c>
      <c r="L46" s="23"/>
      <c r="M46" s="23"/>
      <c r="N46" s="23">
        <v>276.68110000000001</v>
      </c>
      <c r="O46" s="23"/>
      <c r="P46" s="23"/>
      <c r="Q46" s="23">
        <v>351.75565</v>
      </c>
      <c r="R46" s="23"/>
      <c r="S46" s="23"/>
      <c r="T46" s="23">
        <v>302.90820000000002</v>
      </c>
      <c r="U46" s="23"/>
      <c r="V46" s="23"/>
      <c r="W46" s="23">
        <v>329.77530000000002</v>
      </c>
      <c r="X46" s="23"/>
      <c r="Y46" s="23"/>
      <c r="Z46" s="23">
        <v>359.88869999999997</v>
      </c>
      <c r="AA46" s="23"/>
      <c r="AB46" s="23"/>
      <c r="AC46" s="23">
        <v>278.10629999999998</v>
      </c>
      <c r="AD46" s="23"/>
      <c r="AE46" s="23"/>
      <c r="AF46" s="23">
        <v>322.12009999999998</v>
      </c>
      <c r="AG46" s="23"/>
      <c r="AH46" s="23"/>
      <c r="AI46" s="23">
        <v>323.01755000000003</v>
      </c>
      <c r="AJ46" s="23"/>
      <c r="AK46" s="23"/>
    </row>
    <row r="47" spans="1:37" x14ac:dyDescent="0.3">
      <c r="A47" s="11" t="s">
        <v>283</v>
      </c>
      <c r="B47" s="11" t="s">
        <v>282</v>
      </c>
      <c r="C47" s="63"/>
      <c r="D47" s="63"/>
      <c r="E47" s="63">
        <v>2250772463.1552</v>
      </c>
      <c r="F47" s="63"/>
      <c r="G47" s="63"/>
      <c r="H47" s="63">
        <v>2168395515.2516999</v>
      </c>
      <c r="I47" s="63"/>
      <c r="J47" s="63"/>
      <c r="K47" s="63">
        <v>2264015093.6616998</v>
      </c>
      <c r="L47" s="63"/>
      <c r="M47" s="63"/>
      <c r="N47" s="63">
        <v>2404277027.9628</v>
      </c>
      <c r="O47" s="63"/>
      <c r="P47" s="63"/>
      <c r="Q47" s="63">
        <v>2470897858.9963999</v>
      </c>
      <c r="R47" s="63"/>
      <c r="S47" s="63"/>
      <c r="T47" s="63">
        <v>2398783703.4548998</v>
      </c>
      <c r="U47" s="63"/>
      <c r="V47" s="63"/>
      <c r="W47" s="63">
        <v>2393625108.1114998</v>
      </c>
      <c r="X47" s="63"/>
      <c r="Y47" s="63"/>
      <c r="Z47" s="63">
        <v>2501979371.8678002</v>
      </c>
      <c r="AA47" s="63"/>
      <c r="AB47" s="63"/>
      <c r="AC47" s="63">
        <v>2539962572.3237</v>
      </c>
      <c r="AD47" s="63"/>
      <c r="AE47" s="63"/>
      <c r="AF47" s="63">
        <v>2530671371.2319002</v>
      </c>
      <c r="AG47" s="63"/>
      <c r="AH47" s="63"/>
      <c r="AI47" s="63">
        <v>2621644657.3896999</v>
      </c>
      <c r="AJ47" s="63"/>
      <c r="AK47" s="63"/>
    </row>
    <row r="48" spans="1:37" x14ac:dyDescent="0.3">
      <c r="A48" s="11" t="s">
        <v>281</v>
      </c>
      <c r="B48" s="11" t="s">
        <v>280</v>
      </c>
      <c r="C48" s="63"/>
      <c r="D48" s="63"/>
      <c r="E48" s="63">
        <v>1083935881.3206999</v>
      </c>
      <c r="F48" s="63"/>
      <c r="G48" s="63"/>
      <c r="H48" s="63">
        <v>1063299892.6195</v>
      </c>
      <c r="I48" s="63"/>
      <c r="J48" s="63"/>
      <c r="K48" s="63">
        <v>1120543119.8447001</v>
      </c>
      <c r="L48" s="63"/>
      <c r="M48" s="63"/>
      <c r="N48" s="63">
        <v>1203156803.7447</v>
      </c>
      <c r="O48" s="63"/>
      <c r="P48" s="63"/>
      <c r="Q48" s="63">
        <v>1241978546.6262</v>
      </c>
      <c r="R48" s="63"/>
      <c r="S48" s="63"/>
      <c r="T48" s="63">
        <v>1270526088.1046</v>
      </c>
      <c r="U48" s="63"/>
      <c r="V48" s="63"/>
      <c r="W48" s="63">
        <v>1280988057.2934</v>
      </c>
      <c r="X48" s="63"/>
      <c r="Y48" s="63"/>
      <c r="Z48" s="63">
        <v>1301010653.4612999</v>
      </c>
      <c r="AA48" s="63"/>
      <c r="AB48" s="63"/>
      <c r="AC48" s="63">
        <v>1356548744.9693</v>
      </c>
      <c r="AD48" s="63"/>
      <c r="AE48" s="63"/>
      <c r="AF48" s="63">
        <v>1354520759.7273998</v>
      </c>
      <c r="AG48" s="63"/>
      <c r="AH48" s="63"/>
      <c r="AI48" s="63">
        <v>1395018344.4939001</v>
      </c>
      <c r="AJ48" s="63"/>
      <c r="AK48" s="63"/>
    </row>
    <row r="49" spans="1:37" x14ac:dyDescent="0.3">
      <c r="A49" s="11" t="s">
        <v>279</v>
      </c>
      <c r="B49" s="11" t="s">
        <v>278</v>
      </c>
      <c r="C49" s="23"/>
      <c r="D49" s="23"/>
      <c r="E49" s="23">
        <v>141.39320000000001</v>
      </c>
      <c r="F49" s="23"/>
      <c r="G49" s="23"/>
      <c r="H49" s="23">
        <v>141.60294999999999</v>
      </c>
      <c r="I49" s="23"/>
      <c r="J49" s="23"/>
      <c r="K49" s="23">
        <v>142.09209999999999</v>
      </c>
      <c r="L49" s="23"/>
      <c r="M49" s="23"/>
      <c r="N49" s="23">
        <v>143.44800000000001</v>
      </c>
      <c r="O49" s="23"/>
      <c r="P49" s="23"/>
      <c r="Q49" s="23">
        <v>144.88915</v>
      </c>
      <c r="R49" s="23"/>
      <c r="S49" s="23"/>
      <c r="T49" s="23">
        <v>144.55369999999999</v>
      </c>
      <c r="U49" s="23"/>
      <c r="V49" s="23"/>
      <c r="W49" s="23">
        <v>143.79570000000001</v>
      </c>
      <c r="X49" s="23"/>
      <c r="Y49" s="23"/>
      <c r="Z49" s="23">
        <v>136.61959999999999</v>
      </c>
      <c r="AA49" s="23"/>
      <c r="AB49" s="23"/>
      <c r="AC49" s="23">
        <v>145.63874999999999</v>
      </c>
      <c r="AD49" s="23"/>
      <c r="AE49" s="23"/>
      <c r="AF49" s="23">
        <v>140.45625000000001</v>
      </c>
      <c r="AG49" s="23"/>
      <c r="AH49" s="23"/>
      <c r="AI49" s="23">
        <v>140.21090000000001</v>
      </c>
      <c r="AJ49" s="23"/>
      <c r="AK49" s="23"/>
    </row>
    <row r="50" spans="1:37" x14ac:dyDescent="0.3">
      <c r="A50" s="11" t="s">
        <v>277</v>
      </c>
      <c r="B50" s="11" t="s">
        <v>276</v>
      </c>
      <c r="C50" s="63"/>
      <c r="D50" s="63"/>
      <c r="E50" s="63">
        <v>7634022294.1164999</v>
      </c>
      <c r="F50" s="63"/>
      <c r="G50" s="63"/>
      <c r="H50" s="63">
        <v>7734551999.4532003</v>
      </c>
      <c r="I50" s="63"/>
      <c r="J50" s="63"/>
      <c r="K50" s="63">
        <v>7882571722.9535999</v>
      </c>
      <c r="L50" s="63"/>
      <c r="M50" s="63"/>
      <c r="N50" s="63">
        <v>8087171015.0766001</v>
      </c>
      <c r="O50" s="63"/>
      <c r="P50" s="63"/>
      <c r="Q50" s="63">
        <v>8270552018.0531998</v>
      </c>
      <c r="R50" s="63"/>
      <c r="S50" s="63"/>
      <c r="T50" s="63">
        <v>8392309760.3767004</v>
      </c>
      <c r="U50" s="63"/>
      <c r="V50" s="63"/>
      <c r="W50" s="63">
        <v>8633214943.4736996</v>
      </c>
      <c r="X50" s="63"/>
      <c r="Y50" s="63"/>
      <c r="Z50" s="63">
        <v>8973722052.1931992</v>
      </c>
      <c r="AA50" s="63"/>
      <c r="AB50" s="63"/>
      <c r="AC50" s="63">
        <v>9224600309.6131992</v>
      </c>
      <c r="AD50" s="23"/>
      <c r="AE50" s="63"/>
      <c r="AF50" s="63">
        <v>9335382320.950201</v>
      </c>
      <c r="AG50" s="63"/>
      <c r="AH50" s="63"/>
      <c r="AI50" s="63">
        <v>9483744931.8635006</v>
      </c>
      <c r="AJ50" s="63"/>
      <c r="AK50" s="63"/>
    </row>
    <row r="51" spans="1:37" x14ac:dyDescent="0.3">
      <c r="A51" s="17">
        <v>61220000</v>
      </c>
      <c r="B51" s="11" t="s">
        <v>275</v>
      </c>
      <c r="C51" s="63"/>
      <c r="D51" s="63"/>
      <c r="E51" s="63">
        <v>5782964378.6532001</v>
      </c>
      <c r="F51" s="63"/>
      <c r="G51" s="63"/>
      <c r="H51" s="63">
        <v>5874430069.4431</v>
      </c>
      <c r="I51" s="63"/>
      <c r="J51" s="63"/>
      <c r="K51" s="63">
        <v>5972247702.4137001</v>
      </c>
      <c r="L51" s="63"/>
      <c r="M51" s="63"/>
      <c r="N51" s="63">
        <v>6145485377.7202997</v>
      </c>
      <c r="O51" s="63"/>
      <c r="P51" s="63"/>
      <c r="Q51" s="63">
        <v>6276155289.6801004</v>
      </c>
      <c r="R51" s="63"/>
      <c r="S51" s="63"/>
      <c r="T51" s="63">
        <v>6402493375.1099997</v>
      </c>
      <c r="U51" s="63"/>
      <c r="V51" s="63"/>
      <c r="W51" s="63">
        <v>6631380638.9334002</v>
      </c>
      <c r="X51" s="63"/>
      <c r="Y51" s="63"/>
      <c r="Z51" s="63">
        <v>6885414260.7402</v>
      </c>
      <c r="AA51" s="90"/>
      <c r="AB51" s="63"/>
      <c r="AC51" s="63">
        <v>7003274021.9699974</v>
      </c>
      <c r="AD51" s="23"/>
      <c r="AE51" s="63"/>
      <c r="AF51" s="63">
        <v>7069860358.0665998</v>
      </c>
      <c r="AG51" s="63"/>
      <c r="AH51" s="63"/>
      <c r="AI51" s="63">
        <v>7147123879.4665003</v>
      </c>
      <c r="AJ51" s="63"/>
      <c r="AK51" s="63"/>
    </row>
    <row r="52" spans="1:37" x14ac:dyDescent="0.3">
      <c r="A52" s="11" t="s">
        <v>274</v>
      </c>
      <c r="B52" s="11" t="s">
        <v>273</v>
      </c>
      <c r="C52" s="15"/>
      <c r="D52" s="15"/>
      <c r="E52" s="15"/>
      <c r="F52" s="15"/>
      <c r="G52" s="15"/>
      <c r="H52" s="15"/>
      <c r="I52" s="15"/>
      <c r="J52" s="15"/>
      <c r="K52" s="15"/>
      <c r="L52" s="15"/>
      <c r="M52" s="15"/>
      <c r="N52" s="15"/>
      <c r="O52" s="15"/>
      <c r="P52" s="15"/>
      <c r="Q52" s="15"/>
      <c r="R52" s="15"/>
      <c r="S52" s="15"/>
      <c r="T52" s="15"/>
      <c r="U52" s="15"/>
      <c r="V52" s="15"/>
      <c r="W52" s="15"/>
      <c r="X52" s="15"/>
      <c r="Y52" s="15"/>
      <c r="Z52" s="15">
        <f>(Z28/MONTH(Z2)*12/AVERAGE(Z29,W29))*100</f>
        <v>17.643779687491318</v>
      </c>
      <c r="AA52" s="15">
        <f>(AA28/MONTH(AA2)*12/AVERAGE(AA29,Z29))*100</f>
        <v>19.759390424701191</v>
      </c>
      <c r="AB52" s="15">
        <f>(AB28/MONTH(AB2)*12/AVERAGE(AB29,Z29))*100</f>
        <v>17.891424569499975</v>
      </c>
      <c r="AC52" s="15">
        <f>(AC28/MONTH(AC2)*12/AVERAGE(AC29,Z29))*100</f>
        <v>18.085506097126885</v>
      </c>
      <c r="AD52" s="15">
        <f>(AD28/MONTH(AD2)*12/AVERAGE(AD29,AC29))*100</f>
        <v>17.524011533498289</v>
      </c>
      <c r="AE52" s="15">
        <f>(AE28/MONTH(AE2)*12/AVERAGE(AE29,AC29))*100</f>
        <v>17.536513074388914</v>
      </c>
      <c r="AF52" s="15">
        <f>(AF28/MONTH(AF2)*12/AVERAGE(AF29,AD29))*100</f>
        <v>17.625994803355987</v>
      </c>
      <c r="AG52" s="15">
        <f t="shared" ref="AG52:AH52" si="0">(AG28/MONTH(AG2)*12/AVERAGE(AG29,AE29))*100</f>
        <v>17.445777814638351</v>
      </c>
      <c r="AH52" s="15">
        <f t="shared" si="0"/>
        <v>17.196115465690315</v>
      </c>
      <c r="AI52" s="15">
        <f t="shared" ref="AI52" si="1">(AI28/MONTH(AI2)*12/AVERAGE(AI29,AG29))*100</f>
        <v>16.921927726703483</v>
      </c>
      <c r="AJ52" s="15">
        <f t="shared" ref="AJ52" si="2">(AJ28/MONTH(AJ2)*12/AVERAGE(AJ29,AH29))*100</f>
        <v>16.646874403716826</v>
      </c>
      <c r="AK52" s="15">
        <f t="shared" ref="AK52" si="3">(AK28/MONTH(AK2)*12/AVERAGE(AK29,AI29))*100</f>
        <v>16.749688906383941</v>
      </c>
    </row>
    <row r="53" spans="1:37" x14ac:dyDescent="0.3">
      <c r="A53" s="11" t="s">
        <v>272</v>
      </c>
      <c r="B53" s="11" t="s">
        <v>271</v>
      </c>
      <c r="C53" s="15"/>
      <c r="D53" s="15"/>
      <c r="E53" s="15"/>
      <c r="F53" s="15"/>
      <c r="G53" s="15"/>
      <c r="H53" s="15"/>
      <c r="I53" s="15"/>
      <c r="J53" s="15"/>
      <c r="K53" s="15"/>
      <c r="L53" s="15"/>
      <c r="M53" s="15"/>
      <c r="N53" s="15"/>
      <c r="O53" s="15"/>
      <c r="P53" s="15"/>
      <c r="Q53" s="15"/>
      <c r="R53" s="15"/>
      <c r="S53" s="15"/>
      <c r="T53" s="15"/>
      <c r="U53" s="15"/>
      <c r="V53" s="15"/>
      <c r="W53" s="15"/>
      <c r="X53" s="15"/>
      <c r="Y53" s="15"/>
      <c r="Z53" s="15">
        <f>(Z28/MONTH(Z2)*12/AVERAGE(Z3,W3))*100</f>
        <v>1.9758666787612928</v>
      </c>
      <c r="AA53" s="15">
        <f>(AA28/MONTH(AA2)*12/AVERAGE(AA3,Z3))*100</f>
        <v>2.1658389359001444</v>
      </c>
      <c r="AB53" s="15">
        <f>(AB28/MONTH(AB2)*12/AVERAGE(AB3,Z3))*100</f>
        <v>1.9966107196111527</v>
      </c>
      <c r="AC53" s="15">
        <f>(AC28/MONTH(AC2)*12/AVERAGE(AC3,Z3))*100</f>
        <v>2.0145974084681462</v>
      </c>
      <c r="AD53" s="15">
        <f>(AD28/MONTH(AD2)*12/AVERAGE(AD3,AC3))*100</f>
        <v>1.985514817156639</v>
      </c>
      <c r="AE53" s="15">
        <f>(AE28/MONTH(AE2)*12/AVERAGE(AE3,AC3))*100</f>
        <v>1.9797317058421111</v>
      </c>
      <c r="AF53" s="15">
        <f>(AF28/MONTH(AF2)*12/AVERAGE(AF3,AD3))*100</f>
        <v>2.0066890105246915</v>
      </c>
      <c r="AG53" s="15">
        <f t="shared" ref="AG53:AH53" si="4">(AG28/MONTH(AG2)*12/AVERAGE(AG3,AE3))*100</f>
        <v>1.9860553024333667</v>
      </c>
      <c r="AH53" s="15">
        <f t="shared" si="4"/>
        <v>1.9953911780112903</v>
      </c>
      <c r="AI53" s="15">
        <f t="shared" ref="AI53" si="5">(AI28/MONTH(AI2)*12/AVERAGE(AI3,AG3))*100</f>
        <v>1.9768404513978446</v>
      </c>
      <c r="AJ53" s="15">
        <f>(AJ28/MONTH(AJ2)*12/AVERAGE(AJ3,AH3))*100</f>
        <v>1.9550099667792871</v>
      </c>
      <c r="AK53" s="15">
        <f t="shared" ref="AK53" si="6">(AK28/MONTH(AK2)*12/AVERAGE(AK3,AI3))*100</f>
        <v>1.9677225291126743</v>
      </c>
    </row>
    <row r="54" spans="1:37" x14ac:dyDescent="0.3">
      <c r="A54" s="17">
        <v>4020007410000</v>
      </c>
      <c r="B54" s="11" t="s">
        <v>2304</v>
      </c>
      <c r="C54" s="15">
        <v>4.0833000000000004</v>
      </c>
      <c r="D54" s="15">
        <v>4.0491999999999999</v>
      </c>
      <c r="E54" s="15">
        <v>4.0217999999999998</v>
      </c>
      <c r="F54" s="15">
        <v>4.0019999999999998</v>
      </c>
      <c r="G54" s="15">
        <v>4.0008999999999997</v>
      </c>
      <c r="H54" s="15">
        <v>4.0096999999999996</v>
      </c>
      <c r="I54" s="15">
        <v>4.0057</v>
      </c>
      <c r="J54" s="15">
        <v>4.0221999999999998</v>
      </c>
      <c r="K54" s="15">
        <v>4.0423</v>
      </c>
      <c r="L54" s="15">
        <v>4.0705999999999998</v>
      </c>
      <c r="M54" s="15">
        <v>4.1256000000000004</v>
      </c>
      <c r="N54" s="15">
        <v>4.1984000000000004</v>
      </c>
      <c r="O54" s="15">
        <v>4.2342000000000004</v>
      </c>
      <c r="P54" s="15">
        <v>4.2968000000000002</v>
      </c>
      <c r="Q54" s="15">
        <v>4.3266999999999998</v>
      </c>
      <c r="R54" s="15">
        <v>4.3547000000000002</v>
      </c>
      <c r="S54" s="15">
        <v>4.3513999999999999</v>
      </c>
      <c r="T54" s="15">
        <v>4.3517999999999999</v>
      </c>
      <c r="U54" s="15">
        <v>4.3514999999999997</v>
      </c>
      <c r="V54" s="15">
        <v>4.3327999999999998</v>
      </c>
      <c r="W54" s="15">
        <v>4.3365</v>
      </c>
      <c r="X54" s="15">
        <v>4.3335999999999997</v>
      </c>
      <c r="Y54" s="15">
        <v>4.3175999999999997</v>
      </c>
      <c r="Z54" s="15">
        <v>4.2904999999999998</v>
      </c>
      <c r="AA54" s="15">
        <v>4.2972000000000001</v>
      </c>
      <c r="AB54" s="15">
        <v>4.2595000000000001</v>
      </c>
      <c r="AC54" s="15">
        <v>4.2584</v>
      </c>
      <c r="AD54" s="15">
        <v>4.2439</v>
      </c>
      <c r="AE54" s="15">
        <v>4.2575000000000003</v>
      </c>
      <c r="AF54" s="15">
        <v>4.2854999999999999</v>
      </c>
      <c r="AG54" s="15">
        <v>4.2854999999999999</v>
      </c>
      <c r="AH54" s="15">
        <v>4.3372999999999999</v>
      </c>
      <c r="AI54" s="15">
        <v>4.3689999999999998</v>
      </c>
      <c r="AJ54" s="15">
        <v>4.4085999999999999</v>
      </c>
      <c r="AK54" s="15">
        <v>4.4532999999999996</v>
      </c>
    </row>
    <row r="55" spans="1:37" x14ac:dyDescent="0.3">
      <c r="A55" s="17">
        <v>4020007420000</v>
      </c>
      <c r="B55" s="11" t="s">
        <v>2305</v>
      </c>
      <c r="C55" s="15">
        <v>3.7932999999999999</v>
      </c>
      <c r="D55" s="15">
        <v>3.7686000000000002</v>
      </c>
      <c r="E55" s="15">
        <v>3.7517</v>
      </c>
      <c r="F55" s="15">
        <v>3.742</v>
      </c>
      <c r="G55" s="15">
        <v>3.7498</v>
      </c>
      <c r="H55" s="15">
        <v>3.7646000000000002</v>
      </c>
      <c r="I55" s="15">
        <v>3.7665999999999999</v>
      </c>
      <c r="J55" s="15">
        <v>3.7894999999999999</v>
      </c>
      <c r="K55" s="15">
        <v>3.8109000000000002</v>
      </c>
      <c r="L55" s="15">
        <v>3.8447</v>
      </c>
      <c r="M55" s="15">
        <v>3.8954</v>
      </c>
      <c r="N55" s="15">
        <v>3.9853000000000001</v>
      </c>
      <c r="O55" s="15">
        <v>4.0167000000000002</v>
      </c>
      <c r="P55" s="15">
        <v>4.0768000000000004</v>
      </c>
      <c r="Q55" s="15">
        <v>4.1024000000000003</v>
      </c>
      <c r="R55" s="15">
        <v>4.1250999999999998</v>
      </c>
      <c r="S55" s="15">
        <v>4.1180000000000003</v>
      </c>
      <c r="T55" s="15">
        <v>4.1157000000000004</v>
      </c>
      <c r="U55" s="15">
        <v>4.1130000000000004</v>
      </c>
      <c r="V55" s="15">
        <v>4.0918000000000001</v>
      </c>
      <c r="W55" s="15">
        <v>4.0948000000000002</v>
      </c>
      <c r="X55" s="15">
        <v>4.0884</v>
      </c>
      <c r="Y55" s="15">
        <v>4.0740999999999996</v>
      </c>
      <c r="Z55" s="15">
        <v>4.0448000000000004</v>
      </c>
      <c r="AA55" s="15">
        <v>4.0488</v>
      </c>
      <c r="AB55" s="15">
        <v>4.0072000000000001</v>
      </c>
      <c r="AC55" s="15">
        <v>4.0027999999999997</v>
      </c>
      <c r="AD55" s="15">
        <v>3.9862000000000002</v>
      </c>
      <c r="AE55" s="15">
        <v>3.9956999999999998</v>
      </c>
      <c r="AF55" s="15">
        <v>4.0162000000000004</v>
      </c>
      <c r="AG55" s="15">
        <v>4.0323000000000002</v>
      </c>
      <c r="AH55" s="15">
        <v>4.0587</v>
      </c>
      <c r="AI55" s="15">
        <v>4.0856000000000003</v>
      </c>
      <c r="AJ55" s="15">
        <v>4.1204999999999998</v>
      </c>
      <c r="AK55" s="15">
        <v>4.165</v>
      </c>
    </row>
    <row r="56" spans="1:37" x14ac:dyDescent="0.3">
      <c r="B56" t="s">
        <v>2938</v>
      </c>
      <c r="C56" s="63">
        <v>63160274876.260002</v>
      </c>
      <c r="D56" s="63">
        <v>62654873618.239998</v>
      </c>
      <c r="E56" s="63">
        <v>63832051971.080002</v>
      </c>
      <c r="F56" s="63">
        <v>64948888968.889999</v>
      </c>
      <c r="G56" s="63">
        <v>66310629563.449997</v>
      </c>
      <c r="H56" s="63">
        <v>66701141445.75</v>
      </c>
      <c r="I56" s="63">
        <v>67264037723.690002</v>
      </c>
      <c r="J56" s="63">
        <v>64233457684.349998</v>
      </c>
      <c r="K56" s="63">
        <v>64696320662.089996</v>
      </c>
      <c r="L56" s="63">
        <v>66818405551.099998</v>
      </c>
      <c r="M56" s="63">
        <v>67334297654.93</v>
      </c>
      <c r="N56" s="63">
        <v>57519527453.290001</v>
      </c>
      <c r="O56" s="63">
        <v>58308698878.480003</v>
      </c>
      <c r="P56" s="63">
        <v>58138067746.18</v>
      </c>
      <c r="Q56" s="63">
        <v>56200886394.830002</v>
      </c>
      <c r="R56" s="63">
        <v>58843714938.57</v>
      </c>
      <c r="S56" s="63">
        <v>60813856268.510002</v>
      </c>
      <c r="T56" s="63">
        <v>59463001775.349998</v>
      </c>
      <c r="U56" s="63">
        <v>60606869963.370003</v>
      </c>
      <c r="V56" s="63">
        <v>63822112478.870003</v>
      </c>
      <c r="W56" s="63">
        <v>62954993782.019997</v>
      </c>
      <c r="X56" s="63">
        <v>63480276463.260002</v>
      </c>
      <c r="Y56" s="63">
        <v>63663751313.650002</v>
      </c>
      <c r="Z56" s="63">
        <v>61928897137.849998</v>
      </c>
      <c r="AA56" s="63">
        <v>61391697196.550003</v>
      </c>
      <c r="AB56" s="63">
        <v>62131425519.650002</v>
      </c>
      <c r="AC56" s="63">
        <v>63819213698.029999</v>
      </c>
      <c r="AD56" s="63">
        <v>64853604444.150002</v>
      </c>
      <c r="AE56" s="63">
        <v>65616014421.440002</v>
      </c>
      <c r="AF56" s="63">
        <v>66077297183.849998</v>
      </c>
      <c r="AG56" s="63">
        <v>67422633639.080002</v>
      </c>
      <c r="AH56" s="63">
        <v>69387626951.479996</v>
      </c>
      <c r="AI56" s="63">
        <v>74036333926.009995</v>
      </c>
      <c r="AJ56" s="63">
        <v>73983573359.039993</v>
      </c>
      <c r="AK56" s="63">
        <v>73692441419.25</v>
      </c>
    </row>
    <row r="57" spans="1:37" x14ac:dyDescent="0.3">
      <c r="B57" t="s">
        <v>2939</v>
      </c>
      <c r="C57" s="63">
        <v>37071685015.370003</v>
      </c>
      <c r="D57" s="63">
        <v>37317705682.040001</v>
      </c>
      <c r="E57" s="63">
        <v>36950156614.879997</v>
      </c>
      <c r="F57" s="63">
        <v>37680622372.739998</v>
      </c>
      <c r="G57" s="63">
        <v>39601286835.830002</v>
      </c>
      <c r="H57" s="63">
        <v>40447853042.580002</v>
      </c>
      <c r="I57" s="63">
        <v>41965521990.989998</v>
      </c>
      <c r="J57" s="63">
        <v>42928684159.360001</v>
      </c>
      <c r="K57" s="63">
        <v>44261580837.209999</v>
      </c>
      <c r="L57" s="63">
        <v>46262847110.389999</v>
      </c>
      <c r="M57" s="63">
        <v>47656315165.839996</v>
      </c>
      <c r="N57" s="63">
        <v>48671087298.440002</v>
      </c>
      <c r="O57" s="63">
        <v>48805838057.209999</v>
      </c>
      <c r="P57" s="63">
        <v>47682334963.75</v>
      </c>
      <c r="Q57" s="63">
        <v>46125860579.510002</v>
      </c>
      <c r="R57" s="63">
        <v>45041392725.029999</v>
      </c>
      <c r="S57" s="63">
        <v>45557271414.059998</v>
      </c>
      <c r="T57" s="63">
        <v>45993713823.07</v>
      </c>
      <c r="U57" s="63">
        <v>46902475541.269997</v>
      </c>
      <c r="V57" s="63">
        <v>47564605108.489998</v>
      </c>
      <c r="W57" s="63">
        <v>49656967606.260002</v>
      </c>
      <c r="X57" s="63">
        <v>51011347071.169998</v>
      </c>
      <c r="Y57" s="63">
        <v>51487456328.339996</v>
      </c>
      <c r="Z57" s="63">
        <v>52509049337.760002</v>
      </c>
      <c r="AA57" s="63">
        <v>52913107343.800003</v>
      </c>
      <c r="AB57" s="63">
        <v>52681141132.459999</v>
      </c>
      <c r="AC57" s="63">
        <v>49697994565.93</v>
      </c>
      <c r="AD57" s="63">
        <v>51115027674.389999</v>
      </c>
      <c r="AE57" s="63">
        <v>52735665060.330002</v>
      </c>
      <c r="AF57" s="63">
        <v>53607530654.809998</v>
      </c>
      <c r="AG57" s="63">
        <v>54260714055.18</v>
      </c>
      <c r="AH57" s="63">
        <v>54361437885.529999</v>
      </c>
      <c r="AI57" s="63">
        <v>56143753660.389999</v>
      </c>
      <c r="AJ57" s="63">
        <v>59162683505.089996</v>
      </c>
      <c r="AK57" s="63">
        <v>61979635174.510002</v>
      </c>
    </row>
    <row r="58" spans="1:37" x14ac:dyDescent="0.3">
      <c r="B58" t="s">
        <v>2940</v>
      </c>
      <c r="C58" s="63">
        <v>31917027207.040001</v>
      </c>
      <c r="D58" s="63">
        <v>31794710611.880001</v>
      </c>
      <c r="E58" s="63">
        <v>31829463021.450001</v>
      </c>
      <c r="F58" s="63">
        <v>31910514594.310001</v>
      </c>
      <c r="G58" s="63">
        <v>32798402383.25</v>
      </c>
      <c r="H58" s="63">
        <v>33097279179.93</v>
      </c>
      <c r="I58" s="63">
        <v>33490567625.700001</v>
      </c>
      <c r="J58" s="63">
        <v>33588597144.029999</v>
      </c>
      <c r="K58" s="63">
        <v>34349491500.27</v>
      </c>
      <c r="L58" s="63">
        <v>34040114165.959999</v>
      </c>
      <c r="M58" s="63">
        <v>34535561276.57</v>
      </c>
      <c r="N58" s="63">
        <v>34934895609.379997</v>
      </c>
      <c r="O58" s="63">
        <v>35824947069.639999</v>
      </c>
      <c r="P58" s="63">
        <v>36134915147.18</v>
      </c>
      <c r="Q58" s="63">
        <v>35903669476.959999</v>
      </c>
      <c r="R58" s="63">
        <v>36614284015.580002</v>
      </c>
      <c r="S58" s="63">
        <v>36818099686.260002</v>
      </c>
      <c r="T58" s="63">
        <v>36441191948.639999</v>
      </c>
      <c r="U58" s="63">
        <v>37475389275.919998</v>
      </c>
      <c r="V58" s="63">
        <v>38006153577.739998</v>
      </c>
      <c r="W58" s="63">
        <v>38418540828.699997</v>
      </c>
      <c r="X58" s="63">
        <v>38864800123.010002</v>
      </c>
      <c r="Y58" s="63">
        <v>40109466492.019997</v>
      </c>
      <c r="Z58" s="63">
        <v>39979183976.910004</v>
      </c>
      <c r="AA58" s="63">
        <v>40589778936.089996</v>
      </c>
      <c r="AB58" s="63">
        <v>41285724497.019997</v>
      </c>
      <c r="AC58" s="63">
        <v>41996824932.760002</v>
      </c>
      <c r="AD58" s="63">
        <v>42997366228.879997</v>
      </c>
      <c r="AE58" s="63">
        <v>44046254980.110001</v>
      </c>
      <c r="AF58" s="63">
        <v>44004957884.580002</v>
      </c>
      <c r="AG58" s="63">
        <v>44751023321.550003</v>
      </c>
      <c r="AH58" s="63">
        <v>45773342216.57</v>
      </c>
      <c r="AI58" s="63">
        <v>46211917894.25</v>
      </c>
      <c r="AJ58" s="63">
        <v>46390645530.629997</v>
      </c>
      <c r="AK58" s="63">
        <v>45262793644.949997</v>
      </c>
    </row>
  </sheetData>
  <autoFilter ref="A2:AG55" xr:uid="{00000000-0009-0000-0000-000005000000}"/>
  <conditionalFormatting sqref="A39">
    <cfRule type="duplicateValues" dxfId="7" priority="6"/>
  </conditionalFormatting>
  <conditionalFormatting sqref="A40">
    <cfRule type="duplicateValues" dxfId="6" priority="5"/>
  </conditionalFormatting>
  <conditionalFormatting sqref="A41">
    <cfRule type="duplicateValues" dxfId="5" priority="4"/>
  </conditionalFormatting>
  <conditionalFormatting sqref="A42">
    <cfRule type="duplicateValues" dxfId="4" priority="3"/>
  </conditionalFormatting>
  <conditionalFormatting sqref="A43">
    <cfRule type="duplicateValues" dxfId="3" priority="2"/>
  </conditionalFormatting>
  <conditionalFormatting sqref="A44:A53 A1:A38 A56:A1048576">
    <cfRule type="duplicateValues" dxfId="2" priority="7"/>
  </conditionalFormatting>
  <conditionalFormatting sqref="A54:A55">
    <cfRule type="duplicateValues" dxfId="1"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81"/>
  <sheetViews>
    <sheetView zoomScale="90" zoomScaleNormal="90" workbookViewId="0">
      <pane xSplit="2" ySplit="2" topLeftCell="L166" activePane="bottomRight" state="frozen"/>
      <selection activeCell="I21" sqref="I21"/>
      <selection pane="topRight" activeCell="I21" sqref="I21"/>
      <selection pane="bottomLeft" activeCell="I21" sqref="I21"/>
      <selection pane="bottomRight" activeCell="P185" sqref="P185"/>
    </sheetView>
  </sheetViews>
  <sheetFormatPr baseColWidth="10" defaultColWidth="8.5546875" defaultRowHeight="14.4" x14ac:dyDescent="0.3"/>
  <cols>
    <col min="2" max="2" width="47.44140625" customWidth="1"/>
    <col min="3" max="16" width="13.5546875" style="1" customWidth="1"/>
  </cols>
  <sheetData>
    <row r="1" spans="1:16" x14ac:dyDescent="0.3">
      <c r="A1" s="11"/>
      <c r="B1" s="11"/>
      <c r="C1" s="12" t="s">
        <v>2013</v>
      </c>
      <c r="D1" s="12" t="s">
        <v>920</v>
      </c>
      <c r="E1" s="12" t="s">
        <v>920</v>
      </c>
      <c r="F1" s="12" t="s">
        <v>920</v>
      </c>
      <c r="G1" s="12" t="s">
        <v>920</v>
      </c>
      <c r="H1" s="12" t="s">
        <v>920</v>
      </c>
      <c r="I1" s="12" t="s">
        <v>920</v>
      </c>
      <c r="J1" s="12" t="s">
        <v>920</v>
      </c>
      <c r="K1" s="12" t="s">
        <v>920</v>
      </c>
      <c r="L1" s="12" t="s">
        <v>920</v>
      </c>
      <c r="M1" s="12" t="s">
        <v>920</v>
      </c>
      <c r="N1" s="12" t="s">
        <v>920</v>
      </c>
      <c r="O1" s="12" t="s">
        <v>920</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t="s">
        <v>919</v>
      </c>
      <c r="B3" s="11" t="s">
        <v>304</v>
      </c>
      <c r="C3" s="10">
        <v>15.27</v>
      </c>
      <c r="D3" s="10">
        <v>15.426399999999999</v>
      </c>
      <c r="E3" s="10">
        <v>15.3</v>
      </c>
      <c r="F3" s="10">
        <v>15.49</v>
      </c>
      <c r="G3" s="10">
        <v>15.6</v>
      </c>
      <c r="H3" s="12">
        <v>15.76</v>
      </c>
      <c r="I3" s="12">
        <v>15.18</v>
      </c>
      <c r="J3" s="15">
        <v>15.475199999999999</v>
      </c>
      <c r="K3" s="15">
        <v>15.756122555799999</v>
      </c>
      <c r="L3" s="15">
        <v>15.825005129999999</v>
      </c>
      <c r="M3" s="15">
        <v>15.8739439187242</v>
      </c>
      <c r="N3" s="15">
        <v>16.191740797904799</v>
      </c>
      <c r="O3" s="15">
        <v>15.7985951998711</v>
      </c>
      <c r="P3" s="15">
        <v>15.5318744020464</v>
      </c>
    </row>
    <row r="4" spans="1:16" x14ac:dyDescent="0.3">
      <c r="A4" s="11" t="s">
        <v>918</v>
      </c>
      <c r="B4" s="11" t="s">
        <v>917</v>
      </c>
      <c r="C4" s="10">
        <v>1.91</v>
      </c>
      <c r="D4" s="10">
        <v>1.9282999999999999</v>
      </c>
      <c r="E4" s="10">
        <v>1.91</v>
      </c>
      <c r="F4" s="10">
        <v>1.93</v>
      </c>
      <c r="G4" s="10">
        <v>1.95</v>
      </c>
      <c r="H4" s="10">
        <v>1.97</v>
      </c>
      <c r="I4" s="10">
        <v>1.89</v>
      </c>
      <c r="J4" s="81">
        <v>1.9343999999999999</v>
      </c>
      <c r="K4" s="81">
        <v>1.9695153194999999</v>
      </c>
      <c r="L4" s="81">
        <v>1.97812564</v>
      </c>
      <c r="M4" s="81">
        <v>1.98424298984053</v>
      </c>
      <c r="N4" s="81">
        <v>2.0239675997380999</v>
      </c>
      <c r="O4" s="81">
        <v>1.9748243999838899</v>
      </c>
      <c r="P4" s="81">
        <v>1.94148430025581</v>
      </c>
    </row>
    <row r="5" spans="1:16" x14ac:dyDescent="0.3">
      <c r="A5" s="11" t="s">
        <v>916</v>
      </c>
      <c r="B5" s="11" t="s">
        <v>915</v>
      </c>
      <c r="C5" s="10">
        <v>17.77</v>
      </c>
      <c r="D5" s="10">
        <v>17.9512</v>
      </c>
      <c r="E5" s="10">
        <v>18</v>
      </c>
      <c r="F5" s="10">
        <v>18</v>
      </c>
      <c r="G5" s="10">
        <v>18</v>
      </c>
      <c r="H5" s="10">
        <v>18.66</v>
      </c>
      <c r="I5" s="10">
        <v>18.420000000000002</v>
      </c>
      <c r="J5" s="81">
        <v>18.187100000000001</v>
      </c>
      <c r="K5" s="81">
        <v>18.5350063329</v>
      </c>
      <c r="L5" s="81">
        <v>18.647956220000001</v>
      </c>
      <c r="M5" s="81">
        <v>18.7888144820161</v>
      </c>
      <c r="N5" s="81">
        <v>19.131955714854001</v>
      </c>
      <c r="O5" s="81">
        <v>18.641765312856599</v>
      </c>
      <c r="P5" s="81">
        <v>18.6197253346994</v>
      </c>
    </row>
    <row r="6" spans="1:16" x14ac:dyDescent="0.3">
      <c r="A6" s="11" t="s">
        <v>914</v>
      </c>
      <c r="B6" s="11" t="s">
        <v>913</v>
      </c>
      <c r="C6" s="10">
        <v>1.91</v>
      </c>
      <c r="D6" s="10">
        <v>1.9252</v>
      </c>
      <c r="E6" s="10">
        <v>1.9</v>
      </c>
      <c r="F6" s="10">
        <v>1.93</v>
      </c>
      <c r="G6" s="10">
        <v>1.95</v>
      </c>
      <c r="H6" s="10">
        <v>1.97</v>
      </c>
      <c r="I6" s="10">
        <v>1.9</v>
      </c>
      <c r="J6" s="81">
        <v>1.9340999999999999</v>
      </c>
      <c r="K6" s="81">
        <v>1.9691906492</v>
      </c>
      <c r="L6" s="81">
        <v>1.9778046</v>
      </c>
      <c r="M6" s="81">
        <v>1.9839265135141499</v>
      </c>
      <c r="N6" s="81">
        <v>2.0236373577369</v>
      </c>
      <c r="O6" s="81">
        <v>1.9746569694745399</v>
      </c>
      <c r="P6" s="81">
        <v>1.9413225879122999</v>
      </c>
    </row>
    <row r="7" spans="1:16" x14ac:dyDescent="0.3">
      <c r="A7" s="11" t="s">
        <v>912</v>
      </c>
      <c r="B7" s="11" t="s">
        <v>911</v>
      </c>
      <c r="C7" s="10">
        <v>15.25</v>
      </c>
      <c r="D7" s="10">
        <v>15.401300000000001</v>
      </c>
      <c r="E7" s="10">
        <v>15.27</v>
      </c>
      <c r="F7" s="10">
        <v>15.46</v>
      </c>
      <c r="G7" s="10">
        <v>15.57</v>
      </c>
      <c r="H7" s="10">
        <v>15.73</v>
      </c>
      <c r="I7" s="10">
        <v>15.16</v>
      </c>
      <c r="J7" s="81">
        <v>15.472799999999999</v>
      </c>
      <c r="K7" s="81">
        <v>15.7535251939</v>
      </c>
      <c r="L7" s="81">
        <v>15.822436769999999</v>
      </c>
      <c r="M7" s="81">
        <v>15.8714121081132</v>
      </c>
      <c r="N7" s="81">
        <v>16.1890988618952</v>
      </c>
      <c r="O7" s="81">
        <v>15.7972557557963</v>
      </c>
      <c r="P7" s="81">
        <v>15.5305807032984</v>
      </c>
    </row>
    <row r="8" spans="1:16" x14ac:dyDescent="0.3">
      <c r="A8" s="11" t="s">
        <v>910</v>
      </c>
      <c r="B8" s="11" t="s">
        <v>909</v>
      </c>
      <c r="C8" s="10">
        <v>15.25</v>
      </c>
      <c r="D8" s="10">
        <v>15.401300000000001</v>
      </c>
      <c r="E8" s="10">
        <v>15.27</v>
      </c>
      <c r="F8" s="10">
        <v>15.46</v>
      </c>
      <c r="G8" s="10">
        <v>15.57</v>
      </c>
      <c r="H8" s="10">
        <v>15.73</v>
      </c>
      <c r="I8" s="10">
        <v>15.16</v>
      </c>
      <c r="J8" s="81">
        <v>15.472799999999999</v>
      </c>
      <c r="K8" s="81">
        <v>15.7535251939</v>
      </c>
      <c r="L8" s="81">
        <v>15.822436769999999</v>
      </c>
      <c r="M8" s="81">
        <v>15.8714121081132</v>
      </c>
      <c r="N8" s="81">
        <v>16.1890988618952</v>
      </c>
      <c r="O8" s="81">
        <v>15.7972557557963</v>
      </c>
      <c r="P8" s="81">
        <v>15.5305807032984</v>
      </c>
    </row>
    <row r="9" spans="1:16" x14ac:dyDescent="0.3">
      <c r="A9" s="11" t="s">
        <v>908</v>
      </c>
      <c r="B9" s="11" t="s">
        <v>907</v>
      </c>
      <c r="C9" s="10">
        <v>4.6500000000000004</v>
      </c>
      <c r="D9" s="10">
        <v>4.6459999999999999</v>
      </c>
      <c r="E9" s="10">
        <v>4.6399999999999997</v>
      </c>
      <c r="F9" s="10">
        <v>4.6399999999999997</v>
      </c>
      <c r="G9" s="10">
        <v>4.6399999999999997</v>
      </c>
      <c r="H9" s="10">
        <v>4.63</v>
      </c>
      <c r="I9" s="10">
        <v>4.6399999999999997</v>
      </c>
      <c r="J9" s="81">
        <v>4.6311</v>
      </c>
      <c r="K9" s="81">
        <v>4.6292962855999997</v>
      </c>
      <c r="L9" s="81">
        <v>4.6259829200000002</v>
      </c>
      <c r="M9" s="81">
        <v>4.62767662117525</v>
      </c>
      <c r="N9" s="81">
        <v>4.6269386911713699</v>
      </c>
      <c r="O9" s="81">
        <v>4.5000000007687699</v>
      </c>
      <c r="P9" s="81">
        <v>4.54009936351716</v>
      </c>
    </row>
    <row r="10" spans="1:16" x14ac:dyDescent="0.3">
      <c r="A10" s="11" t="s">
        <v>906</v>
      </c>
      <c r="B10" s="11" t="s">
        <v>905</v>
      </c>
      <c r="C10" s="10">
        <v>7.27</v>
      </c>
      <c r="D10" s="10">
        <v>7.4230999999999998</v>
      </c>
      <c r="E10" s="10">
        <v>7.3</v>
      </c>
      <c r="F10" s="15">
        <v>7.5</v>
      </c>
      <c r="G10" s="15">
        <v>7.64</v>
      </c>
      <c r="H10" s="15">
        <v>7.81</v>
      </c>
      <c r="I10" s="15">
        <v>7.23</v>
      </c>
      <c r="J10" s="15">
        <v>7.5533999999999999</v>
      </c>
      <c r="K10" s="15">
        <v>7.8358022307999997</v>
      </c>
      <c r="L10" s="15">
        <v>7.9186457199999998</v>
      </c>
      <c r="M10" s="15">
        <v>7.9749568903662897</v>
      </c>
      <c r="N10" s="15">
        <v>8.2922049492634002</v>
      </c>
      <c r="O10" s="15">
        <v>8.1000786235101607</v>
      </c>
      <c r="P10" s="15">
        <v>7.7948556020193296</v>
      </c>
    </row>
    <row r="11" spans="1:16" x14ac:dyDescent="0.3">
      <c r="A11" s="11" t="s">
        <v>904</v>
      </c>
      <c r="B11" s="11" t="s">
        <v>903</v>
      </c>
      <c r="C11" s="10">
        <v>2.58</v>
      </c>
      <c r="D11" s="10">
        <v>2.5811000000000002</v>
      </c>
      <c r="E11" s="10">
        <v>2.58</v>
      </c>
      <c r="F11" s="10">
        <v>2.58</v>
      </c>
      <c r="G11" s="10">
        <v>2.58</v>
      </c>
      <c r="H11" s="10">
        <v>2.57</v>
      </c>
      <c r="I11" s="10">
        <v>2.58</v>
      </c>
      <c r="J11" s="81">
        <v>2.5728</v>
      </c>
      <c r="K11" s="81">
        <v>2.5718312692</v>
      </c>
      <c r="L11" s="81">
        <v>2.5699905099999998</v>
      </c>
      <c r="M11" s="81">
        <v>2.57093145731571</v>
      </c>
      <c r="N11" s="81">
        <v>2.5705214956501301</v>
      </c>
      <c r="O11" s="81">
        <v>2.4999999982148302</v>
      </c>
      <c r="P11" s="81">
        <v>2.5222774263129102</v>
      </c>
    </row>
    <row r="12" spans="1:16" x14ac:dyDescent="0.3">
      <c r="A12" s="11" t="s">
        <v>902</v>
      </c>
      <c r="B12" s="11" t="s">
        <v>901</v>
      </c>
      <c r="C12" s="10">
        <v>0.52</v>
      </c>
      <c r="D12" s="10">
        <v>0.51939999999999997</v>
      </c>
      <c r="E12" s="10">
        <v>0.52</v>
      </c>
      <c r="F12" s="10">
        <v>0.52</v>
      </c>
      <c r="G12" s="10">
        <v>0.52</v>
      </c>
      <c r="H12" s="10">
        <v>0.51</v>
      </c>
      <c r="I12" s="10">
        <v>0.53</v>
      </c>
      <c r="J12" s="81">
        <v>0.51700000000000002</v>
      </c>
      <c r="K12" s="81">
        <v>0.50782284609999995</v>
      </c>
      <c r="L12" s="81">
        <v>0.50561111999999997</v>
      </c>
      <c r="M12" s="81">
        <v>0.50405092788880002</v>
      </c>
      <c r="N12" s="81">
        <v>0.49415968536889099</v>
      </c>
      <c r="O12" s="81">
        <v>0.50641707165275596</v>
      </c>
      <c r="P12" s="81">
        <v>0.515112741296334</v>
      </c>
    </row>
    <row r="13" spans="1:16" x14ac:dyDescent="0.3">
      <c r="A13" s="11" t="s">
        <v>900</v>
      </c>
      <c r="B13" s="11" t="s">
        <v>899</v>
      </c>
      <c r="C13" s="10">
        <v>317.60000000000002</v>
      </c>
      <c r="D13" s="10">
        <v>317.73020000000002</v>
      </c>
      <c r="E13" s="10">
        <v>332</v>
      </c>
      <c r="F13" s="10">
        <v>310.66000000000003</v>
      </c>
      <c r="G13" s="10">
        <v>312</v>
      </c>
      <c r="H13" s="10">
        <v>305.24</v>
      </c>
      <c r="I13" s="10">
        <v>279.95</v>
      </c>
      <c r="J13" s="81">
        <v>3288.4897000000001</v>
      </c>
      <c r="K13" s="81">
        <v>3080.0482801880999</v>
      </c>
      <c r="L13" s="81">
        <v>3114.8286216800002</v>
      </c>
      <c r="M13" s="81">
        <v>3159.79400871502</v>
      </c>
      <c r="N13" s="81">
        <v>3028.0824254793702</v>
      </c>
      <c r="O13" s="81">
        <v>5972.6271147279303</v>
      </c>
      <c r="P13" s="81">
        <v>6183.8198516334096</v>
      </c>
    </row>
    <row r="14" spans="1:16" ht="15" customHeight="1" x14ac:dyDescent="0.3">
      <c r="A14" s="11" t="s">
        <v>898</v>
      </c>
      <c r="B14" s="11" t="s">
        <v>897</v>
      </c>
      <c r="C14" s="12"/>
      <c r="D14" s="12"/>
      <c r="E14" s="12"/>
      <c r="F14" s="12"/>
      <c r="G14" s="12"/>
      <c r="H14" s="12"/>
      <c r="I14" s="12"/>
      <c r="J14" s="12"/>
      <c r="K14" s="12"/>
      <c r="L14" s="12"/>
      <c r="M14" s="12"/>
      <c r="N14" s="12"/>
      <c r="O14" s="12"/>
      <c r="P14" s="12"/>
    </row>
    <row r="15" spans="1:16" ht="15" customHeight="1" x14ac:dyDescent="0.3">
      <c r="A15" s="11" t="s">
        <v>896</v>
      </c>
      <c r="B15" s="11" t="s">
        <v>895</v>
      </c>
      <c r="C15" s="12"/>
      <c r="D15" s="12"/>
      <c r="E15" s="12"/>
      <c r="F15" s="12"/>
      <c r="G15" s="12"/>
      <c r="H15" s="12"/>
      <c r="I15" s="12"/>
      <c r="J15" s="12"/>
      <c r="K15" s="12"/>
      <c r="L15" s="12"/>
      <c r="M15" s="12"/>
      <c r="N15" s="12"/>
      <c r="O15" s="12"/>
      <c r="P15" s="12"/>
    </row>
    <row r="16" spans="1:16" ht="15" customHeight="1" x14ac:dyDescent="0.3">
      <c r="A16" s="11" t="s">
        <v>894</v>
      </c>
      <c r="B16" s="11" t="s">
        <v>893</v>
      </c>
      <c r="C16" s="12">
        <v>0</v>
      </c>
      <c r="D16" s="12">
        <v>0</v>
      </c>
      <c r="E16" s="12">
        <v>0</v>
      </c>
      <c r="F16" s="12">
        <v>0</v>
      </c>
      <c r="G16" s="12">
        <v>0</v>
      </c>
      <c r="H16" s="12">
        <v>0</v>
      </c>
      <c r="I16" s="12">
        <v>0</v>
      </c>
      <c r="J16" s="12">
        <v>0</v>
      </c>
      <c r="K16" s="12">
        <v>0</v>
      </c>
      <c r="L16" s="12">
        <v>0</v>
      </c>
      <c r="M16" s="12">
        <v>0</v>
      </c>
      <c r="N16" s="12">
        <v>0</v>
      </c>
      <c r="O16" s="12">
        <v>0</v>
      </c>
      <c r="P16" s="12">
        <v>0</v>
      </c>
    </row>
    <row r="17" spans="1:16" x14ac:dyDescent="0.3">
      <c r="A17" s="11" t="s">
        <v>892</v>
      </c>
      <c r="B17" s="11" t="s">
        <v>891</v>
      </c>
      <c r="C17" s="12">
        <v>0</v>
      </c>
      <c r="D17" s="12">
        <v>2.9999999999999997E-4</v>
      </c>
      <c r="E17" s="12">
        <v>0</v>
      </c>
      <c r="F17" s="12">
        <v>0</v>
      </c>
      <c r="G17" s="12">
        <v>0</v>
      </c>
      <c r="H17" s="12">
        <v>0</v>
      </c>
      <c r="I17" s="12">
        <v>0</v>
      </c>
      <c r="J17" s="12">
        <v>0</v>
      </c>
      <c r="K17" s="83">
        <v>2.5973600000000001E-5</v>
      </c>
      <c r="L17" s="83">
        <v>2.5680000000000001E-5</v>
      </c>
      <c r="M17" s="83">
        <v>2.5318106109999999E-5</v>
      </c>
      <c r="N17" s="83">
        <v>2.6419360096000001E-5</v>
      </c>
      <c r="O17" s="83">
        <v>1.3394440748314501E-5</v>
      </c>
      <c r="P17" s="83">
        <v>1.29369874801E-5</v>
      </c>
    </row>
    <row r="18" spans="1:16" x14ac:dyDescent="0.3">
      <c r="A18" s="11" t="s">
        <v>890</v>
      </c>
      <c r="B18" s="11" t="s">
        <v>889</v>
      </c>
      <c r="C18" s="31">
        <v>14909</v>
      </c>
      <c r="D18" s="31">
        <v>14915.128699999999</v>
      </c>
      <c r="E18" s="31">
        <v>15297</v>
      </c>
      <c r="F18" s="31">
        <v>15368</v>
      </c>
      <c r="G18" s="31">
        <v>15548</v>
      </c>
      <c r="H18" s="31">
        <v>15636</v>
      </c>
      <c r="I18" s="23">
        <v>15725.26</v>
      </c>
      <c r="J18" s="23">
        <v>15659.4154</v>
      </c>
      <c r="K18" s="23">
        <v>15634.1844666467</v>
      </c>
      <c r="L18" s="23">
        <v>15828.20099012</v>
      </c>
      <c r="M18" s="23">
        <v>16055.988782796599</v>
      </c>
      <c r="N18" s="23">
        <v>16018.0503410208</v>
      </c>
      <c r="O18" s="23">
        <v>16072.002859476501</v>
      </c>
      <c r="P18" s="23">
        <v>16640.309286419098</v>
      </c>
    </row>
    <row r="19" spans="1:16" ht="15" customHeight="1" x14ac:dyDescent="0.3">
      <c r="A19" s="11" t="s">
        <v>888</v>
      </c>
      <c r="B19" s="11" t="s">
        <v>300</v>
      </c>
      <c r="C19" s="31">
        <v>28461</v>
      </c>
      <c r="D19" s="31">
        <v>28760.903399999999</v>
      </c>
      <c r="E19" s="31">
        <v>29248</v>
      </c>
      <c r="F19" s="31">
        <v>29757</v>
      </c>
      <c r="G19" s="31">
        <v>30319</v>
      </c>
      <c r="H19" s="23">
        <v>30801</v>
      </c>
      <c r="I19" s="23">
        <v>29848.31</v>
      </c>
      <c r="J19" s="23">
        <v>30291.643499999998</v>
      </c>
      <c r="K19" s="31">
        <v>30791.765814497001</v>
      </c>
      <c r="L19" s="31">
        <v>31310.170234199999</v>
      </c>
      <c r="M19" s="31">
        <v>31858.983187222399</v>
      </c>
      <c r="N19" s="31">
        <v>32420.0149012</v>
      </c>
      <c r="O19" s="31">
        <v>31739.3834035051</v>
      </c>
      <c r="P19" s="31">
        <v>32306.899230983501</v>
      </c>
    </row>
    <row r="20" spans="1:16" ht="15" customHeight="1" x14ac:dyDescent="0.3">
      <c r="A20" s="11" t="s">
        <v>887</v>
      </c>
      <c r="B20" s="11" t="s">
        <v>298</v>
      </c>
      <c r="C20" s="31">
        <v>28414</v>
      </c>
      <c r="D20" s="31">
        <v>28713.960599999999</v>
      </c>
      <c r="E20" s="31">
        <v>29201</v>
      </c>
      <c r="F20" s="31">
        <v>29707</v>
      </c>
      <c r="G20" s="31">
        <v>30269</v>
      </c>
      <c r="H20" s="23">
        <v>30750</v>
      </c>
      <c r="I20" s="31">
        <v>29792.14</v>
      </c>
      <c r="J20" s="31">
        <v>30286.881600000001</v>
      </c>
      <c r="K20" s="31">
        <v>30786.689860146798</v>
      </c>
      <c r="L20" s="31">
        <v>31305.088670199999</v>
      </c>
      <c r="M20" s="31">
        <v>31853.901846876</v>
      </c>
      <c r="N20" s="31">
        <v>32414.725068200001</v>
      </c>
      <c r="O20" s="31">
        <v>31736.69245988</v>
      </c>
      <c r="P20" s="31">
        <v>32304.208287572201</v>
      </c>
    </row>
    <row r="21" spans="1:16" ht="15" customHeight="1" x14ac:dyDescent="0.3">
      <c r="A21" s="11" t="s">
        <v>886</v>
      </c>
      <c r="B21" s="11" t="s">
        <v>885</v>
      </c>
      <c r="C21" s="23">
        <v>46.94</v>
      </c>
      <c r="D21" s="23">
        <v>46.942799999999998</v>
      </c>
      <c r="E21" s="23">
        <v>46.03</v>
      </c>
      <c r="F21" s="23">
        <v>49.46</v>
      </c>
      <c r="G21" s="23">
        <v>49.83</v>
      </c>
      <c r="H21" s="31">
        <v>51</v>
      </c>
      <c r="I21" s="31">
        <v>56.17</v>
      </c>
      <c r="J21" s="31">
        <v>4.7618999999999998</v>
      </c>
      <c r="K21" s="23">
        <v>5.0759543502</v>
      </c>
      <c r="L21" s="23">
        <v>5.0815640000000002</v>
      </c>
      <c r="M21" s="23">
        <v>5.0813403464000002</v>
      </c>
      <c r="N21" s="23">
        <v>5.2898329999999998</v>
      </c>
      <c r="O21" s="23">
        <v>2.6909436251000001</v>
      </c>
      <c r="P21" s="23">
        <v>2.6909434113000001</v>
      </c>
    </row>
    <row r="22" spans="1:16" x14ac:dyDescent="0.3">
      <c r="A22" s="11" t="s">
        <v>884</v>
      </c>
      <c r="B22" s="11" t="s">
        <v>883</v>
      </c>
      <c r="C22" s="31">
        <v>11668</v>
      </c>
      <c r="D22" s="31">
        <v>13845.7747</v>
      </c>
      <c r="E22" s="31">
        <v>12045</v>
      </c>
      <c r="F22" s="31">
        <v>12487</v>
      </c>
      <c r="G22" s="31">
        <v>12894</v>
      </c>
      <c r="H22" s="23">
        <v>13297</v>
      </c>
      <c r="I22" s="23">
        <v>12244.41</v>
      </c>
      <c r="J22" s="23">
        <v>14632.2281</v>
      </c>
      <c r="K22" s="23">
        <v>15157.581347850301</v>
      </c>
      <c r="L22" s="23">
        <v>12238.839715300001</v>
      </c>
      <c r="M22" s="23">
        <v>15347.444533382301</v>
      </c>
      <c r="N22" s="23">
        <v>15950.187945732599</v>
      </c>
      <c r="O22" s="23">
        <v>13519.92</v>
      </c>
      <c r="P22" s="23">
        <v>15518.308645871401</v>
      </c>
    </row>
    <row r="23" spans="1:16" ht="15" customHeight="1" x14ac:dyDescent="0.3">
      <c r="A23" s="11" t="s">
        <v>882</v>
      </c>
      <c r="B23" s="11" t="s">
        <v>122</v>
      </c>
      <c r="C23" s="31">
        <v>6967</v>
      </c>
      <c r="D23" s="31">
        <v>6966.5024999999996</v>
      </c>
      <c r="E23" s="31">
        <v>6967</v>
      </c>
      <c r="F23" s="31">
        <v>6967</v>
      </c>
      <c r="G23" s="31">
        <v>6967</v>
      </c>
      <c r="H23" s="23">
        <v>6967</v>
      </c>
      <c r="I23" s="23">
        <v>6966.5024999999996</v>
      </c>
      <c r="J23" s="23">
        <v>6966.5024999999996</v>
      </c>
      <c r="K23" s="23">
        <v>6966.5025079999996</v>
      </c>
      <c r="L23" s="23">
        <v>6966.5025079999996</v>
      </c>
      <c r="M23" s="23">
        <v>6966.5025079999996</v>
      </c>
      <c r="N23" s="23">
        <v>6966.5025079999996</v>
      </c>
      <c r="O23" s="23">
        <v>6966.5025070000002</v>
      </c>
      <c r="P23" s="23">
        <v>6966.5025070000002</v>
      </c>
    </row>
    <row r="24" spans="1:16" ht="15" customHeight="1" x14ac:dyDescent="0.3">
      <c r="A24" s="11" t="s">
        <v>881</v>
      </c>
      <c r="B24" s="11" t="s">
        <v>880</v>
      </c>
      <c r="C24" s="31">
        <v>6961</v>
      </c>
      <c r="D24" s="31">
        <v>6961.3514999999998</v>
      </c>
      <c r="E24" s="31">
        <v>6961</v>
      </c>
      <c r="F24" s="31">
        <v>6961</v>
      </c>
      <c r="G24" s="31">
        <v>6961</v>
      </c>
      <c r="H24" s="23">
        <v>6961</v>
      </c>
      <c r="I24" s="23">
        <v>6961.3514999999998</v>
      </c>
      <c r="J24" s="23">
        <v>6961.3514999999998</v>
      </c>
      <c r="K24" s="23">
        <v>6961.3515161300002</v>
      </c>
      <c r="L24" s="23">
        <v>6961.3515159999997</v>
      </c>
      <c r="M24" s="23">
        <v>6961.3515161300002</v>
      </c>
      <c r="N24" s="23">
        <v>6961.3515159999997</v>
      </c>
      <c r="O24" s="23">
        <v>6961.3515154200004</v>
      </c>
      <c r="P24" s="23">
        <v>6961.3515155499999</v>
      </c>
    </row>
    <row r="25" spans="1:16" ht="15" customHeight="1" x14ac:dyDescent="0.3">
      <c r="A25" s="11" t="s">
        <v>879</v>
      </c>
      <c r="B25" s="11" t="s">
        <v>878</v>
      </c>
      <c r="C25" s="31">
        <v>5.15</v>
      </c>
      <c r="D25" s="31">
        <v>5.1509999999999998</v>
      </c>
      <c r="E25" s="31">
        <v>5.15</v>
      </c>
      <c r="F25" s="31">
        <v>5.15</v>
      </c>
      <c r="G25" s="31">
        <v>5.15</v>
      </c>
      <c r="H25" s="23">
        <v>5</v>
      </c>
      <c r="I25" s="23">
        <v>5.1509999999999998</v>
      </c>
      <c r="J25" s="23">
        <v>5.1509999999999998</v>
      </c>
      <c r="K25" s="23">
        <v>5.1509919999999996</v>
      </c>
      <c r="L25" s="23">
        <v>5</v>
      </c>
      <c r="M25" s="23">
        <v>5.1509919999999996</v>
      </c>
      <c r="N25" s="23">
        <v>5.1509919999999996</v>
      </c>
      <c r="O25" s="23">
        <v>5.15099222</v>
      </c>
      <c r="P25" s="23">
        <v>5.15099222</v>
      </c>
    </row>
    <row r="26" spans="1:16" ht="15" customHeight="1" x14ac:dyDescent="0.3">
      <c r="A26" s="11" t="s">
        <v>877</v>
      </c>
      <c r="B26" s="11" t="s">
        <v>876</v>
      </c>
      <c r="C26" s="23">
        <v>0</v>
      </c>
      <c r="D26" s="23">
        <v>0</v>
      </c>
      <c r="E26" s="23">
        <v>0</v>
      </c>
      <c r="F26" s="23">
        <v>0</v>
      </c>
      <c r="G26" s="23">
        <v>0</v>
      </c>
      <c r="H26" s="23">
        <v>0</v>
      </c>
      <c r="I26" s="23">
        <v>0</v>
      </c>
      <c r="J26" s="23">
        <v>0</v>
      </c>
      <c r="K26" s="31">
        <v>0</v>
      </c>
      <c r="L26" s="31">
        <v>0</v>
      </c>
      <c r="M26" s="31">
        <v>0</v>
      </c>
      <c r="N26" s="31">
        <v>0</v>
      </c>
      <c r="O26" s="31">
        <v>0</v>
      </c>
      <c r="P26" s="31">
        <v>0</v>
      </c>
    </row>
    <row r="27" spans="1:16" ht="15" customHeight="1" x14ac:dyDescent="0.3">
      <c r="A27" s="11" t="s">
        <v>875</v>
      </c>
      <c r="B27" s="11" t="s">
        <v>118</v>
      </c>
      <c r="C27" s="31">
        <v>28313</v>
      </c>
      <c r="D27" s="31">
        <v>28538.7415</v>
      </c>
      <c r="E27" s="31">
        <v>29205</v>
      </c>
      <c r="F27" s="31">
        <v>29799</v>
      </c>
      <c r="G27" s="31">
        <v>30502</v>
      </c>
      <c r="H27" s="31">
        <v>31107</v>
      </c>
      <c r="I27" s="31">
        <v>30218.884999999998</v>
      </c>
      <c r="J27" s="31">
        <v>30802.8645</v>
      </c>
      <c r="K27" s="31">
        <v>31414.862321000001</v>
      </c>
      <c r="L27" s="31">
        <v>32010.483402000002</v>
      </c>
      <c r="M27" s="31">
        <v>32666.834375999999</v>
      </c>
      <c r="N27" s="31">
        <v>33315.134162000002</v>
      </c>
      <c r="O27" s="31">
        <v>32737.328460000001</v>
      </c>
      <c r="P27" s="31">
        <v>33373.833160000002</v>
      </c>
    </row>
    <row r="28" spans="1:16" ht="15" customHeight="1" x14ac:dyDescent="0.3">
      <c r="A28" s="11" t="s">
        <v>874</v>
      </c>
      <c r="B28" s="11" t="s">
        <v>873</v>
      </c>
      <c r="C28" s="31">
        <v>20919</v>
      </c>
      <c r="D28" s="31">
        <v>21040.266599999999</v>
      </c>
      <c r="E28" s="31">
        <v>21040</v>
      </c>
      <c r="F28" s="31">
        <v>21040</v>
      </c>
      <c r="G28" s="31">
        <v>21038</v>
      </c>
      <c r="H28" s="31">
        <v>21038</v>
      </c>
      <c r="I28" s="31">
        <v>26974.473699999999</v>
      </c>
      <c r="J28" s="31">
        <v>26970.8511</v>
      </c>
      <c r="K28" s="31">
        <v>26965.086647100001</v>
      </c>
      <c r="L28" s="31">
        <v>26960.067709999999</v>
      </c>
      <c r="M28" s="31">
        <v>26960.209106099999</v>
      </c>
      <c r="N28" s="31">
        <v>26945.789944</v>
      </c>
      <c r="O28" s="31">
        <v>25829.68039636</v>
      </c>
      <c r="P28" s="31">
        <v>25798.329933100002</v>
      </c>
    </row>
    <row r="29" spans="1:16" x14ac:dyDescent="0.3">
      <c r="A29" s="11" t="s">
        <v>872</v>
      </c>
      <c r="B29" s="11" t="s">
        <v>871</v>
      </c>
      <c r="C29" s="31">
        <v>0</v>
      </c>
      <c r="D29" s="31">
        <v>0</v>
      </c>
      <c r="E29" s="31">
        <v>7446</v>
      </c>
      <c r="F29" s="31">
        <v>7446</v>
      </c>
      <c r="G29" s="31">
        <v>7446</v>
      </c>
      <c r="H29" s="31">
        <v>7446</v>
      </c>
      <c r="I29" s="31">
        <v>0</v>
      </c>
      <c r="J29" s="31">
        <v>0</v>
      </c>
      <c r="K29" s="31">
        <v>-1.1140000000000001E-9</v>
      </c>
      <c r="L29" s="31">
        <v>0</v>
      </c>
      <c r="M29" s="31">
        <v>-1.1140000000000001E-9</v>
      </c>
      <c r="N29" s="31">
        <v>0</v>
      </c>
      <c r="O29" s="31">
        <v>0</v>
      </c>
      <c r="P29" s="31">
        <v>-1.11389E-9</v>
      </c>
    </row>
    <row r="30" spans="1:16" ht="15" customHeight="1" x14ac:dyDescent="0.3">
      <c r="A30" s="11" t="s">
        <v>870</v>
      </c>
      <c r="B30" s="11" t="s">
        <v>115</v>
      </c>
      <c r="C30" s="31">
        <v>7341</v>
      </c>
      <c r="D30" s="31">
        <v>7446.0553</v>
      </c>
      <c r="E30" s="31">
        <v>632</v>
      </c>
      <c r="F30" s="31">
        <v>1207</v>
      </c>
      <c r="G30" s="31">
        <v>1839</v>
      </c>
      <c r="H30" s="31">
        <v>2431</v>
      </c>
      <c r="I30" s="31">
        <v>3045.5025999999998</v>
      </c>
      <c r="J30" s="31">
        <v>3720.8319999999999</v>
      </c>
      <c r="K30" s="31">
        <v>4306.2421414363998</v>
      </c>
      <c r="L30" s="31">
        <v>4871.6372149999997</v>
      </c>
      <c r="M30" s="31">
        <v>5467.4705623738</v>
      </c>
      <c r="N30" s="31">
        <v>6122.7243250000001</v>
      </c>
      <c r="O30" s="31">
        <v>6803.3527180000001</v>
      </c>
      <c r="P30" s="31">
        <v>7528.6340435877</v>
      </c>
    </row>
    <row r="31" spans="1:16" ht="15" customHeight="1" x14ac:dyDescent="0.3">
      <c r="A31" s="11" t="s">
        <v>869</v>
      </c>
      <c r="B31" s="11" t="s">
        <v>868</v>
      </c>
      <c r="C31" s="31">
        <v>42</v>
      </c>
      <c r="D31" s="31">
        <v>41.768700000000003</v>
      </c>
      <c r="E31" s="31">
        <v>100</v>
      </c>
      <c r="F31" s="31">
        <v>152</v>
      </c>
      <c r="G31" s="31">
        <v>237</v>
      </c>
      <c r="H31" s="31">
        <v>269</v>
      </c>
      <c r="I31" s="31">
        <v>273.93979999999999</v>
      </c>
      <c r="J31" s="31">
        <v>189.62020000000001</v>
      </c>
      <c r="K31" s="31">
        <v>216.851046</v>
      </c>
      <c r="L31" s="31">
        <v>269.052976</v>
      </c>
      <c r="M31" s="31">
        <v>337.64073100000002</v>
      </c>
      <c r="N31" s="31">
        <v>348.180767</v>
      </c>
      <c r="O31" s="31">
        <v>205.81755939999999</v>
      </c>
      <c r="P31" s="31">
        <v>127.942801</v>
      </c>
    </row>
    <row r="32" spans="1:16" ht="15" customHeight="1" x14ac:dyDescent="0.3">
      <c r="A32" s="11" t="s">
        <v>867</v>
      </c>
      <c r="B32" s="11" t="s">
        <v>866</v>
      </c>
      <c r="C32" s="23">
        <v>0</v>
      </c>
      <c r="D32" s="23">
        <v>0</v>
      </c>
      <c r="E32" s="23">
        <v>0</v>
      </c>
      <c r="F32" s="23">
        <v>0</v>
      </c>
      <c r="G32" s="23">
        <v>0</v>
      </c>
      <c r="H32" s="31">
        <v>0</v>
      </c>
      <c r="I32" s="31">
        <v>0</v>
      </c>
      <c r="J32" s="31">
        <v>0</v>
      </c>
      <c r="K32" s="31">
        <v>0</v>
      </c>
      <c r="L32" s="31">
        <v>0</v>
      </c>
      <c r="M32" s="31">
        <v>0</v>
      </c>
      <c r="N32" s="31">
        <v>0</v>
      </c>
      <c r="O32" s="31">
        <v>0</v>
      </c>
      <c r="P32" s="31">
        <v>0</v>
      </c>
    </row>
    <row r="33" spans="1:16" ht="15" customHeight="1" x14ac:dyDescent="0.3">
      <c r="A33" s="11" t="s">
        <v>865</v>
      </c>
      <c r="B33" s="11" t="s">
        <v>864</v>
      </c>
      <c r="C33" s="31">
        <v>89</v>
      </c>
      <c r="D33" s="31">
        <v>89.497699999999995</v>
      </c>
      <c r="E33" s="31">
        <v>65</v>
      </c>
      <c r="F33" s="31">
        <v>32</v>
      </c>
      <c r="G33" s="31">
        <v>19</v>
      </c>
      <c r="H33" s="31">
        <v>0</v>
      </c>
      <c r="I33" s="31">
        <v>1.3472</v>
      </c>
      <c r="J33" s="31">
        <v>-2.5541999999999998</v>
      </c>
      <c r="K33" s="31">
        <v>2.0733549999999998</v>
      </c>
      <c r="L33" s="31">
        <v>-15.377338999999999</v>
      </c>
      <c r="M33" s="31">
        <v>-24.08257</v>
      </c>
      <c r="N33" s="31">
        <v>-24.909972</v>
      </c>
      <c r="O33" s="31">
        <v>-22.203511370000001</v>
      </c>
      <c r="P33" s="31">
        <v>-0.101492</v>
      </c>
    </row>
    <row r="34" spans="1:16" ht="15" customHeight="1" x14ac:dyDescent="0.3">
      <c r="A34" s="11" t="s">
        <v>863</v>
      </c>
      <c r="B34" s="11" t="s">
        <v>862</v>
      </c>
      <c r="C34" s="31">
        <v>-79</v>
      </c>
      <c r="D34" s="31">
        <v>-78.846800000000002</v>
      </c>
      <c r="E34" s="31">
        <v>-78</v>
      </c>
      <c r="F34" s="31">
        <v>-78</v>
      </c>
      <c r="G34" s="31">
        <v>-77</v>
      </c>
      <c r="H34" s="31">
        <v>-77</v>
      </c>
      <c r="I34" s="31">
        <v>-76.378299999999996</v>
      </c>
      <c r="J34" s="31">
        <v>-75.884600000000006</v>
      </c>
      <c r="K34" s="31">
        <v>-75.390868190000006</v>
      </c>
      <c r="L34" s="31">
        <v>-74.89716</v>
      </c>
      <c r="M34" s="31">
        <v>-74.403452529999996</v>
      </c>
      <c r="N34" s="31">
        <v>-76.650902000000002</v>
      </c>
      <c r="O34" s="31">
        <v>-79.318702090000002</v>
      </c>
      <c r="P34" s="31">
        <v>-80.972125030000001</v>
      </c>
    </row>
    <row r="35" spans="1:16" ht="15" customHeight="1" x14ac:dyDescent="0.3">
      <c r="A35" s="11" t="s">
        <v>861</v>
      </c>
      <c r="B35" s="11" t="s">
        <v>860</v>
      </c>
      <c r="C35" s="31">
        <v>4973</v>
      </c>
      <c r="D35" s="31">
        <v>4973.3675000000003</v>
      </c>
      <c r="E35" s="31">
        <v>5051</v>
      </c>
      <c r="F35" s="31">
        <v>5103</v>
      </c>
      <c r="G35" s="31">
        <v>5206</v>
      </c>
      <c r="H35" s="31">
        <v>5289</v>
      </c>
      <c r="I35" s="31">
        <v>5392.7689</v>
      </c>
      <c r="J35" s="31">
        <v>5466.7821999999996</v>
      </c>
      <c r="K35" s="31">
        <v>5549.4310649999998</v>
      </c>
      <c r="L35" s="31">
        <v>5618.2604579999997</v>
      </c>
      <c r="M35" s="31">
        <v>5698.2768409999999</v>
      </c>
      <c r="N35" s="31">
        <v>5792.0935499999996</v>
      </c>
      <c r="O35" s="31">
        <v>5863.3966060000002</v>
      </c>
      <c r="P35" s="31">
        <v>5940.0509089999996</v>
      </c>
    </row>
    <row r="36" spans="1:16" ht="15" customHeight="1" x14ac:dyDescent="0.3">
      <c r="A36" s="11" t="s">
        <v>859</v>
      </c>
      <c r="B36" s="11" t="s">
        <v>858</v>
      </c>
      <c r="C36" s="31">
        <v>4973</v>
      </c>
      <c r="D36" s="31">
        <v>4973.3675000000003</v>
      </c>
      <c r="E36" s="31">
        <v>5051</v>
      </c>
      <c r="F36" s="31">
        <v>5103</v>
      </c>
      <c r="G36" s="31">
        <v>5206</v>
      </c>
      <c r="H36" s="31">
        <v>5289</v>
      </c>
      <c r="I36" s="31">
        <v>5392.7689</v>
      </c>
      <c r="J36" s="31">
        <v>5466.7821999999996</v>
      </c>
      <c r="K36" s="31">
        <v>5549.4310659405401</v>
      </c>
      <c r="L36" s="31">
        <v>5618.2604579999997</v>
      </c>
      <c r="M36" s="31">
        <v>5698.2768415537003</v>
      </c>
      <c r="N36" s="31">
        <v>5792.0935499999996</v>
      </c>
      <c r="O36" s="31">
        <v>5863.3966068003801</v>
      </c>
      <c r="P36" s="31">
        <v>5940.0509094887802</v>
      </c>
    </row>
    <row r="37" spans="1:16" ht="15" customHeight="1" x14ac:dyDescent="0.3">
      <c r="A37" s="11" t="s">
        <v>857</v>
      </c>
      <c r="B37" s="11" t="s">
        <v>856</v>
      </c>
      <c r="C37" s="23">
        <v>0</v>
      </c>
      <c r="D37" s="23">
        <v>0</v>
      </c>
      <c r="E37" s="23">
        <v>0</v>
      </c>
      <c r="F37" s="23">
        <v>0</v>
      </c>
      <c r="G37" s="23">
        <v>0</v>
      </c>
      <c r="H37" s="31">
        <v>0</v>
      </c>
      <c r="I37" s="31">
        <v>0</v>
      </c>
      <c r="J37" s="31">
        <v>0</v>
      </c>
      <c r="K37" s="31">
        <v>0</v>
      </c>
      <c r="L37" s="31">
        <v>0</v>
      </c>
      <c r="M37" s="31">
        <v>0</v>
      </c>
      <c r="N37" s="31">
        <v>0</v>
      </c>
      <c r="O37" s="31">
        <v>0</v>
      </c>
      <c r="P37" s="31">
        <v>0</v>
      </c>
    </row>
    <row r="38" spans="1:16" ht="15" customHeight="1" x14ac:dyDescent="0.3">
      <c r="A38" s="11" t="s">
        <v>855</v>
      </c>
      <c r="B38" s="11" t="s">
        <v>854</v>
      </c>
      <c r="C38" s="23">
        <v>0</v>
      </c>
      <c r="D38" s="23">
        <v>0</v>
      </c>
      <c r="E38" s="23">
        <v>0</v>
      </c>
      <c r="F38" s="23">
        <v>0</v>
      </c>
      <c r="G38" s="23">
        <v>0</v>
      </c>
      <c r="H38" s="31">
        <v>0</v>
      </c>
      <c r="I38" s="31">
        <v>0</v>
      </c>
      <c r="J38" s="31">
        <v>0</v>
      </c>
      <c r="K38" s="31">
        <v>0</v>
      </c>
      <c r="L38" s="31">
        <v>0</v>
      </c>
      <c r="M38" s="31">
        <v>0</v>
      </c>
      <c r="N38" s="31">
        <v>0</v>
      </c>
      <c r="O38" s="31">
        <v>0</v>
      </c>
      <c r="P38" s="31">
        <v>0</v>
      </c>
    </row>
    <row r="39" spans="1:16" ht="15" customHeight="1" x14ac:dyDescent="0.3">
      <c r="A39" s="11" t="s">
        <v>853</v>
      </c>
      <c r="B39" s="11" t="s">
        <v>852</v>
      </c>
      <c r="C39" s="23">
        <v>0</v>
      </c>
      <c r="D39" s="23">
        <v>0</v>
      </c>
      <c r="E39" s="23">
        <v>0</v>
      </c>
      <c r="F39" s="23">
        <v>0</v>
      </c>
      <c r="G39" s="23">
        <v>0</v>
      </c>
      <c r="H39" s="31">
        <v>0</v>
      </c>
      <c r="I39" s="31">
        <v>0</v>
      </c>
      <c r="J39" s="31">
        <v>0</v>
      </c>
      <c r="K39" s="31">
        <v>0</v>
      </c>
      <c r="L39" s="31">
        <v>0</v>
      </c>
      <c r="M39" s="31">
        <v>0</v>
      </c>
      <c r="N39" s="31">
        <v>0</v>
      </c>
      <c r="O39" s="31">
        <v>0</v>
      </c>
      <c r="P39" s="31">
        <v>0</v>
      </c>
    </row>
    <row r="40" spans="1:16" ht="15" customHeight="1" x14ac:dyDescent="0.3">
      <c r="A40" s="11" t="s">
        <v>851</v>
      </c>
      <c r="B40" s="11" t="s">
        <v>850</v>
      </c>
      <c r="C40" s="31">
        <v>4873</v>
      </c>
      <c r="D40" s="31">
        <v>4872.8054000000002</v>
      </c>
      <c r="E40" s="31">
        <v>4955</v>
      </c>
      <c r="F40" s="31">
        <v>5007</v>
      </c>
      <c r="G40" s="31">
        <v>5109</v>
      </c>
      <c r="H40" s="31">
        <v>5192</v>
      </c>
      <c r="I40" s="31">
        <v>5295.5752000000002</v>
      </c>
      <c r="J40" s="31">
        <v>5369.1256000000003</v>
      </c>
      <c r="K40" s="31">
        <v>5451.3212459394699</v>
      </c>
      <c r="L40" s="31">
        <v>5519.7901009999996</v>
      </c>
      <c r="M40" s="31">
        <v>5601.2612295539802</v>
      </c>
      <c r="N40" s="31">
        <v>5695.831803</v>
      </c>
      <c r="O40" s="31">
        <v>5766.6752318015797</v>
      </c>
      <c r="P40" s="31">
        <v>5843.3295344899698</v>
      </c>
    </row>
    <row r="41" spans="1:16" ht="15" customHeight="1" x14ac:dyDescent="0.3">
      <c r="A41" s="11" t="s">
        <v>849</v>
      </c>
      <c r="B41" s="11" t="s">
        <v>848</v>
      </c>
      <c r="C41" s="23">
        <v>0</v>
      </c>
      <c r="D41" s="23">
        <v>0</v>
      </c>
      <c r="E41" s="23">
        <v>0</v>
      </c>
      <c r="F41" s="23">
        <v>0</v>
      </c>
      <c r="G41" s="23">
        <v>0</v>
      </c>
      <c r="H41" s="31">
        <v>0</v>
      </c>
      <c r="I41" s="31">
        <v>0</v>
      </c>
      <c r="J41" s="31">
        <v>0</v>
      </c>
      <c r="K41" s="31">
        <v>0</v>
      </c>
      <c r="L41" s="31">
        <v>0</v>
      </c>
      <c r="M41" s="31">
        <v>0</v>
      </c>
      <c r="N41" s="31">
        <v>0</v>
      </c>
      <c r="O41" s="31">
        <v>0</v>
      </c>
      <c r="P41" s="31">
        <v>0</v>
      </c>
    </row>
    <row r="42" spans="1:16" ht="15" customHeight="1" x14ac:dyDescent="0.3">
      <c r="A42" s="11" t="s">
        <v>847</v>
      </c>
      <c r="B42" s="11" t="s">
        <v>846</v>
      </c>
      <c r="C42" s="23">
        <v>0</v>
      </c>
      <c r="D42" s="23">
        <v>0</v>
      </c>
      <c r="E42" s="23">
        <v>0</v>
      </c>
      <c r="F42" s="23">
        <v>0</v>
      </c>
      <c r="G42" s="23">
        <v>0</v>
      </c>
      <c r="H42" s="31">
        <v>0</v>
      </c>
      <c r="I42" s="31">
        <v>0</v>
      </c>
      <c r="J42" s="31">
        <v>0</v>
      </c>
      <c r="K42" s="31">
        <v>0</v>
      </c>
      <c r="L42" s="31">
        <v>0</v>
      </c>
      <c r="M42" s="31">
        <v>0</v>
      </c>
      <c r="N42" s="31">
        <v>0</v>
      </c>
      <c r="O42" s="31">
        <v>0</v>
      </c>
      <c r="P42" s="31">
        <v>0</v>
      </c>
    </row>
    <row r="43" spans="1:16" x14ac:dyDescent="0.3">
      <c r="A43" s="11" t="s">
        <v>845</v>
      </c>
      <c r="B43" s="11" t="s">
        <v>844</v>
      </c>
      <c r="C43" s="31">
        <v>101</v>
      </c>
      <c r="D43" s="31">
        <v>100.5621</v>
      </c>
      <c r="E43" s="31">
        <v>96</v>
      </c>
      <c r="F43" s="31">
        <v>96</v>
      </c>
      <c r="G43" s="31">
        <v>96</v>
      </c>
      <c r="H43" s="31">
        <v>97</v>
      </c>
      <c r="I43" s="31">
        <v>97.193700000000007</v>
      </c>
      <c r="J43" s="31">
        <v>97.656599999999997</v>
      </c>
      <c r="K43" s="31">
        <v>98.109820001073999</v>
      </c>
      <c r="L43" s="31">
        <v>98.470357000000007</v>
      </c>
      <c r="M43" s="31">
        <v>97.015611999724001</v>
      </c>
      <c r="N43" s="31">
        <v>96.261747</v>
      </c>
      <c r="O43" s="31">
        <v>96.721374998807704</v>
      </c>
      <c r="P43" s="31">
        <v>96.721374998807704</v>
      </c>
    </row>
    <row r="44" spans="1:16" ht="15" customHeight="1" x14ac:dyDescent="0.3">
      <c r="A44" s="11" t="s">
        <v>843</v>
      </c>
      <c r="B44" s="11" t="s">
        <v>842</v>
      </c>
      <c r="C44" s="23">
        <v>0</v>
      </c>
      <c r="D44" s="23">
        <v>0</v>
      </c>
      <c r="E44" s="23">
        <v>0</v>
      </c>
      <c r="F44" s="23">
        <v>0</v>
      </c>
      <c r="G44" s="23">
        <v>0</v>
      </c>
      <c r="H44" s="31">
        <v>0</v>
      </c>
      <c r="I44" s="31">
        <v>0</v>
      </c>
      <c r="J44" s="31">
        <v>0</v>
      </c>
      <c r="K44" s="31">
        <v>0</v>
      </c>
      <c r="L44" s="31">
        <v>0</v>
      </c>
      <c r="M44" s="31">
        <v>0</v>
      </c>
      <c r="N44" s="31">
        <v>0</v>
      </c>
      <c r="O44" s="31">
        <v>0</v>
      </c>
      <c r="P44" s="31">
        <v>0</v>
      </c>
    </row>
    <row r="45" spans="1:16" ht="15" customHeight="1" x14ac:dyDescent="0.3">
      <c r="A45" s="11" t="s">
        <v>841</v>
      </c>
      <c r="B45" s="11" t="s">
        <v>840</v>
      </c>
      <c r="C45" s="23">
        <v>0</v>
      </c>
      <c r="D45" s="23">
        <v>0</v>
      </c>
      <c r="E45" s="23">
        <v>0</v>
      </c>
      <c r="F45" s="23">
        <v>0</v>
      </c>
      <c r="G45" s="23">
        <v>0</v>
      </c>
      <c r="H45" s="31">
        <v>0</v>
      </c>
      <c r="I45" s="31">
        <v>0</v>
      </c>
      <c r="J45" s="31">
        <v>0</v>
      </c>
      <c r="K45" s="31">
        <v>0</v>
      </c>
      <c r="L45" s="31">
        <v>0</v>
      </c>
      <c r="M45" s="31">
        <v>0</v>
      </c>
      <c r="N45" s="31">
        <v>0</v>
      </c>
      <c r="O45" s="31">
        <v>0</v>
      </c>
      <c r="P45" s="31">
        <v>0</v>
      </c>
    </row>
    <row r="46" spans="1:16" ht="15" customHeight="1" x14ac:dyDescent="0.3">
      <c r="A46" s="11" t="s">
        <v>839</v>
      </c>
      <c r="B46" s="11" t="s">
        <v>838</v>
      </c>
      <c r="C46" s="23">
        <v>0</v>
      </c>
      <c r="D46" s="23">
        <v>0</v>
      </c>
      <c r="E46" s="23">
        <v>0</v>
      </c>
      <c r="F46" s="23">
        <v>0</v>
      </c>
      <c r="G46" s="23">
        <v>0</v>
      </c>
      <c r="H46" s="31">
        <v>0</v>
      </c>
      <c r="I46" s="31">
        <v>0</v>
      </c>
      <c r="J46" s="31">
        <v>0</v>
      </c>
      <c r="K46" s="31">
        <v>0</v>
      </c>
      <c r="L46" s="31">
        <v>0</v>
      </c>
      <c r="M46" s="31">
        <v>0</v>
      </c>
      <c r="N46" s="31">
        <v>0</v>
      </c>
      <c r="O46" s="31">
        <v>0</v>
      </c>
      <c r="P46" s="31">
        <v>0</v>
      </c>
    </row>
    <row r="47" spans="1:16" ht="15" customHeight="1" x14ac:dyDescent="0.3">
      <c r="A47" s="11" t="s">
        <v>837</v>
      </c>
      <c r="B47" s="11" t="s">
        <v>836</v>
      </c>
      <c r="C47" s="23">
        <v>0</v>
      </c>
      <c r="D47" s="23">
        <v>0</v>
      </c>
      <c r="E47" s="23">
        <v>0</v>
      </c>
      <c r="F47" s="23">
        <v>0</v>
      </c>
      <c r="G47" s="23">
        <v>0</v>
      </c>
      <c r="H47" s="31">
        <v>0</v>
      </c>
      <c r="I47" s="31">
        <v>0</v>
      </c>
      <c r="J47" s="31">
        <v>0</v>
      </c>
      <c r="K47" s="31">
        <v>0</v>
      </c>
      <c r="L47" s="31">
        <v>0</v>
      </c>
      <c r="M47" s="31">
        <v>0</v>
      </c>
      <c r="N47" s="31">
        <v>0</v>
      </c>
      <c r="O47" s="31">
        <v>0</v>
      </c>
      <c r="P47" s="31">
        <v>0</v>
      </c>
    </row>
    <row r="48" spans="1:16" ht="15" customHeight="1" x14ac:dyDescent="0.3">
      <c r="A48" s="11" t="s">
        <v>835</v>
      </c>
      <c r="B48" s="11" t="s">
        <v>834</v>
      </c>
      <c r="C48" s="23">
        <v>0</v>
      </c>
      <c r="D48" s="23">
        <v>0</v>
      </c>
      <c r="E48" s="23">
        <v>0</v>
      </c>
      <c r="F48" s="23">
        <v>0</v>
      </c>
      <c r="G48" s="23">
        <v>0</v>
      </c>
      <c r="H48" s="31">
        <v>0</v>
      </c>
      <c r="I48" s="31">
        <v>0</v>
      </c>
      <c r="J48" s="31">
        <v>0</v>
      </c>
      <c r="K48" s="31">
        <v>0</v>
      </c>
      <c r="L48" s="31">
        <v>0</v>
      </c>
      <c r="M48" s="31">
        <v>0</v>
      </c>
      <c r="N48" s="31">
        <v>0</v>
      </c>
      <c r="O48" s="31">
        <v>0</v>
      </c>
      <c r="P48" s="31">
        <v>0</v>
      </c>
    </row>
    <row r="49" spans="1:16" ht="15" customHeight="1" x14ac:dyDescent="0.3">
      <c r="A49" s="11" t="s">
        <v>833</v>
      </c>
      <c r="B49" s="11" t="s">
        <v>832</v>
      </c>
      <c r="C49" s="23">
        <v>0</v>
      </c>
      <c r="D49" s="23">
        <v>0</v>
      </c>
      <c r="E49" s="23">
        <v>0</v>
      </c>
      <c r="F49" s="23">
        <v>0</v>
      </c>
      <c r="G49" s="23">
        <v>0</v>
      </c>
      <c r="H49" s="31">
        <v>0</v>
      </c>
      <c r="I49" s="31">
        <v>0</v>
      </c>
      <c r="J49" s="31">
        <v>0</v>
      </c>
      <c r="K49" s="31">
        <v>0</v>
      </c>
      <c r="L49" s="31">
        <v>0</v>
      </c>
      <c r="M49" s="31">
        <v>0</v>
      </c>
      <c r="N49" s="31">
        <v>0</v>
      </c>
      <c r="O49" s="31">
        <v>0</v>
      </c>
      <c r="P49" s="31">
        <v>0</v>
      </c>
    </row>
    <row r="50" spans="1:16" ht="15" customHeight="1" x14ac:dyDescent="0.3">
      <c r="A50" s="11" t="s">
        <v>831</v>
      </c>
      <c r="B50" s="11" t="s">
        <v>830</v>
      </c>
      <c r="C50" s="23">
        <v>0</v>
      </c>
      <c r="D50" s="23">
        <v>0</v>
      </c>
      <c r="E50" s="23">
        <v>0</v>
      </c>
      <c r="F50" s="23">
        <v>0</v>
      </c>
      <c r="G50" s="23">
        <v>0</v>
      </c>
      <c r="H50" s="31">
        <v>0</v>
      </c>
      <c r="I50" s="31">
        <v>0</v>
      </c>
      <c r="J50" s="31">
        <v>0</v>
      </c>
      <c r="K50" s="31">
        <v>0</v>
      </c>
      <c r="L50" s="31">
        <v>0</v>
      </c>
      <c r="M50" s="31">
        <v>0</v>
      </c>
      <c r="N50" s="31">
        <v>0</v>
      </c>
      <c r="O50" s="31">
        <v>0</v>
      </c>
      <c r="P50" s="31">
        <v>0</v>
      </c>
    </row>
    <row r="51" spans="1:16" ht="15" customHeight="1" x14ac:dyDescent="0.3">
      <c r="A51" s="11" t="s">
        <v>829</v>
      </c>
      <c r="B51" s="11" t="s">
        <v>828</v>
      </c>
      <c r="C51" s="23">
        <v>0</v>
      </c>
      <c r="D51" s="23">
        <v>0</v>
      </c>
      <c r="E51" s="23">
        <v>0</v>
      </c>
      <c r="F51" s="23">
        <v>0</v>
      </c>
      <c r="G51" s="23">
        <v>0</v>
      </c>
      <c r="H51" s="31">
        <v>0</v>
      </c>
      <c r="I51" s="31">
        <v>0</v>
      </c>
      <c r="J51" s="31">
        <v>0</v>
      </c>
      <c r="K51" s="31">
        <v>0</v>
      </c>
      <c r="L51" s="31">
        <v>0</v>
      </c>
      <c r="M51" s="31">
        <v>0</v>
      </c>
      <c r="N51" s="31">
        <v>0</v>
      </c>
      <c r="O51" s="31">
        <v>0</v>
      </c>
      <c r="P51" s="31">
        <v>0</v>
      </c>
    </row>
    <row r="52" spans="1:16" ht="15" customHeight="1" x14ac:dyDescent="0.3">
      <c r="A52" s="11" t="s">
        <v>827</v>
      </c>
      <c r="B52" s="11" t="s">
        <v>826</v>
      </c>
      <c r="C52" s="23">
        <v>0</v>
      </c>
      <c r="D52" s="23">
        <v>0</v>
      </c>
      <c r="E52" s="23">
        <v>0</v>
      </c>
      <c r="F52" s="23">
        <v>0</v>
      </c>
      <c r="G52" s="23">
        <v>0</v>
      </c>
      <c r="H52" s="31">
        <v>0</v>
      </c>
      <c r="I52" s="31">
        <v>0</v>
      </c>
      <c r="J52" s="31">
        <v>0</v>
      </c>
      <c r="K52" s="31">
        <v>0</v>
      </c>
      <c r="L52" s="31">
        <v>0</v>
      </c>
      <c r="M52" s="31">
        <v>0</v>
      </c>
      <c r="N52" s="31">
        <v>0</v>
      </c>
      <c r="O52" s="31">
        <v>0</v>
      </c>
      <c r="P52" s="31">
        <v>0</v>
      </c>
    </row>
    <row r="53" spans="1:16" ht="15" customHeight="1" x14ac:dyDescent="0.3">
      <c r="A53" s="11" t="s">
        <v>825</v>
      </c>
      <c r="B53" s="11" t="s">
        <v>824</v>
      </c>
      <c r="C53" s="23">
        <v>0</v>
      </c>
      <c r="D53" s="23">
        <v>0</v>
      </c>
      <c r="E53" s="23">
        <v>0</v>
      </c>
      <c r="F53" s="23">
        <v>0</v>
      </c>
      <c r="G53" s="23">
        <v>0</v>
      </c>
      <c r="H53" s="31">
        <v>0</v>
      </c>
      <c r="I53" s="31">
        <v>0</v>
      </c>
      <c r="J53" s="31">
        <v>0</v>
      </c>
      <c r="K53" s="31">
        <v>0</v>
      </c>
      <c r="L53" s="31">
        <v>0</v>
      </c>
      <c r="M53" s="31">
        <v>0</v>
      </c>
      <c r="N53" s="31">
        <v>0</v>
      </c>
      <c r="O53" s="31">
        <v>0</v>
      </c>
      <c r="P53" s="31">
        <v>0</v>
      </c>
    </row>
    <row r="54" spans="1:16" ht="15" customHeight="1" x14ac:dyDescent="0.3">
      <c r="A54" s="11" t="s">
        <v>823</v>
      </c>
      <c r="B54" s="11" t="s">
        <v>822</v>
      </c>
      <c r="C54" s="23">
        <v>0</v>
      </c>
      <c r="D54" s="23">
        <v>0</v>
      </c>
      <c r="E54" s="23">
        <v>0</v>
      </c>
      <c r="F54" s="23">
        <v>0</v>
      </c>
      <c r="G54" s="23">
        <v>0</v>
      </c>
      <c r="H54" s="31">
        <v>0</v>
      </c>
      <c r="I54" s="31">
        <v>0</v>
      </c>
      <c r="J54" s="31">
        <v>0</v>
      </c>
      <c r="K54" s="31">
        <v>0</v>
      </c>
      <c r="L54" s="31">
        <v>0</v>
      </c>
      <c r="M54" s="31">
        <v>0</v>
      </c>
      <c r="N54" s="31">
        <v>0</v>
      </c>
      <c r="O54" s="31">
        <v>0</v>
      </c>
      <c r="P54" s="31">
        <v>0</v>
      </c>
    </row>
    <row r="55" spans="1:16" ht="15" customHeight="1" x14ac:dyDescent="0.3">
      <c r="A55" s="11" t="s">
        <v>821</v>
      </c>
      <c r="B55" s="11" t="s">
        <v>820</v>
      </c>
      <c r="C55" s="23">
        <v>0</v>
      </c>
      <c r="D55" s="23">
        <v>0</v>
      </c>
      <c r="E55" s="23">
        <v>0</v>
      </c>
      <c r="F55" s="23">
        <v>0</v>
      </c>
      <c r="G55" s="23">
        <v>0</v>
      </c>
      <c r="H55" s="31">
        <v>0</v>
      </c>
      <c r="I55" s="31">
        <v>0</v>
      </c>
      <c r="J55" s="31">
        <v>0</v>
      </c>
      <c r="K55" s="31">
        <v>0</v>
      </c>
      <c r="L55" s="31">
        <v>0</v>
      </c>
      <c r="M55" s="31">
        <v>0</v>
      </c>
      <c r="N55" s="31">
        <v>0</v>
      </c>
      <c r="O55" s="31">
        <v>0</v>
      </c>
      <c r="P55" s="31">
        <v>0</v>
      </c>
    </row>
    <row r="56" spans="1:16" ht="15" customHeight="1" x14ac:dyDescent="0.3">
      <c r="A56" s="11" t="s">
        <v>819</v>
      </c>
      <c r="B56" s="11" t="s">
        <v>818</v>
      </c>
      <c r="C56" s="23">
        <v>0</v>
      </c>
      <c r="D56" s="23">
        <v>0</v>
      </c>
      <c r="E56" s="23">
        <v>0</v>
      </c>
      <c r="F56" s="23">
        <v>0</v>
      </c>
      <c r="G56" s="23">
        <v>0</v>
      </c>
      <c r="H56" s="31">
        <v>0</v>
      </c>
      <c r="I56" s="31">
        <v>0</v>
      </c>
      <c r="J56" s="31">
        <v>0</v>
      </c>
      <c r="K56" s="31">
        <v>0</v>
      </c>
      <c r="L56" s="31">
        <v>0</v>
      </c>
      <c r="M56" s="31">
        <v>0</v>
      </c>
      <c r="N56" s="31">
        <v>0</v>
      </c>
      <c r="O56" s="31">
        <v>0</v>
      </c>
      <c r="P56" s="31">
        <v>0</v>
      </c>
    </row>
    <row r="57" spans="1:16" ht="15" customHeight="1" x14ac:dyDescent="0.3">
      <c r="A57" s="11" t="s">
        <v>817</v>
      </c>
      <c r="B57" s="11" t="s">
        <v>816</v>
      </c>
      <c r="C57" s="23">
        <v>0</v>
      </c>
      <c r="D57" s="23">
        <v>0</v>
      </c>
      <c r="E57" s="23">
        <v>0</v>
      </c>
      <c r="F57" s="23">
        <v>0</v>
      </c>
      <c r="G57" s="23">
        <v>0</v>
      </c>
      <c r="H57" s="31">
        <v>0</v>
      </c>
      <c r="I57" s="31">
        <v>0</v>
      </c>
      <c r="J57" s="31">
        <v>0</v>
      </c>
      <c r="K57" s="31">
        <v>0</v>
      </c>
      <c r="L57" s="31">
        <v>0</v>
      </c>
      <c r="M57" s="31">
        <v>0</v>
      </c>
      <c r="N57" s="31">
        <v>0</v>
      </c>
      <c r="O57" s="31">
        <v>0</v>
      </c>
      <c r="P57" s="31">
        <v>0</v>
      </c>
    </row>
    <row r="58" spans="1:16" ht="15" customHeight="1" x14ac:dyDescent="0.3">
      <c r="A58" s="11" t="s">
        <v>815</v>
      </c>
      <c r="B58" s="11" t="s">
        <v>814</v>
      </c>
      <c r="C58" s="23">
        <v>0</v>
      </c>
      <c r="D58" s="23">
        <v>0</v>
      </c>
      <c r="E58" s="23">
        <v>0</v>
      </c>
      <c r="F58" s="23">
        <v>0</v>
      </c>
      <c r="G58" s="23">
        <v>0</v>
      </c>
      <c r="H58" s="31">
        <v>0</v>
      </c>
      <c r="I58" s="31">
        <v>0</v>
      </c>
      <c r="J58" s="31">
        <v>0</v>
      </c>
      <c r="K58" s="31">
        <v>0</v>
      </c>
      <c r="L58" s="31">
        <v>0</v>
      </c>
      <c r="M58" s="31">
        <v>0</v>
      </c>
      <c r="N58" s="31">
        <v>0</v>
      </c>
      <c r="O58" s="31">
        <v>0</v>
      </c>
      <c r="P58" s="31">
        <v>0</v>
      </c>
    </row>
    <row r="59" spans="1:16" ht="15" customHeight="1" x14ac:dyDescent="0.3">
      <c r="A59" s="11" t="s">
        <v>813</v>
      </c>
      <c r="B59" s="11" t="s">
        <v>812</v>
      </c>
      <c r="C59" s="23">
        <v>0</v>
      </c>
      <c r="D59" s="23">
        <v>0</v>
      </c>
      <c r="E59" s="23">
        <v>0</v>
      </c>
      <c r="F59" s="23">
        <v>0</v>
      </c>
      <c r="G59" s="23">
        <v>0</v>
      </c>
      <c r="H59" s="31">
        <v>0</v>
      </c>
      <c r="I59" s="31">
        <v>0</v>
      </c>
      <c r="J59" s="31">
        <v>0</v>
      </c>
      <c r="K59" s="31">
        <v>0</v>
      </c>
      <c r="L59" s="31">
        <v>0</v>
      </c>
      <c r="M59" s="31">
        <v>0</v>
      </c>
      <c r="N59" s="31">
        <v>0</v>
      </c>
      <c r="O59" s="31">
        <v>0</v>
      </c>
      <c r="P59" s="31">
        <v>0</v>
      </c>
    </row>
    <row r="60" spans="1:16" ht="15" customHeight="1" x14ac:dyDescent="0.3">
      <c r="A60" s="11" t="s">
        <v>811</v>
      </c>
      <c r="B60" s="11" t="s">
        <v>810</v>
      </c>
      <c r="C60" s="23">
        <v>0</v>
      </c>
      <c r="D60" s="23">
        <v>0</v>
      </c>
      <c r="E60" s="23">
        <v>0</v>
      </c>
      <c r="F60" s="23">
        <v>0</v>
      </c>
      <c r="G60" s="23">
        <v>0</v>
      </c>
      <c r="H60" s="31">
        <v>0</v>
      </c>
      <c r="I60" s="31">
        <v>0</v>
      </c>
      <c r="J60" s="31">
        <v>0</v>
      </c>
      <c r="K60" s="31">
        <v>0</v>
      </c>
      <c r="L60" s="31">
        <v>0</v>
      </c>
      <c r="M60" s="31">
        <v>0</v>
      </c>
      <c r="N60" s="31">
        <v>0</v>
      </c>
      <c r="O60" s="31">
        <v>0</v>
      </c>
      <c r="P60" s="31">
        <v>0</v>
      </c>
    </row>
    <row r="61" spans="1:16" ht="15" customHeight="1" x14ac:dyDescent="0.3">
      <c r="A61" s="11" t="s">
        <v>809</v>
      </c>
      <c r="B61" s="11" t="s">
        <v>808</v>
      </c>
      <c r="C61" s="23">
        <v>0</v>
      </c>
      <c r="D61" s="23">
        <v>0</v>
      </c>
      <c r="E61" s="23">
        <v>0</v>
      </c>
      <c r="F61" s="23">
        <v>0</v>
      </c>
      <c r="G61" s="23">
        <v>0</v>
      </c>
      <c r="H61" s="31">
        <v>0</v>
      </c>
      <c r="I61" s="31">
        <v>0</v>
      </c>
      <c r="J61" s="31">
        <v>0</v>
      </c>
      <c r="K61" s="31">
        <v>0</v>
      </c>
      <c r="L61" s="31">
        <v>0</v>
      </c>
      <c r="M61" s="31">
        <v>0</v>
      </c>
      <c r="N61" s="31">
        <v>0</v>
      </c>
      <c r="O61" s="31">
        <v>0</v>
      </c>
      <c r="P61" s="31">
        <v>0</v>
      </c>
    </row>
    <row r="62" spans="1:16" ht="15" customHeight="1" x14ac:dyDescent="0.3">
      <c r="A62" s="11" t="s">
        <v>807</v>
      </c>
      <c r="B62" s="11" t="s">
        <v>806</v>
      </c>
      <c r="C62" s="23">
        <v>0</v>
      </c>
      <c r="D62" s="23">
        <v>0</v>
      </c>
      <c r="E62" s="23">
        <v>0</v>
      </c>
      <c r="F62" s="23">
        <v>0</v>
      </c>
      <c r="G62" s="23">
        <v>0</v>
      </c>
      <c r="H62" s="31">
        <v>0</v>
      </c>
      <c r="I62" s="31">
        <v>0</v>
      </c>
      <c r="J62" s="31">
        <v>0</v>
      </c>
      <c r="K62" s="31">
        <v>0</v>
      </c>
      <c r="L62" s="31">
        <v>0</v>
      </c>
      <c r="M62" s="31">
        <v>0</v>
      </c>
      <c r="N62" s="31">
        <v>0</v>
      </c>
      <c r="O62" s="31">
        <v>0</v>
      </c>
      <c r="P62" s="31">
        <v>0</v>
      </c>
    </row>
    <row r="63" spans="1:16" ht="15" customHeight="1" x14ac:dyDescent="0.3">
      <c r="A63" s="11" t="s">
        <v>805</v>
      </c>
      <c r="B63" s="11" t="s">
        <v>804</v>
      </c>
      <c r="C63" s="23">
        <v>0</v>
      </c>
      <c r="D63" s="23">
        <v>0</v>
      </c>
      <c r="E63" s="23">
        <v>0</v>
      </c>
      <c r="F63" s="23">
        <v>0</v>
      </c>
      <c r="G63" s="23">
        <v>0</v>
      </c>
      <c r="H63" s="31">
        <v>0</v>
      </c>
      <c r="I63" s="31">
        <v>0</v>
      </c>
      <c r="J63" s="31">
        <v>0</v>
      </c>
      <c r="K63" s="31">
        <v>0</v>
      </c>
      <c r="L63" s="31">
        <v>0</v>
      </c>
      <c r="M63" s="31">
        <v>0</v>
      </c>
      <c r="N63" s="31">
        <v>0</v>
      </c>
      <c r="O63" s="31">
        <v>0</v>
      </c>
      <c r="P63" s="31">
        <v>0</v>
      </c>
    </row>
    <row r="64" spans="1:16" ht="15" customHeight="1" x14ac:dyDescent="0.3">
      <c r="A64" s="11" t="s">
        <v>803</v>
      </c>
      <c r="B64" s="11" t="s">
        <v>802</v>
      </c>
      <c r="C64" s="23">
        <v>0</v>
      </c>
      <c r="D64" s="23">
        <v>0</v>
      </c>
      <c r="E64" s="23">
        <v>0</v>
      </c>
      <c r="F64" s="23">
        <v>0</v>
      </c>
      <c r="G64" s="23">
        <v>0</v>
      </c>
      <c r="H64" s="31">
        <v>0</v>
      </c>
      <c r="I64" s="31">
        <v>0</v>
      </c>
      <c r="J64" s="31">
        <v>0</v>
      </c>
      <c r="K64" s="31">
        <v>0</v>
      </c>
      <c r="L64" s="31">
        <v>0</v>
      </c>
      <c r="M64" s="31">
        <v>0</v>
      </c>
      <c r="N64" s="31">
        <v>0</v>
      </c>
      <c r="O64" s="31">
        <v>0</v>
      </c>
      <c r="P64" s="31">
        <v>0</v>
      </c>
    </row>
    <row r="65" spans="1:16" ht="15" customHeight="1" x14ac:dyDescent="0.3">
      <c r="A65" s="11" t="s">
        <v>801</v>
      </c>
      <c r="B65" s="11" t="s">
        <v>800</v>
      </c>
      <c r="C65" s="23">
        <v>0</v>
      </c>
      <c r="D65" s="23">
        <v>0</v>
      </c>
      <c r="E65" s="23">
        <v>0</v>
      </c>
      <c r="F65" s="23">
        <v>0</v>
      </c>
      <c r="G65" s="23">
        <v>0</v>
      </c>
      <c r="H65" s="31">
        <v>0</v>
      </c>
      <c r="I65" s="31">
        <v>0</v>
      </c>
      <c r="J65" s="31">
        <v>0</v>
      </c>
      <c r="K65" s="31">
        <v>0</v>
      </c>
      <c r="L65" s="31">
        <v>0</v>
      </c>
      <c r="M65" s="31">
        <v>0</v>
      </c>
      <c r="N65" s="31">
        <v>0</v>
      </c>
      <c r="O65" s="31">
        <v>0</v>
      </c>
      <c r="P65" s="31">
        <v>0</v>
      </c>
    </row>
    <row r="66" spans="1:16" ht="15" customHeight="1" x14ac:dyDescent="0.3">
      <c r="A66" s="11" t="s">
        <v>799</v>
      </c>
      <c r="B66" s="11" t="s">
        <v>798</v>
      </c>
      <c r="C66" s="23">
        <v>0</v>
      </c>
      <c r="D66" s="23">
        <v>0</v>
      </c>
      <c r="E66" s="23">
        <v>0</v>
      </c>
      <c r="F66" s="23">
        <v>0</v>
      </c>
      <c r="G66" s="23">
        <v>0</v>
      </c>
      <c r="H66" s="31">
        <v>0</v>
      </c>
      <c r="I66" s="31">
        <v>0</v>
      </c>
      <c r="J66" s="31">
        <v>0</v>
      </c>
      <c r="K66" s="23">
        <v>0</v>
      </c>
      <c r="L66" s="23">
        <v>0</v>
      </c>
      <c r="M66" s="23">
        <v>0</v>
      </c>
      <c r="N66" s="23">
        <v>0</v>
      </c>
      <c r="O66" s="23">
        <v>0</v>
      </c>
      <c r="P66" s="23">
        <v>0</v>
      </c>
    </row>
    <row r="67" spans="1:16" ht="15" customHeight="1" x14ac:dyDescent="0.3">
      <c r="A67" s="11" t="s">
        <v>797</v>
      </c>
      <c r="B67" s="11" t="s">
        <v>796</v>
      </c>
      <c r="C67" s="31">
        <v>2587.6</v>
      </c>
      <c r="D67" s="31">
        <v>2512.5601000000001</v>
      </c>
      <c r="E67" s="31">
        <v>2628</v>
      </c>
      <c r="F67" s="31">
        <v>2653</v>
      </c>
      <c r="G67" s="31">
        <v>2692</v>
      </c>
      <c r="H67" s="23">
        <v>2719</v>
      </c>
      <c r="I67" s="23">
        <v>2747.9679999999998</v>
      </c>
      <c r="J67" s="23">
        <v>2787.0216</v>
      </c>
      <c r="K67" s="23">
        <v>2823.7778079999998</v>
      </c>
      <c r="L67" s="23">
        <v>2856.1926090000002</v>
      </c>
      <c r="M67" s="23">
        <v>2869.6524119999999</v>
      </c>
      <c r="N67" s="23">
        <v>2895.9020230000001</v>
      </c>
      <c r="O67" s="23">
        <v>2906.4505140000001</v>
      </c>
      <c r="P67" s="23">
        <v>2906.4505140000001</v>
      </c>
    </row>
    <row r="68" spans="1:16" ht="15" customHeight="1" x14ac:dyDescent="0.3">
      <c r="A68" s="11" t="s">
        <v>795</v>
      </c>
      <c r="B68" s="11" t="s">
        <v>794</v>
      </c>
      <c r="C68" s="31">
        <v>1838.3</v>
      </c>
      <c r="D68" s="31">
        <v>1762.8507</v>
      </c>
      <c r="E68" s="31">
        <v>1879</v>
      </c>
      <c r="F68" s="31">
        <v>1895</v>
      </c>
      <c r="G68" s="31">
        <v>1926</v>
      </c>
      <c r="H68" s="23">
        <v>1952</v>
      </c>
      <c r="I68" s="23">
        <v>1982.0956000000001</v>
      </c>
      <c r="J68" s="23">
        <v>2011.3398999999999</v>
      </c>
      <c r="K68" s="23">
        <v>2037.83854277</v>
      </c>
      <c r="L68" s="23">
        <v>2062.9255539999999</v>
      </c>
      <c r="M68" s="23">
        <v>2070.7751053100001</v>
      </c>
      <c r="N68" s="23">
        <v>2074.6247429999999</v>
      </c>
      <c r="O68" s="23">
        <v>2079.6446076000002</v>
      </c>
      <c r="P68" s="23">
        <v>2079.64460745</v>
      </c>
    </row>
    <row r="69" spans="1:16" ht="15" customHeight="1" x14ac:dyDescent="0.3">
      <c r="A69" s="11" t="s">
        <v>793</v>
      </c>
      <c r="B69" s="11" t="s">
        <v>792</v>
      </c>
      <c r="C69" s="23">
        <v>37.97</v>
      </c>
      <c r="D69" s="23">
        <v>37.970199999999998</v>
      </c>
      <c r="E69" s="23">
        <v>37.97</v>
      </c>
      <c r="F69" s="23">
        <v>37.97</v>
      </c>
      <c r="G69" s="23">
        <v>37.97</v>
      </c>
      <c r="H69" s="23">
        <v>38</v>
      </c>
      <c r="I69" s="23">
        <v>37.970199999999998</v>
      </c>
      <c r="J69" s="23">
        <v>37.970199999999998</v>
      </c>
      <c r="K69" s="23">
        <v>37.970236239999998</v>
      </c>
      <c r="L69" s="23">
        <v>37.970236</v>
      </c>
      <c r="M69" s="23">
        <v>37.970236239999998</v>
      </c>
      <c r="N69" s="23">
        <v>37.970236</v>
      </c>
      <c r="O69" s="23">
        <v>37.970236</v>
      </c>
      <c r="P69" s="23">
        <v>37.970236239999998</v>
      </c>
    </row>
    <row r="70" spans="1:16" ht="15" customHeight="1" x14ac:dyDescent="0.3">
      <c r="A70" s="11" t="s">
        <v>791</v>
      </c>
      <c r="B70" s="11" t="s">
        <v>53</v>
      </c>
      <c r="C70" s="23">
        <v>710</v>
      </c>
      <c r="D70" s="23">
        <v>711.73910000000001</v>
      </c>
      <c r="E70" s="23">
        <v>710</v>
      </c>
      <c r="F70" s="23">
        <v>721</v>
      </c>
      <c r="G70" s="23">
        <v>728</v>
      </c>
      <c r="H70" s="23">
        <v>729</v>
      </c>
      <c r="I70" s="23">
        <v>727.90219999999999</v>
      </c>
      <c r="J70" s="23">
        <v>737.7115</v>
      </c>
      <c r="K70" s="23">
        <v>747.969029143488</v>
      </c>
      <c r="L70" s="23">
        <v>755.29681900000003</v>
      </c>
      <c r="M70" s="23">
        <v>760.907070653608</v>
      </c>
      <c r="N70" s="23">
        <v>783.30704400000002</v>
      </c>
      <c r="O70" s="23">
        <v>788.83567077554301</v>
      </c>
      <c r="P70" s="23">
        <v>788.83567077554301</v>
      </c>
    </row>
    <row r="71" spans="1:16" ht="15" customHeight="1" x14ac:dyDescent="0.3">
      <c r="A71" s="11" t="s">
        <v>790</v>
      </c>
      <c r="B71" s="11" t="s">
        <v>789</v>
      </c>
      <c r="C71" s="31">
        <v>27719</v>
      </c>
      <c r="D71" s="31">
        <v>27719.3423</v>
      </c>
      <c r="E71" s="31">
        <v>28493</v>
      </c>
      <c r="F71" s="31">
        <v>29009</v>
      </c>
      <c r="G71" s="31">
        <v>29571</v>
      </c>
      <c r="H71" s="23">
        <v>30066</v>
      </c>
      <c r="I71" s="23">
        <v>29044.650600000001</v>
      </c>
      <c r="J71" s="23">
        <v>29515.563200000001</v>
      </c>
      <c r="K71" s="23">
        <v>30008.155955999999</v>
      </c>
      <c r="L71" s="23">
        <v>30502.532843000001</v>
      </c>
      <c r="M71" s="23">
        <v>31065.407630999998</v>
      </c>
      <c r="N71" s="23">
        <v>31593.641097</v>
      </c>
      <c r="O71" s="23">
        <v>30933.983847</v>
      </c>
      <c r="P71" s="23">
        <v>31493.834244000001</v>
      </c>
    </row>
    <row r="72" spans="1:16" ht="15" customHeight="1" x14ac:dyDescent="0.3">
      <c r="A72" s="11" t="s">
        <v>788</v>
      </c>
      <c r="B72" s="11" t="s">
        <v>787</v>
      </c>
      <c r="C72" s="31">
        <v>705</v>
      </c>
      <c r="D72" s="31">
        <v>705.35590000000002</v>
      </c>
      <c r="E72" s="31">
        <v>691</v>
      </c>
      <c r="F72" s="31">
        <v>702</v>
      </c>
      <c r="G72" s="31">
        <v>702</v>
      </c>
      <c r="H72" s="23">
        <v>716</v>
      </c>
      <c r="I72" s="23">
        <v>652.50729999999999</v>
      </c>
      <c r="J72" s="23">
        <v>504.3888</v>
      </c>
      <c r="K72" s="23">
        <v>501.45948050847102</v>
      </c>
      <c r="L72" s="23">
        <v>597.44417280000005</v>
      </c>
      <c r="M72" s="23">
        <v>495.43198889673101</v>
      </c>
      <c r="N72" s="23">
        <v>578.91602880000005</v>
      </c>
      <c r="O72" s="23">
        <v>597.29138711999997</v>
      </c>
      <c r="P72" s="23">
        <v>589.62595712434097</v>
      </c>
    </row>
    <row r="73" spans="1:16" ht="15" customHeight="1" x14ac:dyDescent="0.3">
      <c r="A73" s="11" t="s">
        <v>786</v>
      </c>
      <c r="B73" s="11" t="s">
        <v>785</v>
      </c>
      <c r="C73" s="31">
        <v>132</v>
      </c>
      <c r="D73" s="31">
        <v>132.09800000000001</v>
      </c>
      <c r="E73" s="31">
        <v>131</v>
      </c>
      <c r="F73" s="31">
        <v>130</v>
      </c>
      <c r="G73" s="31">
        <v>128</v>
      </c>
      <c r="H73" s="23">
        <v>137</v>
      </c>
      <c r="I73" s="23">
        <v>139.4109</v>
      </c>
      <c r="J73" s="23">
        <v>13.8127</v>
      </c>
      <c r="K73" s="23">
        <v>14.333476340000001</v>
      </c>
      <c r="L73" s="23">
        <v>130.95955900000001</v>
      </c>
      <c r="M73" s="23">
        <v>21.592988340000002</v>
      </c>
      <c r="N73" s="23">
        <v>128.15616</v>
      </c>
      <c r="O73" s="23">
        <v>121.50678012</v>
      </c>
      <c r="P73" s="23">
        <v>121.50678046</v>
      </c>
    </row>
    <row r="74" spans="1:16" ht="15" customHeight="1" x14ac:dyDescent="0.3">
      <c r="A74" s="11" t="s">
        <v>784</v>
      </c>
      <c r="B74" s="11" t="s">
        <v>783</v>
      </c>
      <c r="C74" s="23">
        <v>0</v>
      </c>
      <c r="D74" s="23">
        <v>0</v>
      </c>
      <c r="E74" s="23">
        <v>0</v>
      </c>
      <c r="F74" s="23">
        <v>0</v>
      </c>
      <c r="G74" s="23">
        <v>0</v>
      </c>
      <c r="H74" s="23">
        <v>0</v>
      </c>
      <c r="I74" s="23">
        <v>0</v>
      </c>
      <c r="J74" s="23">
        <v>0</v>
      </c>
      <c r="K74" s="23">
        <v>0</v>
      </c>
      <c r="L74" s="23">
        <v>0</v>
      </c>
      <c r="M74" s="23">
        <v>0</v>
      </c>
      <c r="N74" s="23">
        <v>0</v>
      </c>
      <c r="O74" s="23">
        <v>0</v>
      </c>
      <c r="P74" s="23">
        <v>0</v>
      </c>
    </row>
    <row r="75" spans="1:16" ht="15" customHeight="1" x14ac:dyDescent="0.3">
      <c r="A75" s="11" t="s">
        <v>782</v>
      </c>
      <c r="B75" s="11" t="s">
        <v>781</v>
      </c>
      <c r="C75" s="23">
        <v>124</v>
      </c>
      <c r="D75" s="23">
        <v>123.80329999999999</v>
      </c>
      <c r="E75" s="23">
        <v>124</v>
      </c>
      <c r="F75" s="23">
        <v>0</v>
      </c>
      <c r="G75" s="23">
        <v>123</v>
      </c>
      <c r="H75" s="23">
        <v>123</v>
      </c>
      <c r="I75" s="23">
        <v>125.38939999999999</v>
      </c>
      <c r="J75" s="23">
        <v>0</v>
      </c>
      <c r="K75" s="23">
        <v>0</v>
      </c>
      <c r="L75" s="23">
        <v>0</v>
      </c>
      <c r="M75" s="23">
        <v>0</v>
      </c>
      <c r="N75" s="23">
        <v>0</v>
      </c>
      <c r="O75" s="23">
        <v>0</v>
      </c>
      <c r="P75" s="23">
        <v>0</v>
      </c>
    </row>
    <row r="76" spans="1:16" ht="15" customHeight="1" x14ac:dyDescent="0.3">
      <c r="A76" s="11" t="s">
        <v>780</v>
      </c>
      <c r="B76" s="11" t="s">
        <v>779</v>
      </c>
      <c r="C76" s="23">
        <v>0</v>
      </c>
      <c r="D76" s="23">
        <v>0</v>
      </c>
      <c r="E76" s="23">
        <v>0</v>
      </c>
      <c r="F76" s="23">
        <v>0</v>
      </c>
      <c r="G76" s="23">
        <v>0</v>
      </c>
      <c r="H76" s="23">
        <v>0</v>
      </c>
      <c r="I76" s="23">
        <v>0</v>
      </c>
      <c r="J76" s="23">
        <v>0</v>
      </c>
      <c r="K76" s="23">
        <v>0</v>
      </c>
      <c r="L76" s="23">
        <v>0</v>
      </c>
      <c r="M76" s="23">
        <v>0</v>
      </c>
      <c r="N76" s="23">
        <v>0</v>
      </c>
      <c r="O76" s="23">
        <v>0</v>
      </c>
      <c r="P76" s="23">
        <v>0</v>
      </c>
    </row>
    <row r="77" spans="1:16" ht="15" customHeight="1" x14ac:dyDescent="0.3">
      <c r="A77" s="11" t="s">
        <v>778</v>
      </c>
      <c r="B77" s="11" t="s">
        <v>777</v>
      </c>
      <c r="C77" s="31">
        <v>573</v>
      </c>
      <c r="D77" s="31">
        <v>573.25789999999995</v>
      </c>
      <c r="E77" s="31">
        <v>560</v>
      </c>
      <c r="F77" s="31">
        <v>572</v>
      </c>
      <c r="G77" s="31">
        <v>574</v>
      </c>
      <c r="H77" s="23">
        <v>579</v>
      </c>
      <c r="I77" s="23">
        <v>513.09640000000002</v>
      </c>
      <c r="J77" s="23">
        <v>490.57600000000002</v>
      </c>
      <c r="K77" s="23">
        <v>487.12600416847101</v>
      </c>
      <c r="L77" s="23">
        <v>466.48461379999998</v>
      </c>
      <c r="M77" s="23">
        <v>473.83900055673098</v>
      </c>
      <c r="N77" s="23">
        <v>450.75986879999999</v>
      </c>
      <c r="O77" s="23">
        <v>475.78460699999999</v>
      </c>
      <c r="P77" s="23">
        <v>468.11917666434101</v>
      </c>
    </row>
    <row r="78" spans="1:16" ht="15" customHeight="1" x14ac:dyDescent="0.3">
      <c r="A78" s="11" t="s">
        <v>776</v>
      </c>
      <c r="B78" s="11" t="s">
        <v>775</v>
      </c>
      <c r="C78" s="31">
        <v>2828</v>
      </c>
      <c r="D78" s="31">
        <v>2828.3966999999998</v>
      </c>
      <c r="E78" s="31">
        <v>2821</v>
      </c>
      <c r="F78" s="31">
        <v>2887</v>
      </c>
      <c r="G78" s="31">
        <v>2912</v>
      </c>
      <c r="H78" s="23">
        <v>2892</v>
      </c>
      <c r="I78" s="23">
        <v>2889.2383</v>
      </c>
      <c r="J78" s="23">
        <v>2908.3784000000001</v>
      </c>
      <c r="K78" s="23">
        <v>2970.5203463043999</v>
      </c>
      <c r="L78" s="23">
        <v>2914.0699420000001</v>
      </c>
      <c r="M78" s="23">
        <v>2927.5315999999998</v>
      </c>
      <c r="N78" s="23">
        <v>2950.530197</v>
      </c>
      <c r="O78" s="23">
        <v>3064.8407888142501</v>
      </c>
      <c r="P78" s="23">
        <v>3064.8407888142501</v>
      </c>
    </row>
    <row r="79" spans="1:16" ht="15" customHeight="1" x14ac:dyDescent="0.3">
      <c r="A79" s="11" t="s">
        <v>774</v>
      </c>
      <c r="B79" s="11" t="s">
        <v>760</v>
      </c>
      <c r="C79" s="31">
        <v>2771</v>
      </c>
      <c r="D79" s="31">
        <v>2801.1021999999998</v>
      </c>
      <c r="E79" s="31">
        <v>2849</v>
      </c>
      <c r="F79" s="31">
        <v>2888</v>
      </c>
      <c r="G79" s="31">
        <v>2957</v>
      </c>
      <c r="H79" s="23">
        <v>3005</v>
      </c>
      <c r="I79" s="23">
        <v>2903.0628999999999</v>
      </c>
      <c r="J79" s="23">
        <v>2950.1750000000002</v>
      </c>
      <c r="K79" s="23">
        <v>2999.3822480315298</v>
      </c>
      <c r="L79" s="23">
        <v>3037.1573284000001</v>
      </c>
      <c r="M79" s="23">
        <v>3104.38146444327</v>
      </c>
      <c r="N79" s="23">
        <v>3146.5484937000001</v>
      </c>
      <c r="O79" s="23">
        <v>3081.2477066880001</v>
      </c>
      <c r="P79" s="23">
        <v>3137.23274642366</v>
      </c>
    </row>
    <row r="80" spans="1:16" ht="15" customHeight="1" x14ac:dyDescent="0.3">
      <c r="A80" s="11" t="s">
        <v>773</v>
      </c>
      <c r="B80" s="11" t="s">
        <v>772</v>
      </c>
      <c r="C80" s="23">
        <v>0</v>
      </c>
      <c r="D80" s="23">
        <v>0</v>
      </c>
      <c r="E80" s="23">
        <v>0</v>
      </c>
      <c r="F80" s="23">
        <v>0</v>
      </c>
      <c r="G80" s="23">
        <v>0</v>
      </c>
      <c r="H80" s="23">
        <v>0</v>
      </c>
      <c r="I80" s="23">
        <v>0</v>
      </c>
      <c r="J80" s="23">
        <v>0</v>
      </c>
      <c r="K80" s="23">
        <v>0</v>
      </c>
      <c r="L80" s="23">
        <v>0</v>
      </c>
      <c r="M80" s="23">
        <v>0</v>
      </c>
      <c r="N80" s="23">
        <v>0</v>
      </c>
      <c r="O80" s="23">
        <v>0</v>
      </c>
      <c r="P80" s="23">
        <v>0</v>
      </c>
    </row>
    <row r="81" spans="1:16" ht="15" customHeight="1" x14ac:dyDescent="0.3">
      <c r="A81" s="11" t="s">
        <v>771</v>
      </c>
      <c r="B81" s="11" t="s">
        <v>770</v>
      </c>
      <c r="C81" s="23">
        <v>0</v>
      </c>
      <c r="D81" s="23">
        <v>0</v>
      </c>
      <c r="E81" s="23">
        <v>0</v>
      </c>
      <c r="F81" s="23">
        <v>0</v>
      </c>
      <c r="G81" s="23">
        <v>0</v>
      </c>
      <c r="H81" s="23">
        <v>0</v>
      </c>
      <c r="I81" s="23">
        <v>0</v>
      </c>
      <c r="J81" s="23">
        <v>0</v>
      </c>
      <c r="K81" s="23">
        <v>0</v>
      </c>
      <c r="L81" s="23">
        <v>0</v>
      </c>
      <c r="M81" s="23">
        <v>0</v>
      </c>
      <c r="N81" s="23">
        <v>0</v>
      </c>
      <c r="O81" s="23">
        <v>0</v>
      </c>
      <c r="P81" s="23">
        <v>0</v>
      </c>
    </row>
    <row r="82" spans="1:16" ht="15" customHeight="1" x14ac:dyDescent="0.3">
      <c r="A82" s="11" t="s">
        <v>769</v>
      </c>
      <c r="B82" s="11" t="s">
        <v>768</v>
      </c>
      <c r="C82" s="23">
        <v>0</v>
      </c>
      <c r="D82" s="23">
        <v>0</v>
      </c>
      <c r="E82" s="23">
        <v>0</v>
      </c>
      <c r="F82" s="23">
        <v>0</v>
      </c>
      <c r="G82" s="23">
        <v>0</v>
      </c>
      <c r="H82" s="23">
        <v>0</v>
      </c>
      <c r="I82" s="23">
        <v>0</v>
      </c>
      <c r="J82" s="23">
        <v>0</v>
      </c>
      <c r="K82" s="35">
        <v>0</v>
      </c>
      <c r="L82" s="35">
        <v>0</v>
      </c>
      <c r="M82" s="35">
        <v>0</v>
      </c>
      <c r="N82" s="35">
        <v>0</v>
      </c>
      <c r="O82" s="35">
        <v>0</v>
      </c>
      <c r="P82" s="35">
        <v>0</v>
      </c>
    </row>
    <row r="83" spans="1:16" ht="15" customHeight="1" x14ac:dyDescent="0.3">
      <c r="A83" s="11" t="s">
        <v>767</v>
      </c>
      <c r="B83" s="11" t="s">
        <v>766</v>
      </c>
      <c r="C83" s="31">
        <v>27014</v>
      </c>
      <c r="D83" s="31">
        <v>27313.960599999999</v>
      </c>
      <c r="E83" s="31">
        <v>27801</v>
      </c>
      <c r="F83" s="31">
        <v>28307</v>
      </c>
      <c r="G83" s="31">
        <v>28869</v>
      </c>
      <c r="H83" s="35">
        <v>29350</v>
      </c>
      <c r="I83" s="35">
        <v>28392.1433</v>
      </c>
      <c r="J83" s="35">
        <v>29011.1744</v>
      </c>
      <c r="K83" s="23">
        <v>29506.696475491499</v>
      </c>
      <c r="L83" s="23">
        <v>29905.088670199999</v>
      </c>
      <c r="M83" s="23">
        <v>30569.975642103302</v>
      </c>
      <c r="N83" s="23">
        <v>31014.725068200001</v>
      </c>
      <c r="O83" s="23">
        <v>30336.69245988</v>
      </c>
      <c r="P83" s="23">
        <v>30904.208286875699</v>
      </c>
    </row>
    <row r="84" spans="1:16" ht="15" customHeight="1" x14ac:dyDescent="0.3">
      <c r="A84" s="11" t="s">
        <v>765</v>
      </c>
      <c r="B84" s="11" t="s">
        <v>764</v>
      </c>
      <c r="C84" s="23">
        <v>0</v>
      </c>
      <c r="D84" s="23">
        <v>0</v>
      </c>
      <c r="E84" s="23">
        <v>0</v>
      </c>
      <c r="F84" s="23">
        <v>0</v>
      </c>
      <c r="G84" s="23">
        <v>0</v>
      </c>
      <c r="H84" s="23">
        <v>0</v>
      </c>
      <c r="I84" s="23">
        <v>0</v>
      </c>
      <c r="J84" s="23">
        <v>0</v>
      </c>
      <c r="K84" s="35">
        <v>0</v>
      </c>
      <c r="L84" s="35">
        <v>0</v>
      </c>
      <c r="M84" s="35">
        <v>0</v>
      </c>
      <c r="N84" s="35">
        <v>0</v>
      </c>
      <c r="O84" s="35">
        <v>0</v>
      </c>
      <c r="P84" s="35">
        <v>0</v>
      </c>
    </row>
    <row r="85" spans="1:16" x14ac:dyDescent="0.3">
      <c r="A85" s="11" t="s">
        <v>763</v>
      </c>
      <c r="B85" s="11" t="s">
        <v>762</v>
      </c>
      <c r="C85" s="31">
        <v>2451</v>
      </c>
      <c r="D85" s="31">
        <v>2451.0030000000002</v>
      </c>
      <c r="E85" s="31">
        <v>2057</v>
      </c>
      <c r="F85" s="31">
        <v>2056</v>
      </c>
      <c r="G85" s="31">
        <v>1989</v>
      </c>
      <c r="H85" s="35">
        <v>2158</v>
      </c>
      <c r="I85" s="35">
        <v>2234.5072</v>
      </c>
      <c r="J85" s="35">
        <v>2235.1174000000001</v>
      </c>
      <c r="K85" s="35">
        <v>2209.9213312345</v>
      </c>
      <c r="L85" s="35">
        <v>2033.999951</v>
      </c>
      <c r="M85" s="35">
        <v>2177.7923349286002</v>
      </c>
      <c r="N85" s="35">
        <v>1944.532238</v>
      </c>
      <c r="O85" s="35">
        <v>2105.0568061059998</v>
      </c>
      <c r="P85" s="35">
        <v>2105.0568061059998</v>
      </c>
    </row>
    <row r="86" spans="1:16" x14ac:dyDescent="0.3">
      <c r="A86" s="11" t="s">
        <v>761</v>
      </c>
      <c r="B86" s="11" t="s">
        <v>760</v>
      </c>
      <c r="C86" s="31">
        <v>6753</v>
      </c>
      <c r="D86" s="31">
        <v>6828.4902000000002</v>
      </c>
      <c r="E86" s="31">
        <v>6950</v>
      </c>
      <c r="F86" s="31">
        <v>7077</v>
      </c>
      <c r="G86" s="31">
        <v>7217</v>
      </c>
      <c r="H86" s="35">
        <v>7337</v>
      </c>
      <c r="I86" s="35">
        <v>7098.0357999999997</v>
      </c>
      <c r="J86" s="35">
        <v>7221.7204000000002</v>
      </c>
      <c r="K86" s="23">
        <v>7346.6724650367096</v>
      </c>
      <c r="L86" s="23">
        <v>7476.2721675499997</v>
      </c>
      <c r="M86" s="23">
        <v>7613.4754617189901</v>
      </c>
      <c r="N86" s="23">
        <v>3146.5484937000001</v>
      </c>
      <c r="O86" s="23">
        <v>7584.1731149699999</v>
      </c>
      <c r="P86" s="23">
        <v>7726.0520718930602</v>
      </c>
    </row>
    <row r="87" spans="1:16" ht="15" customHeight="1" x14ac:dyDescent="0.3">
      <c r="A87" s="11" t="s">
        <v>759</v>
      </c>
      <c r="B87" s="11" t="s">
        <v>758</v>
      </c>
      <c r="C87" s="23">
        <v>0</v>
      </c>
      <c r="D87" s="23">
        <v>0</v>
      </c>
      <c r="E87" s="23">
        <v>0</v>
      </c>
      <c r="F87" s="23">
        <v>0</v>
      </c>
      <c r="G87" s="23">
        <v>0</v>
      </c>
      <c r="H87" s="23">
        <v>0</v>
      </c>
      <c r="I87" s="23">
        <v>0</v>
      </c>
      <c r="J87" s="23">
        <v>0</v>
      </c>
      <c r="K87" s="23">
        <v>0</v>
      </c>
      <c r="L87" s="23">
        <v>0</v>
      </c>
      <c r="M87" s="23">
        <v>0</v>
      </c>
      <c r="N87" s="23">
        <v>0</v>
      </c>
      <c r="O87" s="23">
        <v>0</v>
      </c>
      <c r="P87" s="23">
        <v>0</v>
      </c>
    </row>
    <row r="88" spans="1:16" ht="15" customHeight="1" x14ac:dyDescent="0.3">
      <c r="A88" s="11" t="s">
        <v>757</v>
      </c>
      <c r="B88" s="11" t="s">
        <v>756</v>
      </c>
      <c r="C88" s="23"/>
      <c r="D88" s="23"/>
      <c r="E88" s="23"/>
      <c r="F88" s="23"/>
      <c r="G88" s="23"/>
      <c r="H88" s="23"/>
      <c r="I88" s="23"/>
      <c r="J88" s="23"/>
      <c r="K88" s="23"/>
      <c r="L88" s="23"/>
      <c r="M88" s="23"/>
      <c r="N88" s="23"/>
      <c r="O88" s="23"/>
      <c r="P88" s="23"/>
    </row>
    <row r="89" spans="1:16" ht="15" customHeight="1" x14ac:dyDescent="0.3">
      <c r="A89" s="11" t="s">
        <v>755</v>
      </c>
      <c r="B89" s="11" t="s">
        <v>754</v>
      </c>
      <c r="C89" s="31">
        <v>27014</v>
      </c>
      <c r="D89" s="31">
        <v>27313.960609999998</v>
      </c>
      <c r="E89" s="31">
        <v>27801</v>
      </c>
      <c r="F89" s="31">
        <v>28307</v>
      </c>
      <c r="G89" s="31">
        <v>28869</v>
      </c>
      <c r="H89" s="23">
        <v>29350</v>
      </c>
      <c r="I89" s="23">
        <v>28392.143400000001</v>
      </c>
      <c r="J89" s="23">
        <v>28886.881600000001</v>
      </c>
      <c r="K89" s="23">
        <v>29386.689860146798</v>
      </c>
      <c r="L89" s="23">
        <v>29905.088670199999</v>
      </c>
      <c r="M89" s="23">
        <v>30453.901846876</v>
      </c>
      <c r="N89" s="23">
        <v>31014.725068200001</v>
      </c>
      <c r="O89" s="23">
        <v>30336.69245988</v>
      </c>
      <c r="P89" s="23">
        <v>30904.208287572201</v>
      </c>
    </row>
    <row r="90" spans="1:16" ht="15" customHeight="1" x14ac:dyDescent="0.3">
      <c r="A90" s="11" t="s">
        <v>753</v>
      </c>
      <c r="B90" s="11" t="s">
        <v>752</v>
      </c>
      <c r="C90" s="23"/>
      <c r="D90" s="23"/>
      <c r="E90" s="23"/>
      <c r="F90" s="23"/>
      <c r="G90" s="23"/>
      <c r="H90" s="23"/>
      <c r="I90" s="23"/>
      <c r="J90" s="23"/>
      <c r="K90" s="23"/>
      <c r="L90" s="23"/>
      <c r="M90" s="23"/>
      <c r="N90" s="23"/>
      <c r="O90" s="23"/>
      <c r="P90" s="23"/>
    </row>
    <row r="91" spans="1:16" ht="15" customHeight="1" x14ac:dyDescent="0.3">
      <c r="A91" s="11" t="s">
        <v>751</v>
      </c>
      <c r="B91" s="11" t="s">
        <v>750</v>
      </c>
      <c r="C91" s="23">
        <v>0</v>
      </c>
      <c r="D91" s="23">
        <v>0</v>
      </c>
      <c r="E91" s="23">
        <v>0</v>
      </c>
      <c r="F91" s="23">
        <v>0</v>
      </c>
      <c r="G91" s="23">
        <v>0</v>
      </c>
      <c r="H91" s="23">
        <v>0</v>
      </c>
      <c r="I91" s="23">
        <v>0</v>
      </c>
      <c r="J91" s="23">
        <v>0</v>
      </c>
      <c r="K91" s="23">
        <v>0</v>
      </c>
      <c r="L91" s="23">
        <v>0</v>
      </c>
      <c r="M91" s="23">
        <v>0</v>
      </c>
      <c r="N91" s="23">
        <v>0</v>
      </c>
      <c r="O91" s="23">
        <v>0</v>
      </c>
      <c r="P91" s="23">
        <v>0</v>
      </c>
    </row>
    <row r="92" spans="1:16" ht="15" customHeight="1" x14ac:dyDescent="0.3">
      <c r="A92" s="11" t="s">
        <v>749</v>
      </c>
      <c r="B92" s="11" t="s">
        <v>748</v>
      </c>
      <c r="C92" s="23">
        <v>0</v>
      </c>
      <c r="D92" s="23">
        <v>0</v>
      </c>
      <c r="E92" s="23">
        <v>0</v>
      </c>
      <c r="F92" s="23">
        <v>0</v>
      </c>
      <c r="G92" s="23">
        <v>0</v>
      </c>
      <c r="H92" s="23">
        <v>0</v>
      </c>
      <c r="I92" s="23">
        <v>0</v>
      </c>
      <c r="J92" s="23">
        <v>0</v>
      </c>
      <c r="K92" s="23">
        <v>0</v>
      </c>
      <c r="L92" s="23">
        <v>0</v>
      </c>
      <c r="M92" s="23">
        <v>0</v>
      </c>
      <c r="N92" s="23">
        <v>0</v>
      </c>
      <c r="O92" s="23">
        <v>0</v>
      </c>
      <c r="P92" s="23">
        <v>0</v>
      </c>
    </row>
    <row r="93" spans="1:16" ht="15" customHeight="1" x14ac:dyDescent="0.3">
      <c r="A93" s="11" t="s">
        <v>747</v>
      </c>
      <c r="B93" s="11" t="s">
        <v>746</v>
      </c>
      <c r="C93" s="23">
        <v>0</v>
      </c>
      <c r="D93" s="23">
        <v>0</v>
      </c>
      <c r="E93" s="23">
        <v>0</v>
      </c>
      <c r="F93" s="23">
        <v>0</v>
      </c>
      <c r="G93" s="23">
        <v>0</v>
      </c>
      <c r="H93" s="23">
        <v>0</v>
      </c>
      <c r="I93" s="23">
        <v>0</v>
      </c>
      <c r="J93" s="23">
        <v>0</v>
      </c>
      <c r="K93" s="23">
        <v>0</v>
      </c>
      <c r="L93" s="23">
        <v>0</v>
      </c>
      <c r="M93" s="23">
        <v>0</v>
      </c>
      <c r="N93" s="23">
        <v>0</v>
      </c>
      <c r="O93" s="23">
        <v>0</v>
      </c>
      <c r="P93" s="23">
        <v>0</v>
      </c>
    </row>
    <row r="94" spans="1:16" ht="15" customHeight="1" x14ac:dyDescent="0.3">
      <c r="A94" s="11" t="s">
        <v>745</v>
      </c>
      <c r="B94" s="11" t="s">
        <v>744</v>
      </c>
      <c r="C94" s="23">
        <v>0</v>
      </c>
      <c r="D94" s="23">
        <v>0</v>
      </c>
      <c r="E94" s="23">
        <v>0</v>
      </c>
      <c r="F94" s="23">
        <v>0</v>
      </c>
      <c r="G94" s="23">
        <v>0</v>
      </c>
      <c r="H94" s="23">
        <v>0</v>
      </c>
      <c r="I94" s="23">
        <v>0</v>
      </c>
      <c r="J94" s="23">
        <v>0</v>
      </c>
      <c r="K94" s="23">
        <v>0</v>
      </c>
      <c r="L94" s="23">
        <v>0</v>
      </c>
      <c r="M94" s="23">
        <v>0</v>
      </c>
      <c r="N94" s="23">
        <v>0</v>
      </c>
      <c r="O94" s="23">
        <v>0</v>
      </c>
      <c r="P94" s="23">
        <v>0</v>
      </c>
    </row>
    <row r="95" spans="1:16" ht="15" customHeight="1" x14ac:dyDescent="0.3">
      <c r="A95" s="11" t="s">
        <v>743</v>
      </c>
      <c r="B95" s="11" t="s">
        <v>742</v>
      </c>
      <c r="C95" s="23">
        <v>0</v>
      </c>
      <c r="D95" s="23">
        <v>0</v>
      </c>
      <c r="E95" s="23">
        <v>0</v>
      </c>
      <c r="F95" s="23">
        <v>0</v>
      </c>
      <c r="G95" s="23">
        <v>0</v>
      </c>
      <c r="H95" s="23">
        <v>0</v>
      </c>
      <c r="I95" s="23">
        <v>0</v>
      </c>
      <c r="J95" s="23">
        <v>0</v>
      </c>
      <c r="K95" s="23">
        <v>0</v>
      </c>
      <c r="L95" s="23">
        <v>0</v>
      </c>
      <c r="M95" s="23">
        <v>0</v>
      </c>
      <c r="N95" s="23">
        <v>0</v>
      </c>
      <c r="O95" s="23">
        <v>0</v>
      </c>
      <c r="P95" s="23">
        <v>0</v>
      </c>
    </row>
    <row r="96" spans="1:16" ht="15" customHeight="1" x14ac:dyDescent="0.3">
      <c r="A96" s="11" t="s">
        <v>741</v>
      </c>
      <c r="B96" s="11" t="s">
        <v>740</v>
      </c>
      <c r="C96" s="23">
        <v>0</v>
      </c>
      <c r="D96" s="23">
        <v>0</v>
      </c>
      <c r="E96" s="23">
        <v>0</v>
      </c>
      <c r="F96" s="23">
        <v>0</v>
      </c>
      <c r="G96" s="23">
        <v>0</v>
      </c>
      <c r="H96" s="23">
        <v>0</v>
      </c>
      <c r="I96" s="23">
        <v>0</v>
      </c>
      <c r="J96" s="23">
        <v>0</v>
      </c>
      <c r="K96" s="23">
        <v>0</v>
      </c>
      <c r="L96" s="23">
        <v>0</v>
      </c>
      <c r="M96" s="23">
        <v>0</v>
      </c>
      <c r="N96" s="23">
        <v>0</v>
      </c>
      <c r="O96" s="23">
        <v>0</v>
      </c>
      <c r="P96" s="23">
        <v>0</v>
      </c>
    </row>
    <row r="97" spans="1:16" ht="15" customHeight="1" x14ac:dyDescent="0.3">
      <c r="A97" s="11" t="s">
        <v>739</v>
      </c>
      <c r="B97" s="11" t="s">
        <v>738</v>
      </c>
      <c r="C97" s="23">
        <v>0</v>
      </c>
      <c r="D97" s="23">
        <v>0</v>
      </c>
      <c r="E97" s="23">
        <v>0</v>
      </c>
      <c r="F97" s="23">
        <v>0</v>
      </c>
      <c r="G97" s="23">
        <v>0</v>
      </c>
      <c r="H97" s="23">
        <v>0</v>
      </c>
      <c r="I97" s="23">
        <v>0</v>
      </c>
      <c r="J97" s="23">
        <v>0</v>
      </c>
      <c r="K97" s="23">
        <v>0</v>
      </c>
      <c r="L97" s="23">
        <v>0</v>
      </c>
      <c r="M97" s="23">
        <v>0</v>
      </c>
      <c r="N97" s="23">
        <v>0</v>
      </c>
      <c r="O97" s="23">
        <v>0</v>
      </c>
      <c r="P97" s="23">
        <v>0</v>
      </c>
    </row>
    <row r="98" spans="1:16" ht="15" customHeight="1" x14ac:dyDescent="0.3">
      <c r="A98" s="11" t="s">
        <v>737</v>
      </c>
      <c r="B98" s="11" t="s">
        <v>736</v>
      </c>
      <c r="C98" s="23">
        <v>0</v>
      </c>
      <c r="D98" s="23">
        <v>0</v>
      </c>
      <c r="E98" s="23">
        <v>0</v>
      </c>
      <c r="F98" s="23">
        <v>0</v>
      </c>
      <c r="G98" s="23">
        <v>0</v>
      </c>
      <c r="H98" s="23">
        <v>0</v>
      </c>
      <c r="I98" s="23">
        <v>0</v>
      </c>
      <c r="J98" s="23">
        <v>0</v>
      </c>
      <c r="K98" s="23">
        <v>0</v>
      </c>
      <c r="L98" s="23">
        <v>0</v>
      </c>
      <c r="M98" s="23">
        <v>0</v>
      </c>
      <c r="N98" s="23">
        <v>0</v>
      </c>
      <c r="O98" s="23">
        <v>0</v>
      </c>
      <c r="P98" s="23">
        <v>0</v>
      </c>
    </row>
    <row r="99" spans="1:16" ht="15" customHeight="1" x14ac:dyDescent="0.3">
      <c r="A99" s="11" t="s">
        <v>735</v>
      </c>
      <c r="B99" s="11" t="s">
        <v>734</v>
      </c>
      <c r="C99" s="23">
        <v>0</v>
      </c>
      <c r="D99" s="23">
        <v>0</v>
      </c>
      <c r="E99" s="23">
        <v>0</v>
      </c>
      <c r="F99" s="23">
        <v>0</v>
      </c>
      <c r="G99" s="23">
        <v>0</v>
      </c>
      <c r="H99" s="23">
        <v>0</v>
      </c>
      <c r="I99" s="23">
        <v>0</v>
      </c>
      <c r="J99" s="23">
        <v>0</v>
      </c>
      <c r="K99" s="23">
        <v>0</v>
      </c>
      <c r="L99" s="23">
        <v>0</v>
      </c>
      <c r="M99" s="23">
        <v>0</v>
      </c>
      <c r="N99" s="23">
        <v>0</v>
      </c>
      <c r="O99" s="23">
        <v>0</v>
      </c>
      <c r="P99" s="23">
        <v>0</v>
      </c>
    </row>
    <row r="100" spans="1:16" ht="15" customHeight="1" x14ac:dyDescent="0.3">
      <c r="A100" s="11" t="s">
        <v>733</v>
      </c>
      <c r="B100" s="11" t="s">
        <v>732</v>
      </c>
      <c r="C100" s="23">
        <v>0</v>
      </c>
      <c r="D100" s="23">
        <v>0</v>
      </c>
      <c r="E100" s="23">
        <v>0</v>
      </c>
      <c r="F100" s="23">
        <v>0</v>
      </c>
      <c r="G100" s="23">
        <v>0</v>
      </c>
      <c r="H100" s="23">
        <v>0</v>
      </c>
      <c r="I100" s="23">
        <v>0</v>
      </c>
      <c r="J100" s="23">
        <v>0</v>
      </c>
      <c r="K100" s="23">
        <v>0</v>
      </c>
      <c r="L100" s="23">
        <v>0</v>
      </c>
      <c r="M100" s="23">
        <v>0</v>
      </c>
      <c r="N100" s="23">
        <v>0</v>
      </c>
      <c r="O100" s="23">
        <v>0</v>
      </c>
      <c r="P100" s="23">
        <v>0</v>
      </c>
    </row>
    <row r="101" spans="1:16" ht="15" customHeight="1" x14ac:dyDescent="0.3">
      <c r="A101" s="11" t="s">
        <v>731</v>
      </c>
      <c r="B101" s="11" t="s">
        <v>730</v>
      </c>
      <c r="C101" s="23">
        <v>0</v>
      </c>
      <c r="D101" s="23">
        <v>0</v>
      </c>
      <c r="E101" s="23">
        <v>0</v>
      </c>
      <c r="F101" s="23">
        <v>0</v>
      </c>
      <c r="G101" s="23">
        <v>0</v>
      </c>
      <c r="H101" s="23">
        <v>0</v>
      </c>
      <c r="I101" s="23">
        <v>0</v>
      </c>
      <c r="J101" s="23">
        <v>0</v>
      </c>
      <c r="K101" s="23">
        <v>0</v>
      </c>
      <c r="L101" s="23">
        <v>0</v>
      </c>
      <c r="M101" s="23">
        <v>0</v>
      </c>
      <c r="N101" s="23">
        <v>0</v>
      </c>
      <c r="O101" s="23">
        <v>0</v>
      </c>
      <c r="P101" s="23">
        <v>0</v>
      </c>
    </row>
    <row r="102" spans="1:16" ht="15" customHeight="1" x14ac:dyDescent="0.3">
      <c r="A102" s="11" t="s">
        <v>729</v>
      </c>
      <c r="B102" s="11" t="s">
        <v>728</v>
      </c>
      <c r="C102" s="23">
        <v>0</v>
      </c>
      <c r="D102" s="23">
        <v>0</v>
      </c>
      <c r="E102" s="23">
        <v>0</v>
      </c>
      <c r="F102" s="23">
        <v>0</v>
      </c>
      <c r="G102" s="23">
        <v>0</v>
      </c>
      <c r="H102" s="23">
        <v>0</v>
      </c>
      <c r="I102" s="23">
        <v>0</v>
      </c>
      <c r="J102" s="23">
        <v>0</v>
      </c>
      <c r="K102" s="23">
        <v>0</v>
      </c>
      <c r="L102" s="23">
        <v>0</v>
      </c>
      <c r="M102" s="23">
        <v>0</v>
      </c>
      <c r="N102" s="23">
        <v>0</v>
      </c>
      <c r="O102" s="23">
        <v>0</v>
      </c>
      <c r="P102" s="23">
        <v>0</v>
      </c>
    </row>
    <row r="103" spans="1:16" ht="15" customHeight="1" x14ac:dyDescent="0.3">
      <c r="A103" s="11" t="s">
        <v>727</v>
      </c>
      <c r="B103" s="11" t="s">
        <v>726</v>
      </c>
      <c r="C103" s="23">
        <v>0</v>
      </c>
      <c r="D103" s="23">
        <v>0</v>
      </c>
      <c r="E103" s="23">
        <v>0</v>
      </c>
      <c r="F103" s="23">
        <v>0</v>
      </c>
      <c r="G103" s="23">
        <v>0</v>
      </c>
      <c r="H103" s="23">
        <v>0</v>
      </c>
      <c r="I103" s="23">
        <v>0</v>
      </c>
      <c r="J103" s="23">
        <v>0</v>
      </c>
      <c r="K103" s="23">
        <v>0</v>
      </c>
      <c r="L103" s="23">
        <v>0</v>
      </c>
      <c r="M103" s="23">
        <v>0</v>
      </c>
      <c r="N103" s="23">
        <v>0</v>
      </c>
      <c r="O103" s="23">
        <v>0</v>
      </c>
      <c r="P103" s="23">
        <v>0</v>
      </c>
    </row>
    <row r="104" spans="1:16" ht="15" customHeight="1" x14ac:dyDescent="0.3">
      <c r="A104" s="11" t="s">
        <v>725</v>
      </c>
      <c r="B104" s="11" t="s">
        <v>724</v>
      </c>
      <c r="C104" s="23">
        <v>46.94</v>
      </c>
      <c r="D104" s="23">
        <v>46.942749999999997</v>
      </c>
      <c r="E104" s="23">
        <v>46.03</v>
      </c>
      <c r="F104" s="23">
        <v>49.46</v>
      </c>
      <c r="G104" s="23">
        <v>49.83</v>
      </c>
      <c r="H104" s="23">
        <v>51</v>
      </c>
      <c r="I104" s="23">
        <v>56.171500000000002</v>
      </c>
      <c r="J104" s="23">
        <v>4.7618999999999998</v>
      </c>
      <c r="K104" s="23">
        <v>5.0759543502</v>
      </c>
      <c r="L104" s="23">
        <v>5.0815640000000002</v>
      </c>
      <c r="M104" s="23">
        <v>5.0813403464000002</v>
      </c>
      <c r="N104" s="23">
        <v>5.2898329999999998</v>
      </c>
      <c r="O104" s="23">
        <v>2.6909436251000001</v>
      </c>
      <c r="P104" s="23">
        <v>2.6909434113000299</v>
      </c>
    </row>
    <row r="105" spans="1:16" ht="15" customHeight="1" x14ac:dyDescent="0.3">
      <c r="A105" s="11" t="s">
        <v>723</v>
      </c>
      <c r="B105" s="11" t="s">
        <v>722</v>
      </c>
      <c r="C105" s="23">
        <v>46.94</v>
      </c>
      <c r="D105" s="23">
        <v>46.942749999999997</v>
      </c>
      <c r="E105" s="23">
        <v>46.03</v>
      </c>
      <c r="F105" s="23">
        <v>49.46</v>
      </c>
      <c r="G105" s="23">
        <v>49.83</v>
      </c>
      <c r="H105" s="23">
        <v>51</v>
      </c>
      <c r="I105" s="23">
        <v>56.171500000000002</v>
      </c>
      <c r="J105" s="23">
        <v>4.7618999999999998</v>
      </c>
      <c r="K105" s="23">
        <v>5.0759543502</v>
      </c>
      <c r="L105" s="23">
        <v>5.0815640000000002</v>
      </c>
      <c r="M105" s="23">
        <v>5.0813403464000002</v>
      </c>
      <c r="N105" s="23">
        <v>5.2898329999999998</v>
      </c>
      <c r="O105" s="23">
        <v>2.6909436251000001</v>
      </c>
      <c r="P105" s="23">
        <v>2.6909434113000299</v>
      </c>
    </row>
    <row r="106" spans="1:16" ht="15" customHeight="1" x14ac:dyDescent="0.3">
      <c r="A106" s="11" t="s">
        <v>721</v>
      </c>
      <c r="B106" s="11" t="s">
        <v>720</v>
      </c>
      <c r="C106" s="23">
        <v>46.94</v>
      </c>
      <c r="D106" s="23">
        <v>46.942749999999997</v>
      </c>
      <c r="E106" s="23">
        <v>46.03</v>
      </c>
      <c r="F106" s="23">
        <v>49.46</v>
      </c>
      <c r="G106" s="23">
        <v>49.83</v>
      </c>
      <c r="H106" s="23">
        <v>51</v>
      </c>
      <c r="I106" s="23">
        <v>56.171500000000002</v>
      </c>
      <c r="J106" s="23">
        <v>4.7618999999999998</v>
      </c>
      <c r="K106" s="23">
        <v>5.0759543502</v>
      </c>
      <c r="L106" s="23">
        <v>5.0815640000000002</v>
      </c>
      <c r="M106" s="23">
        <v>5.0813403464000002</v>
      </c>
      <c r="N106" s="23">
        <v>5.2898329999999998</v>
      </c>
      <c r="O106" s="23">
        <v>2.6909436251000001</v>
      </c>
      <c r="P106" s="23">
        <v>2.6909434113000299</v>
      </c>
    </row>
    <row r="107" spans="1:16" ht="15" customHeight="1" x14ac:dyDescent="0.3">
      <c r="A107" s="11" t="s">
        <v>719</v>
      </c>
      <c r="B107" s="11" t="s">
        <v>718</v>
      </c>
      <c r="C107" s="31">
        <v>1941</v>
      </c>
      <c r="D107" s="31">
        <v>1940.78413</v>
      </c>
      <c r="E107" s="31">
        <v>1973</v>
      </c>
      <c r="F107" s="31">
        <v>1992</v>
      </c>
      <c r="G107" s="31">
        <v>1982</v>
      </c>
      <c r="H107" s="23">
        <v>2004</v>
      </c>
      <c r="I107" s="23">
        <v>2012.481</v>
      </c>
      <c r="J107" s="23">
        <v>2016.3866</v>
      </c>
      <c r="K107" s="23">
        <v>2002.7539721969899</v>
      </c>
      <c r="L107" s="23">
        <v>2036.564915698</v>
      </c>
      <c r="M107" s="23">
        <v>2041.4949488529901</v>
      </c>
      <c r="N107" s="23">
        <v>2054.4412616227</v>
      </c>
      <c r="O107" s="23">
        <v>2006.6074679370799</v>
      </c>
      <c r="P107" s="23">
        <v>2083.6674443786401</v>
      </c>
    </row>
    <row r="108" spans="1:16" ht="15" customHeight="1" x14ac:dyDescent="0.3">
      <c r="A108" s="11" t="s">
        <v>717</v>
      </c>
      <c r="B108" s="11" t="s">
        <v>716</v>
      </c>
      <c r="C108" s="23">
        <v>0</v>
      </c>
      <c r="D108" s="23">
        <v>0</v>
      </c>
      <c r="E108" s="23">
        <v>0</v>
      </c>
      <c r="F108" s="23">
        <v>0</v>
      </c>
      <c r="G108" s="23">
        <v>0</v>
      </c>
      <c r="H108" s="23">
        <v>0</v>
      </c>
      <c r="I108" s="23">
        <v>0</v>
      </c>
      <c r="J108" s="23">
        <v>0</v>
      </c>
      <c r="K108" s="23">
        <v>0</v>
      </c>
      <c r="L108" s="23">
        <v>0</v>
      </c>
      <c r="M108" s="23">
        <v>0</v>
      </c>
      <c r="N108" s="23">
        <v>0</v>
      </c>
      <c r="O108" s="23">
        <v>0</v>
      </c>
      <c r="P108" s="23">
        <v>0</v>
      </c>
    </row>
    <row r="109" spans="1:16" ht="15" customHeight="1" x14ac:dyDescent="0.3">
      <c r="A109" s="11" t="s">
        <v>715</v>
      </c>
      <c r="B109" s="11" t="s">
        <v>714</v>
      </c>
      <c r="C109" s="23">
        <v>0</v>
      </c>
      <c r="D109" s="23">
        <v>0</v>
      </c>
      <c r="E109" s="23">
        <v>0</v>
      </c>
      <c r="F109" s="23">
        <v>0</v>
      </c>
      <c r="G109" s="23">
        <v>0</v>
      </c>
      <c r="H109" s="23">
        <v>0</v>
      </c>
      <c r="I109" s="23">
        <v>0</v>
      </c>
      <c r="J109" s="23">
        <v>0</v>
      </c>
      <c r="K109" s="23">
        <v>0</v>
      </c>
      <c r="L109" s="23">
        <v>0</v>
      </c>
      <c r="M109" s="23">
        <v>0</v>
      </c>
      <c r="N109" s="23">
        <v>0</v>
      </c>
      <c r="O109" s="23">
        <v>0</v>
      </c>
      <c r="P109" s="23">
        <v>0</v>
      </c>
    </row>
    <row r="110" spans="1:16" ht="15" customHeight="1" x14ac:dyDescent="0.3">
      <c r="A110" s="11" t="s">
        <v>713</v>
      </c>
      <c r="B110" s="11" t="s">
        <v>712</v>
      </c>
      <c r="C110" s="23">
        <v>0</v>
      </c>
      <c r="D110" s="23">
        <v>0</v>
      </c>
      <c r="E110" s="23">
        <v>0</v>
      </c>
      <c r="F110" s="23">
        <v>0</v>
      </c>
      <c r="G110" s="23">
        <v>0</v>
      </c>
      <c r="H110" s="23">
        <v>0</v>
      </c>
      <c r="I110" s="23">
        <v>0</v>
      </c>
      <c r="J110" s="23">
        <v>0</v>
      </c>
      <c r="K110" s="23">
        <v>0</v>
      </c>
      <c r="L110" s="23">
        <v>0</v>
      </c>
      <c r="M110" s="23">
        <v>0</v>
      </c>
      <c r="N110" s="23">
        <v>0</v>
      </c>
      <c r="O110" s="23">
        <v>0</v>
      </c>
      <c r="P110" s="23">
        <v>0</v>
      </c>
    </row>
    <row r="111" spans="1:16" ht="15" customHeight="1" x14ac:dyDescent="0.3">
      <c r="A111" s="11" t="s">
        <v>711</v>
      </c>
      <c r="B111" s="11" t="s">
        <v>710</v>
      </c>
      <c r="C111" s="23">
        <v>2.56</v>
      </c>
      <c r="D111" s="23">
        <v>2.5611000000000002</v>
      </c>
      <c r="E111" s="23">
        <v>2.62</v>
      </c>
      <c r="F111" s="23">
        <v>0</v>
      </c>
      <c r="G111" s="23">
        <v>0</v>
      </c>
      <c r="H111" s="23">
        <v>0</v>
      </c>
      <c r="I111" s="23">
        <v>4.1154000000000002</v>
      </c>
      <c r="J111" s="23">
        <v>0.1031</v>
      </c>
      <c r="K111" s="23">
        <v>9.5301736799999995E-2</v>
      </c>
      <c r="L111" s="23">
        <v>9.5301736999999997E-2</v>
      </c>
      <c r="M111" s="23">
        <v>8.7921608900000003E-2</v>
      </c>
      <c r="N111" s="23">
        <v>0</v>
      </c>
      <c r="O111" s="23">
        <v>0</v>
      </c>
      <c r="P111" s="23">
        <v>0.11520378620000001</v>
      </c>
    </row>
    <row r="112" spans="1:16" ht="15" customHeight="1" x14ac:dyDescent="0.3">
      <c r="A112" s="11" t="s">
        <v>709</v>
      </c>
      <c r="B112" s="11" t="s">
        <v>708</v>
      </c>
      <c r="C112" s="23">
        <v>46.94</v>
      </c>
      <c r="D112" s="23">
        <v>46.942749999999997</v>
      </c>
      <c r="E112" s="23">
        <v>46.03</v>
      </c>
      <c r="F112" s="23">
        <v>49.46</v>
      </c>
      <c r="G112" s="23">
        <v>49.83</v>
      </c>
      <c r="H112" s="23">
        <v>51</v>
      </c>
      <c r="I112" s="23">
        <v>56.171500000000002</v>
      </c>
      <c r="J112" s="23">
        <v>4.7618999999999998</v>
      </c>
      <c r="K112" s="23">
        <v>5.0759543502</v>
      </c>
      <c r="L112" s="23">
        <v>5.0815640000000002</v>
      </c>
      <c r="M112" s="23">
        <v>5.0813403464000002</v>
      </c>
      <c r="N112" s="23">
        <v>5.2898329999999998</v>
      </c>
      <c r="O112" s="23">
        <v>2.6909436251000001</v>
      </c>
      <c r="P112" s="23">
        <v>2.6909434113000001</v>
      </c>
    </row>
    <row r="113" spans="1:16" ht="15" customHeight="1" x14ac:dyDescent="0.3">
      <c r="A113" s="11" t="s">
        <v>707</v>
      </c>
      <c r="B113" s="11" t="s">
        <v>706</v>
      </c>
      <c r="C113" s="23">
        <v>0</v>
      </c>
      <c r="D113" s="23">
        <v>0</v>
      </c>
      <c r="E113" s="23">
        <v>0</v>
      </c>
      <c r="F113" s="23">
        <v>0</v>
      </c>
      <c r="G113" s="23">
        <v>0</v>
      </c>
      <c r="H113" s="23">
        <v>0</v>
      </c>
      <c r="I113" s="23">
        <v>0</v>
      </c>
      <c r="J113" s="23">
        <v>0</v>
      </c>
      <c r="K113" s="23">
        <v>0</v>
      </c>
      <c r="L113" s="23">
        <v>0</v>
      </c>
      <c r="M113" s="23">
        <v>0</v>
      </c>
      <c r="N113" s="23">
        <v>0</v>
      </c>
      <c r="O113" s="35">
        <v>0</v>
      </c>
      <c r="P113" s="35">
        <v>0</v>
      </c>
    </row>
    <row r="114" spans="1:16" ht="15" customHeight="1" x14ac:dyDescent="0.3">
      <c r="A114" s="11" t="s">
        <v>705</v>
      </c>
      <c r="B114" s="11" t="s">
        <v>704</v>
      </c>
      <c r="C114" s="23">
        <v>46.94</v>
      </c>
      <c r="D114" s="23">
        <v>46.942749999999997</v>
      </c>
      <c r="E114" s="23">
        <v>46.03</v>
      </c>
      <c r="F114" s="23">
        <v>49.46</v>
      </c>
      <c r="G114" s="23">
        <v>49.83</v>
      </c>
      <c r="H114" s="23">
        <v>51</v>
      </c>
      <c r="I114" s="23">
        <v>56.171500000000002</v>
      </c>
      <c r="J114" s="23">
        <v>4.7618999999999998</v>
      </c>
      <c r="K114" s="35">
        <v>5.0759543502</v>
      </c>
      <c r="L114" s="35">
        <v>5.0815640000000002</v>
      </c>
      <c r="M114" s="35">
        <v>5.0813403464000002</v>
      </c>
      <c r="N114" s="35">
        <v>5.2898329999999998</v>
      </c>
      <c r="O114" s="23">
        <v>2.6909436251000001</v>
      </c>
      <c r="P114" s="23">
        <v>2.6909434113000001</v>
      </c>
    </row>
    <row r="115" spans="1:16" ht="15" customHeight="1" x14ac:dyDescent="0.3">
      <c r="A115" s="11" t="s">
        <v>703</v>
      </c>
      <c r="B115" s="11" t="s">
        <v>702</v>
      </c>
      <c r="C115" s="31">
        <v>1940</v>
      </c>
      <c r="D115" s="31">
        <v>1940.0933500000001</v>
      </c>
      <c r="E115" s="31">
        <v>1972</v>
      </c>
      <c r="F115" s="31">
        <v>1992</v>
      </c>
      <c r="G115" s="31">
        <v>1982</v>
      </c>
      <c r="H115" s="35">
        <v>2004</v>
      </c>
      <c r="I115" s="35">
        <v>2012.1149</v>
      </c>
      <c r="J115" s="35">
        <v>2016.0556999999999</v>
      </c>
      <c r="K115" s="23">
        <v>2002.33354246151</v>
      </c>
      <c r="L115" s="23">
        <v>2036.564915698</v>
      </c>
      <c r="M115" s="23">
        <v>2041.13450924737</v>
      </c>
      <c r="N115" s="23">
        <v>2054.4412616227</v>
      </c>
      <c r="O115" s="23">
        <v>2006.6074679370799</v>
      </c>
      <c r="P115" s="23">
        <v>2083.1700888512401</v>
      </c>
    </row>
    <row r="116" spans="1:16" ht="15" customHeight="1" x14ac:dyDescent="0.3">
      <c r="A116" s="11" t="s">
        <v>701</v>
      </c>
      <c r="B116" s="11" t="s">
        <v>700</v>
      </c>
      <c r="C116" s="23">
        <v>46.94</v>
      </c>
      <c r="D116" s="23">
        <v>46.942749999999997</v>
      </c>
      <c r="E116" s="23">
        <v>46.03</v>
      </c>
      <c r="F116" s="23">
        <v>49.46</v>
      </c>
      <c r="G116" s="23">
        <v>49.83</v>
      </c>
      <c r="H116" s="23">
        <v>51</v>
      </c>
      <c r="I116" s="23">
        <v>56.171500000000002</v>
      </c>
      <c r="J116" s="23">
        <v>4.7618999999999998</v>
      </c>
      <c r="K116" s="23">
        <v>5.0759543502</v>
      </c>
      <c r="L116" s="23">
        <v>5.0815640000000002</v>
      </c>
      <c r="M116" s="23">
        <v>5.0813403464000002</v>
      </c>
      <c r="N116" s="23">
        <v>5.2898329999999998</v>
      </c>
      <c r="O116" s="35">
        <v>2.6909436251000001</v>
      </c>
      <c r="P116" s="35">
        <v>2.6909434113000001</v>
      </c>
    </row>
    <row r="117" spans="1:16" ht="15" customHeight="1" x14ac:dyDescent="0.3">
      <c r="A117" s="11" t="s">
        <v>699</v>
      </c>
      <c r="B117" s="11" t="s">
        <v>698</v>
      </c>
      <c r="C117" s="31">
        <v>27014</v>
      </c>
      <c r="D117" s="31">
        <v>27313.960609999998</v>
      </c>
      <c r="E117" s="31">
        <v>27801</v>
      </c>
      <c r="F117" s="31">
        <v>28307</v>
      </c>
      <c r="G117" s="31">
        <v>28869</v>
      </c>
      <c r="H117" s="23">
        <v>29350</v>
      </c>
      <c r="I117" s="23">
        <v>28392.143400000001</v>
      </c>
      <c r="J117" s="23">
        <v>28886.881600000001</v>
      </c>
      <c r="K117" s="35">
        <v>29386.689860146798</v>
      </c>
      <c r="L117" s="35">
        <v>29905.088670199999</v>
      </c>
      <c r="M117" s="35">
        <v>30453.901846876</v>
      </c>
      <c r="N117" s="35">
        <v>31014.725068200001</v>
      </c>
      <c r="O117" s="35">
        <v>30336.69245988</v>
      </c>
      <c r="P117" s="35">
        <v>30904.208287572201</v>
      </c>
    </row>
    <row r="118" spans="1:16" ht="15" customHeight="1" x14ac:dyDescent="0.3">
      <c r="A118" s="11" t="s">
        <v>697</v>
      </c>
      <c r="B118" s="11" t="s">
        <v>696</v>
      </c>
      <c r="C118" s="31">
        <v>8659</v>
      </c>
      <c r="D118" s="31">
        <v>8662.0168599999997</v>
      </c>
      <c r="E118" s="31">
        <v>8889</v>
      </c>
      <c r="F118" s="31">
        <v>8926</v>
      </c>
      <c r="G118" s="31">
        <v>9014</v>
      </c>
      <c r="H118" s="35">
        <v>9059</v>
      </c>
      <c r="I118" s="35">
        <v>9113.6594999999998</v>
      </c>
      <c r="J118" s="35">
        <v>9064.9904999999999</v>
      </c>
      <c r="K118" s="35">
        <v>9046.9090087348595</v>
      </c>
      <c r="L118" s="35">
        <v>9152.6234168650008</v>
      </c>
      <c r="M118" s="35">
        <v>9287.7404926549607</v>
      </c>
      <c r="N118" s="35">
        <v>9264.3171076355993</v>
      </c>
      <c r="O118" s="35">
        <v>9040.5016080000005</v>
      </c>
      <c r="P118" s="35">
        <v>9443.5822040019593</v>
      </c>
    </row>
    <row r="119" spans="1:16" ht="15" customHeight="1" x14ac:dyDescent="0.3">
      <c r="A119" s="11" t="s">
        <v>695</v>
      </c>
      <c r="B119" s="11" t="s">
        <v>694</v>
      </c>
      <c r="C119" s="31">
        <v>4810</v>
      </c>
      <c r="D119" s="31">
        <v>4812.2315900000003</v>
      </c>
      <c r="E119" s="31">
        <v>4938</v>
      </c>
      <c r="F119" s="31">
        <v>4959</v>
      </c>
      <c r="G119" s="31">
        <v>5008</v>
      </c>
      <c r="H119" s="35">
        <v>5033</v>
      </c>
      <c r="I119" s="35">
        <v>5063.1441999999997</v>
      </c>
      <c r="J119" s="35">
        <v>5036.1058000000003</v>
      </c>
      <c r="K119" s="35">
        <v>5026.0605607415901</v>
      </c>
      <c r="L119" s="35">
        <v>5084.7907871469997</v>
      </c>
      <c r="M119" s="35">
        <v>5159.85582903053</v>
      </c>
      <c r="N119" s="35">
        <v>5146.8428375753001</v>
      </c>
      <c r="O119" s="35">
        <v>5022.5008939999998</v>
      </c>
      <c r="P119" s="35">
        <v>5246.4345574455301</v>
      </c>
    </row>
    <row r="120" spans="1:16" ht="15" customHeight="1" x14ac:dyDescent="0.3">
      <c r="A120" s="11" t="s">
        <v>693</v>
      </c>
      <c r="B120" s="11" t="s">
        <v>692</v>
      </c>
      <c r="C120" s="23">
        <v>0</v>
      </c>
      <c r="D120" s="23">
        <v>0</v>
      </c>
      <c r="E120" s="23">
        <v>0</v>
      </c>
      <c r="F120" s="23">
        <v>0</v>
      </c>
      <c r="G120" s="23">
        <v>0</v>
      </c>
      <c r="H120" s="35">
        <v>0</v>
      </c>
      <c r="I120" s="35">
        <v>0</v>
      </c>
      <c r="J120" s="35">
        <v>0</v>
      </c>
      <c r="K120" s="35">
        <v>0</v>
      </c>
      <c r="L120" s="35">
        <v>0</v>
      </c>
      <c r="M120" s="35">
        <v>0</v>
      </c>
      <c r="N120" s="35">
        <v>0</v>
      </c>
      <c r="O120" s="35">
        <v>0</v>
      </c>
      <c r="P120" s="35">
        <v>0</v>
      </c>
    </row>
    <row r="121" spans="1:16" ht="15" customHeight="1" x14ac:dyDescent="0.3">
      <c r="A121" s="11" t="s">
        <v>691</v>
      </c>
      <c r="B121" s="11" t="s">
        <v>690</v>
      </c>
      <c r="C121" s="35">
        <v>0.11</v>
      </c>
      <c r="D121" s="35">
        <v>0.11287</v>
      </c>
      <c r="E121" s="35">
        <v>0.12</v>
      </c>
      <c r="F121" s="35">
        <v>0.11</v>
      </c>
      <c r="G121" s="35">
        <v>0.11</v>
      </c>
      <c r="H121" s="35">
        <v>0</v>
      </c>
      <c r="I121" s="35">
        <v>0.4108</v>
      </c>
      <c r="J121" s="35">
        <v>0.48420000000000002</v>
      </c>
      <c r="K121" s="35">
        <v>0.42309999999999998</v>
      </c>
      <c r="L121" s="23">
        <v>0.434947998</v>
      </c>
      <c r="M121" s="35">
        <v>0.57823000000000002</v>
      </c>
      <c r="N121" s="35">
        <v>0.44557877959999997</v>
      </c>
      <c r="O121" s="23">
        <v>0.62910999999999995</v>
      </c>
      <c r="P121" s="23">
        <v>0.59052000000000004</v>
      </c>
    </row>
    <row r="122" spans="1:16" ht="15" customHeight="1" x14ac:dyDescent="0.3">
      <c r="A122" s="11" t="s">
        <v>689</v>
      </c>
      <c r="B122" s="11" t="s">
        <v>688</v>
      </c>
      <c r="C122" s="31">
        <v>13545</v>
      </c>
      <c r="D122" s="31">
        <v>13839.712159999999</v>
      </c>
      <c r="E122" s="31">
        <v>13974</v>
      </c>
      <c r="F122" s="31">
        <v>14422</v>
      </c>
      <c r="G122" s="31">
        <v>14847</v>
      </c>
      <c r="H122" s="35">
        <v>15259</v>
      </c>
      <c r="I122" s="35">
        <v>14215.339599999999</v>
      </c>
      <c r="J122" s="35">
        <v>14785.785400000001</v>
      </c>
      <c r="K122" s="23">
        <v>15313.720290670401</v>
      </c>
      <c r="L122" s="23">
        <v>15667.674466187</v>
      </c>
      <c r="M122" s="23">
        <v>16006.305525190501</v>
      </c>
      <c r="N122" s="23">
        <v>16603.565122989101</v>
      </c>
      <c r="O122" s="23">
        <v>16273.06084788</v>
      </c>
      <c r="P122" s="23">
        <v>16214.1915261247</v>
      </c>
    </row>
    <row r="123" spans="1:16" ht="15" customHeight="1" x14ac:dyDescent="0.3">
      <c r="A123" s="11" t="s">
        <v>687</v>
      </c>
      <c r="B123" s="11" t="s">
        <v>686</v>
      </c>
      <c r="C123" s="23">
        <v>0</v>
      </c>
      <c r="D123" s="23">
        <v>0</v>
      </c>
      <c r="E123" s="23">
        <v>0</v>
      </c>
      <c r="F123" s="23">
        <v>0</v>
      </c>
      <c r="G123" s="23">
        <v>0</v>
      </c>
      <c r="H123" s="23">
        <v>0</v>
      </c>
      <c r="I123" s="23">
        <v>0</v>
      </c>
      <c r="J123" s="23">
        <v>0</v>
      </c>
      <c r="K123" s="23">
        <v>0</v>
      </c>
      <c r="L123" s="23">
        <v>0</v>
      </c>
      <c r="M123" s="23">
        <v>0</v>
      </c>
      <c r="N123" s="23">
        <v>0</v>
      </c>
      <c r="O123" s="23">
        <v>0</v>
      </c>
      <c r="P123" s="23">
        <v>0</v>
      </c>
    </row>
    <row r="124" spans="1:16" ht="15" customHeight="1" x14ac:dyDescent="0.3">
      <c r="A124" s="11" t="s">
        <v>685</v>
      </c>
      <c r="B124" s="11" t="s">
        <v>684</v>
      </c>
      <c r="C124" s="31">
        <v>28414</v>
      </c>
      <c r="D124" s="31">
        <v>28713.960609999998</v>
      </c>
      <c r="E124" s="31">
        <v>29201</v>
      </c>
      <c r="F124" s="31">
        <v>29707</v>
      </c>
      <c r="G124" s="31">
        <v>30269</v>
      </c>
      <c r="H124" s="23">
        <v>30750</v>
      </c>
      <c r="I124" s="23">
        <v>29792.143400000001</v>
      </c>
      <c r="J124" s="23">
        <v>30286.881600000001</v>
      </c>
      <c r="K124" s="23">
        <v>30786.689860146798</v>
      </c>
      <c r="L124" s="23">
        <v>31305.088670199999</v>
      </c>
      <c r="M124" s="23">
        <v>31853.901846876</v>
      </c>
      <c r="N124" s="23">
        <v>32414.725068200001</v>
      </c>
      <c r="O124" s="23">
        <v>31736.69245988</v>
      </c>
      <c r="P124" s="23">
        <v>32304.21</v>
      </c>
    </row>
    <row r="125" spans="1:16" ht="15" customHeight="1" x14ac:dyDescent="0.3">
      <c r="A125" s="11" t="s">
        <v>683</v>
      </c>
      <c r="B125" s="11" t="s">
        <v>682</v>
      </c>
      <c r="C125" s="23">
        <v>46.94</v>
      </c>
      <c r="D125" s="23">
        <v>46.942749999999997</v>
      </c>
      <c r="E125" s="23">
        <v>46.03</v>
      </c>
      <c r="F125" s="23">
        <v>49.46</v>
      </c>
      <c r="G125" s="23">
        <v>49.83</v>
      </c>
      <c r="H125" s="23">
        <v>51</v>
      </c>
      <c r="I125" s="23">
        <v>56.171500000000002</v>
      </c>
      <c r="J125" s="23">
        <v>4.7618999999999998</v>
      </c>
      <c r="K125" s="23">
        <v>5.0759543502</v>
      </c>
      <c r="L125" s="23">
        <v>5.0815640000000002</v>
      </c>
      <c r="M125" s="23">
        <v>5.0813403464000002</v>
      </c>
      <c r="N125" s="23">
        <v>5.2898329999999998</v>
      </c>
      <c r="O125" s="23">
        <v>2.6909436251000001</v>
      </c>
      <c r="P125" s="23">
        <v>2.6909434113000001</v>
      </c>
    </row>
    <row r="126" spans="1:16" ht="15" customHeight="1" x14ac:dyDescent="0.3">
      <c r="A126" s="11" t="s">
        <v>681</v>
      </c>
      <c r="B126" s="11" t="s">
        <v>680</v>
      </c>
      <c r="C126" s="31">
        <v>28461</v>
      </c>
      <c r="D126" s="31">
        <v>28760.90336</v>
      </c>
      <c r="E126" s="31">
        <v>29248</v>
      </c>
      <c r="F126" s="31">
        <v>29757</v>
      </c>
      <c r="G126" s="31">
        <v>30319</v>
      </c>
      <c r="H126" s="23">
        <v>30801</v>
      </c>
      <c r="I126" s="23">
        <v>29848.314900000001</v>
      </c>
      <c r="J126" s="23">
        <v>30291.643499999998</v>
      </c>
      <c r="K126" s="23">
        <v>30791.765814497001</v>
      </c>
      <c r="L126" s="23">
        <v>31310.170234199999</v>
      </c>
      <c r="M126" s="23">
        <v>31858.983187222399</v>
      </c>
      <c r="N126" s="23">
        <v>32420.0149012</v>
      </c>
      <c r="O126" s="23">
        <v>31739.3834035051</v>
      </c>
      <c r="P126" s="23">
        <v>32306.899230983501</v>
      </c>
    </row>
    <row r="127" spans="1:16" ht="15" customHeight="1" x14ac:dyDescent="0.3">
      <c r="A127" s="11" t="s">
        <v>679</v>
      </c>
      <c r="B127" s="11" t="s">
        <v>678</v>
      </c>
      <c r="C127" s="23"/>
      <c r="D127" s="23"/>
      <c r="E127" s="23"/>
      <c r="F127" s="23"/>
      <c r="G127" s="23"/>
      <c r="H127" s="23"/>
      <c r="I127" s="23"/>
      <c r="J127" s="23"/>
      <c r="K127" s="23"/>
      <c r="M127" s="23"/>
      <c r="N127" s="23"/>
    </row>
    <row r="128" spans="1:16" x14ac:dyDescent="0.3">
      <c r="A128" s="11" t="s">
        <v>677</v>
      </c>
      <c r="B128" s="11" t="s">
        <v>676</v>
      </c>
      <c r="C128" s="31">
        <v>186365</v>
      </c>
      <c r="D128" s="31">
        <v>186439.10865000001</v>
      </c>
      <c r="E128" s="31">
        <v>191210</v>
      </c>
      <c r="F128" s="31">
        <v>192097</v>
      </c>
      <c r="G128" s="31">
        <v>194350</v>
      </c>
      <c r="H128" s="23">
        <v>195445.54</v>
      </c>
      <c r="I128" s="23">
        <v>196565.78</v>
      </c>
      <c r="J128" s="23">
        <v>195742.6931</v>
      </c>
      <c r="K128" s="23">
        <v>195427.30583308401</v>
      </c>
      <c r="L128" s="23">
        <v>197852.51237647</v>
      </c>
      <c r="M128" s="23">
        <v>200699.85978495801</v>
      </c>
      <c r="N128" s="23">
        <v>200225.63</v>
      </c>
      <c r="O128" s="1">
        <v>200900.035743457</v>
      </c>
      <c r="P128" s="1">
        <v>208003.86608023799</v>
      </c>
    </row>
    <row r="129" spans="1:16" ht="15" customHeight="1" x14ac:dyDescent="0.3">
      <c r="A129" s="11" t="s">
        <v>675</v>
      </c>
      <c r="B129" s="11" t="s">
        <v>674</v>
      </c>
      <c r="C129" s="31">
        <v>10787.95</v>
      </c>
      <c r="D129" s="31">
        <v>10787.9473</v>
      </c>
      <c r="E129" s="31">
        <v>12108.38</v>
      </c>
      <c r="F129" s="31">
        <v>12595.51</v>
      </c>
      <c r="G129" s="31">
        <v>13575.48</v>
      </c>
      <c r="H129" s="23">
        <v>14352.49</v>
      </c>
      <c r="I129" s="23">
        <v>13140.3</v>
      </c>
      <c r="J129" s="23">
        <v>12867.591700000001</v>
      </c>
      <c r="K129" s="23">
        <v>12852.27669375</v>
      </c>
      <c r="L129" s="23">
        <v>13335.9244225</v>
      </c>
      <c r="M129" s="23">
        <v>14435.317983749999</v>
      </c>
      <c r="N129" s="23">
        <v>13940.47</v>
      </c>
      <c r="O129" s="23">
        <v>13683.02004125</v>
      </c>
      <c r="P129" s="23">
        <v>17419.435939999999</v>
      </c>
    </row>
    <row r="130" spans="1:16" x14ac:dyDescent="0.3">
      <c r="A130" s="11" t="s">
        <v>673</v>
      </c>
      <c r="B130" s="11" t="s">
        <v>672</v>
      </c>
      <c r="C130" s="31">
        <v>160142.99</v>
      </c>
      <c r="D130" s="31">
        <v>160217.02499999999</v>
      </c>
      <c r="E130" s="31">
        <v>163472.29</v>
      </c>
      <c r="F130" s="31">
        <v>163726.07999999999</v>
      </c>
      <c r="G130" s="31">
        <v>164880.85</v>
      </c>
      <c r="H130" s="23">
        <v>165071.70000000001</v>
      </c>
      <c r="I130" s="23">
        <v>167255.60999999999</v>
      </c>
      <c r="J130" s="23">
        <v>166555.26250000001</v>
      </c>
      <c r="K130" s="23">
        <v>166127.625</v>
      </c>
      <c r="L130" s="23">
        <v>167901.35</v>
      </c>
      <c r="M130" s="23">
        <v>169563.5625</v>
      </c>
      <c r="N130" s="23">
        <v>169454.79</v>
      </c>
      <c r="O130" s="23">
        <v>170259.53750000001</v>
      </c>
      <c r="P130" s="23">
        <v>173509</v>
      </c>
    </row>
    <row r="131" spans="1:16" ht="15" customHeight="1" x14ac:dyDescent="0.3">
      <c r="A131" s="11" t="s">
        <v>671</v>
      </c>
      <c r="B131" s="11" t="s">
        <v>290</v>
      </c>
      <c r="C131" s="31">
        <v>15434.14</v>
      </c>
      <c r="D131" s="31">
        <v>15434.136339999999</v>
      </c>
      <c r="E131" s="31">
        <v>15629.69</v>
      </c>
      <c r="F131" s="31">
        <v>15775.48</v>
      </c>
      <c r="G131" s="31">
        <v>15893.23</v>
      </c>
      <c r="H131" s="23">
        <v>16021.35</v>
      </c>
      <c r="I131" s="23">
        <v>16169.87</v>
      </c>
      <c r="J131" s="23">
        <v>16319.838900000001</v>
      </c>
      <c r="K131" s="23">
        <v>16447.404139334001</v>
      </c>
      <c r="L131" s="23">
        <v>16615.237953970001</v>
      </c>
      <c r="M131" s="23">
        <v>16700.979301207801</v>
      </c>
      <c r="N131" s="23">
        <v>16830.37</v>
      </c>
      <c r="O131" s="23">
        <v>16957.478202206599</v>
      </c>
      <c r="P131" s="23">
        <v>17075.430140238499</v>
      </c>
    </row>
    <row r="132" spans="1:16" ht="15" customHeight="1" x14ac:dyDescent="0.3">
      <c r="A132" s="11" t="s">
        <v>670</v>
      </c>
      <c r="B132" s="11" t="s">
        <v>669</v>
      </c>
      <c r="C132" s="23"/>
      <c r="D132" s="23"/>
      <c r="E132" s="23"/>
      <c r="F132" s="23"/>
      <c r="G132" s="23"/>
      <c r="H132" s="23"/>
      <c r="I132" s="23"/>
      <c r="J132" s="23"/>
      <c r="K132" s="35"/>
      <c r="L132" s="35"/>
      <c r="M132" s="35"/>
      <c r="N132" s="35"/>
      <c r="O132" s="35"/>
      <c r="P132" s="35"/>
    </row>
    <row r="133" spans="1:16" x14ac:dyDescent="0.3">
      <c r="A133" s="11" t="s">
        <v>668</v>
      </c>
      <c r="B133" s="11" t="s">
        <v>667</v>
      </c>
      <c r="C133" s="31">
        <v>14908.67</v>
      </c>
      <c r="D133" s="31">
        <v>14915.12869</v>
      </c>
      <c r="E133" s="31">
        <v>15296.83</v>
      </c>
      <c r="F133" s="31">
        <v>15367.76</v>
      </c>
      <c r="G133" s="31">
        <v>15547.96</v>
      </c>
      <c r="H133" s="35">
        <v>15635.64</v>
      </c>
      <c r="I133" s="35">
        <v>15725.26</v>
      </c>
      <c r="J133" s="35">
        <v>15659.4154</v>
      </c>
      <c r="K133" s="35">
        <v>15634.1844666467</v>
      </c>
      <c r="L133" s="35">
        <v>15828.20099012</v>
      </c>
      <c r="M133" s="35">
        <v>16055.99</v>
      </c>
      <c r="N133" s="35">
        <v>16018.0503410208</v>
      </c>
      <c r="O133" s="35">
        <v>16072.002859476501</v>
      </c>
      <c r="P133" s="35">
        <v>16640.309286419098</v>
      </c>
    </row>
    <row r="134" spans="1:16" ht="15" customHeight="1" x14ac:dyDescent="0.3">
      <c r="A134" s="11" t="s">
        <v>666</v>
      </c>
      <c r="B134" s="11" t="s">
        <v>665</v>
      </c>
      <c r="C134" s="31">
        <v>863</v>
      </c>
      <c r="D134" s="31">
        <v>863.03578000000005</v>
      </c>
      <c r="E134" s="31">
        <v>969</v>
      </c>
      <c r="F134" s="31">
        <v>1007.64</v>
      </c>
      <c r="G134" s="31">
        <v>1086.04</v>
      </c>
      <c r="H134" s="35">
        <v>1148.2</v>
      </c>
      <c r="I134" s="35">
        <v>1051.22</v>
      </c>
      <c r="J134" s="35">
        <v>1029.4073000000001</v>
      </c>
      <c r="K134" s="35">
        <v>1028.1821355</v>
      </c>
      <c r="L134" s="35">
        <v>1066.8739538</v>
      </c>
      <c r="M134" s="35">
        <v>1154.8254386999999</v>
      </c>
      <c r="N134" s="35">
        <v>1115.2377248</v>
      </c>
      <c r="O134" s="35">
        <v>1094.6416033</v>
      </c>
      <c r="P134" s="35">
        <v>1393.5548752</v>
      </c>
    </row>
    <row r="135" spans="1:16" x14ac:dyDescent="0.3">
      <c r="A135" s="11" t="s">
        <v>664</v>
      </c>
      <c r="B135" s="11" t="s">
        <v>663</v>
      </c>
      <c r="C135" s="31">
        <v>762</v>
      </c>
      <c r="D135" s="31">
        <v>761.95998999999995</v>
      </c>
      <c r="E135" s="31">
        <v>871</v>
      </c>
      <c r="F135" s="31">
        <v>887.5</v>
      </c>
      <c r="G135" s="31">
        <v>947.89</v>
      </c>
      <c r="H135" s="35">
        <v>1033.1300000000001</v>
      </c>
      <c r="I135" s="35">
        <v>937.69</v>
      </c>
      <c r="J135" s="35">
        <v>906.36120000000005</v>
      </c>
      <c r="K135" s="35">
        <v>931.78119422570001</v>
      </c>
      <c r="L135" s="35">
        <v>968.49255415000005</v>
      </c>
      <c r="M135" s="35">
        <v>1078.6863391726399</v>
      </c>
      <c r="N135" s="35">
        <v>1035.5108157320401</v>
      </c>
      <c r="O135" s="35">
        <v>1020.29340967933</v>
      </c>
      <c r="P135" s="35">
        <v>1313.6933519603599</v>
      </c>
    </row>
    <row r="136" spans="1:16" x14ac:dyDescent="0.3">
      <c r="A136" s="11" t="s">
        <v>662</v>
      </c>
      <c r="B136" s="11" t="s">
        <v>661</v>
      </c>
      <c r="C136" s="31">
        <v>5.59</v>
      </c>
      <c r="D136" s="31">
        <v>5.5857200000000002</v>
      </c>
      <c r="E136" s="31">
        <v>5.29</v>
      </c>
      <c r="F136" s="31">
        <v>5.09</v>
      </c>
      <c r="G136" s="31">
        <v>5.09</v>
      </c>
      <c r="H136" s="35">
        <v>5</v>
      </c>
      <c r="I136" s="35">
        <v>4.57</v>
      </c>
      <c r="J136" s="35">
        <v>3.7726000000000002</v>
      </c>
      <c r="K136" s="35">
        <v>3.6667921999000002</v>
      </c>
      <c r="L136" s="35">
        <v>3.51809043</v>
      </c>
      <c r="M136" s="35">
        <v>2.74994557199937</v>
      </c>
      <c r="N136" s="35">
        <v>2.7276943157527902</v>
      </c>
      <c r="O136" s="35">
        <v>2.53050907932314</v>
      </c>
      <c r="P136" s="35">
        <v>2.1431473636757201</v>
      </c>
    </row>
    <row r="137" spans="1:16" x14ac:dyDescent="0.3">
      <c r="A137" s="11" t="s">
        <v>660</v>
      </c>
      <c r="B137" s="11" t="s">
        <v>659</v>
      </c>
      <c r="C137" s="31">
        <v>0.18</v>
      </c>
      <c r="D137" s="31">
        <v>0.18001</v>
      </c>
      <c r="E137" s="31">
        <v>0.17</v>
      </c>
      <c r="F137" s="31">
        <v>0.17</v>
      </c>
      <c r="G137" s="31">
        <v>0.16</v>
      </c>
      <c r="H137" s="35">
        <v>0.16</v>
      </c>
      <c r="I137" s="35">
        <v>0.16</v>
      </c>
      <c r="J137" s="35">
        <v>0.15310000000000001</v>
      </c>
      <c r="K137" s="35">
        <v>0.15510822020000001</v>
      </c>
      <c r="L137" s="35">
        <v>0.14671038</v>
      </c>
      <c r="M137" s="35">
        <v>0.13658873902558999</v>
      </c>
      <c r="N137" s="35">
        <v>0.13685809750969</v>
      </c>
      <c r="O137" s="35">
        <v>0.13771596464239999</v>
      </c>
      <c r="P137" s="35">
        <v>0.13771596464239999</v>
      </c>
    </row>
    <row r="138" spans="1:16" x14ac:dyDescent="0.3">
      <c r="A138" s="11" t="s">
        <v>658</v>
      </c>
      <c r="B138" s="11" t="s">
        <v>657</v>
      </c>
      <c r="C138" s="31">
        <v>75.7</v>
      </c>
      <c r="D138" s="31">
        <v>75.703509999999994</v>
      </c>
      <c r="E138" s="31">
        <v>71</v>
      </c>
      <c r="F138" s="31">
        <v>71.14</v>
      </c>
      <c r="G138" s="31">
        <v>77.81</v>
      </c>
      <c r="H138" s="35">
        <v>66.540000000000006</v>
      </c>
      <c r="I138" s="35">
        <v>65.19</v>
      </c>
      <c r="J138" s="35">
        <v>58.396099999999997</v>
      </c>
      <c r="K138" s="35">
        <v>59.324686014999997</v>
      </c>
      <c r="L138" s="35">
        <v>56.41799228</v>
      </c>
      <c r="M138" s="35">
        <v>52.030783541335602</v>
      </c>
      <c r="N138" s="35">
        <v>54.8402514530556</v>
      </c>
      <c r="O138" s="35">
        <v>45.991395223926702</v>
      </c>
      <c r="P138" s="35">
        <v>52.806358582301101</v>
      </c>
    </row>
    <row r="139" spans="1:16" x14ac:dyDescent="0.3">
      <c r="A139" s="11" t="s">
        <v>656</v>
      </c>
      <c r="B139" s="11" t="s">
        <v>655</v>
      </c>
      <c r="C139" s="23">
        <v>0</v>
      </c>
      <c r="D139" s="23">
        <v>1.6420000000000001E-2</v>
      </c>
      <c r="E139" s="23">
        <v>0</v>
      </c>
      <c r="F139" s="23">
        <v>0</v>
      </c>
      <c r="G139" s="23">
        <v>0</v>
      </c>
      <c r="H139" s="35">
        <v>0.02</v>
      </c>
      <c r="I139" s="35">
        <v>0.02</v>
      </c>
      <c r="J139" s="35">
        <v>1.15E-2</v>
      </c>
      <c r="K139" s="35">
        <v>1.1362113300000001E-2</v>
      </c>
      <c r="L139" s="35">
        <v>1.1095560000000001E-2</v>
      </c>
      <c r="M139" s="35">
        <v>1.1246770652669999E-2</v>
      </c>
      <c r="N139" s="35">
        <v>1.116091637753E-2</v>
      </c>
      <c r="O139" s="35">
        <v>1.1078194317260001E-2</v>
      </c>
      <c r="P139" s="35">
        <v>1.1078194317260001E-2</v>
      </c>
    </row>
    <row r="140" spans="1:16" x14ac:dyDescent="0.3">
      <c r="A140" s="11" t="s">
        <v>654</v>
      </c>
      <c r="B140" s="11" t="s">
        <v>653</v>
      </c>
      <c r="C140" s="23">
        <v>0</v>
      </c>
      <c r="D140" s="23">
        <v>3.7000000000000002E-3</v>
      </c>
      <c r="E140" s="23">
        <v>0</v>
      </c>
      <c r="F140" s="23">
        <v>0</v>
      </c>
      <c r="G140" s="23">
        <v>0</v>
      </c>
      <c r="H140" s="35">
        <v>0</v>
      </c>
      <c r="I140" s="35">
        <v>0</v>
      </c>
      <c r="J140" s="35">
        <v>3.3999999999999998E-3</v>
      </c>
      <c r="K140" s="35">
        <v>3.2436772E-3</v>
      </c>
      <c r="L140" s="35">
        <v>2.6180999999999999E-3</v>
      </c>
      <c r="M140" s="35">
        <v>2.6356977398700001E-3</v>
      </c>
      <c r="N140" s="35">
        <v>2.742644897297E-3</v>
      </c>
      <c r="O140" s="35">
        <v>2.6132756179792502E-3</v>
      </c>
      <c r="P140" s="35">
        <v>2.7816379126949999E-3</v>
      </c>
    </row>
    <row r="141" spans="1:16" ht="15" customHeight="1" x14ac:dyDescent="0.3">
      <c r="A141" s="11" t="s">
        <v>652</v>
      </c>
      <c r="B141" s="11" t="s">
        <v>651</v>
      </c>
      <c r="C141" s="31">
        <v>11.23</v>
      </c>
      <c r="D141" s="31">
        <v>11.229150000000001</v>
      </c>
      <c r="E141" s="31">
        <v>12.98</v>
      </c>
      <c r="F141" s="31">
        <v>36.47</v>
      </c>
      <c r="G141" s="31">
        <v>47.71</v>
      </c>
      <c r="H141" s="35">
        <v>36.67</v>
      </c>
      <c r="I141" s="35">
        <v>37.799999999999997</v>
      </c>
      <c r="J141" s="35">
        <v>55.767000000000003</v>
      </c>
      <c r="K141" s="35">
        <v>28.474076159999999</v>
      </c>
      <c r="L141" s="35">
        <v>34.466297580000003</v>
      </c>
      <c r="M141" s="35">
        <v>17.553541068000001</v>
      </c>
      <c r="N141" s="35">
        <v>12.900187872</v>
      </c>
      <c r="O141" s="35">
        <v>17.488843176</v>
      </c>
      <c r="P141" s="35">
        <v>17.488843176</v>
      </c>
    </row>
    <row r="142" spans="1:16" x14ac:dyDescent="0.3">
      <c r="A142" s="11" t="s">
        <v>650</v>
      </c>
      <c r="B142" s="11" t="s">
        <v>649</v>
      </c>
      <c r="C142" s="23">
        <v>0</v>
      </c>
      <c r="D142" s="23">
        <v>7.1000000000000002E-4</v>
      </c>
      <c r="E142" s="23">
        <v>0</v>
      </c>
      <c r="F142" s="23">
        <v>0</v>
      </c>
      <c r="G142" s="23">
        <v>0</v>
      </c>
      <c r="H142" s="35">
        <v>0</v>
      </c>
      <c r="I142" s="35">
        <v>0</v>
      </c>
      <c r="J142" s="35">
        <v>4.0000000000000002E-4</v>
      </c>
      <c r="K142" s="35">
        <v>4.2927599999999997E-4</v>
      </c>
      <c r="L142" s="35">
        <v>4.1920999999999999E-4</v>
      </c>
      <c r="M142" s="35">
        <v>4.2491819571999998E-4</v>
      </c>
      <c r="N142" s="35">
        <v>4.2167450516499997E-4</v>
      </c>
      <c r="O142" s="35">
        <v>4.1854915392610401E-4</v>
      </c>
      <c r="P142" s="35">
        <v>4.185491539261E-4</v>
      </c>
    </row>
    <row r="143" spans="1:16" ht="15" customHeight="1" x14ac:dyDescent="0.3">
      <c r="A143" s="11" t="s">
        <v>648</v>
      </c>
      <c r="B143" s="11" t="s">
        <v>647</v>
      </c>
      <c r="C143" s="23">
        <v>8.07</v>
      </c>
      <c r="D143" s="23">
        <v>8.0688300000000002</v>
      </c>
      <c r="E143" s="23">
        <v>7.53</v>
      </c>
      <c r="F143" s="23">
        <v>7.09</v>
      </c>
      <c r="G143" s="23">
        <v>7.21</v>
      </c>
      <c r="H143" s="35">
        <v>6.57</v>
      </c>
      <c r="I143" s="35">
        <v>5.7</v>
      </c>
      <c r="J143" s="35">
        <v>4.8689999999999998</v>
      </c>
      <c r="K143" s="35">
        <v>4.612637952</v>
      </c>
      <c r="L143" s="35">
        <v>3.7851406700000001</v>
      </c>
      <c r="M143" s="35">
        <v>3.6347252916000001</v>
      </c>
      <c r="N143" s="35">
        <v>8.9558619840000002</v>
      </c>
      <c r="O143" s="35">
        <v>7.8694134228000001</v>
      </c>
      <c r="P143" s="35">
        <v>6.8369171136000002</v>
      </c>
    </row>
    <row r="144" spans="1:16" ht="15" customHeight="1" x14ac:dyDescent="0.3">
      <c r="A144" s="11" t="s">
        <v>646</v>
      </c>
      <c r="B144" s="11" t="s">
        <v>645</v>
      </c>
      <c r="C144" s="23">
        <v>0</v>
      </c>
      <c r="D144" s="23">
        <v>0</v>
      </c>
      <c r="E144" s="23">
        <v>0</v>
      </c>
      <c r="F144" s="23">
        <v>0</v>
      </c>
      <c r="G144" s="23">
        <v>0</v>
      </c>
      <c r="H144" s="35">
        <v>0</v>
      </c>
      <c r="I144" s="35">
        <v>0</v>
      </c>
      <c r="J144" s="35">
        <v>0</v>
      </c>
      <c r="K144" s="35">
        <v>0</v>
      </c>
      <c r="L144" s="35">
        <v>0</v>
      </c>
      <c r="M144" s="35">
        <v>0</v>
      </c>
      <c r="N144" s="35">
        <v>0</v>
      </c>
      <c r="O144" s="35">
        <v>0.27594079158329998</v>
      </c>
      <c r="P144" s="35">
        <v>0.27594079158329998</v>
      </c>
    </row>
    <row r="145" spans="1:16" ht="15" customHeight="1" x14ac:dyDescent="0.3">
      <c r="A145" s="11" t="s">
        <v>644</v>
      </c>
      <c r="B145" s="11" t="s">
        <v>643</v>
      </c>
      <c r="C145" s="35">
        <v>0.18</v>
      </c>
      <c r="D145" s="35">
        <v>0.18098</v>
      </c>
      <c r="E145" s="35">
        <v>0.17261261459999999</v>
      </c>
      <c r="F145" s="35">
        <v>0.147727161</v>
      </c>
      <c r="G145" s="35">
        <v>0.14000000000000001</v>
      </c>
      <c r="H145" s="35">
        <v>0.11</v>
      </c>
      <c r="I145" s="35">
        <v>0.08</v>
      </c>
      <c r="J145" s="35">
        <v>7.2900000000000006E-2</v>
      </c>
      <c r="K145" s="35">
        <v>6.3276363000000002E-2</v>
      </c>
      <c r="L145" s="35">
        <v>3.3035540000000002E-2</v>
      </c>
      <c r="M145" s="35">
        <v>1.92079296E-2</v>
      </c>
      <c r="N145" s="35">
        <v>0.15173013599999999</v>
      </c>
      <c r="O145" s="35">
        <v>4.0266016199999997E-2</v>
      </c>
      <c r="P145" s="35">
        <v>0.15832190339999999</v>
      </c>
    </row>
    <row r="146" spans="1:16" ht="15" customHeight="1" x14ac:dyDescent="0.3">
      <c r="A146" s="11" t="s">
        <v>642</v>
      </c>
      <c r="B146" s="11" t="s">
        <v>641</v>
      </c>
      <c r="C146" s="23">
        <v>0</v>
      </c>
      <c r="D146" s="23">
        <v>0</v>
      </c>
      <c r="E146" s="23">
        <v>0</v>
      </c>
      <c r="F146" s="23">
        <v>0</v>
      </c>
      <c r="G146" s="23">
        <v>0</v>
      </c>
      <c r="H146" s="35">
        <v>0</v>
      </c>
      <c r="I146" s="35">
        <v>0</v>
      </c>
      <c r="J146" s="35">
        <v>0</v>
      </c>
      <c r="K146" s="35">
        <v>0</v>
      </c>
      <c r="L146" s="35">
        <v>0</v>
      </c>
      <c r="M146" s="35">
        <v>0</v>
      </c>
      <c r="N146" s="35">
        <v>0</v>
      </c>
      <c r="O146" s="35">
        <v>0</v>
      </c>
      <c r="P146" s="35">
        <v>0</v>
      </c>
    </row>
    <row r="147" spans="1:16" x14ac:dyDescent="0.3">
      <c r="A147" s="11" t="s">
        <v>640</v>
      </c>
      <c r="B147" s="11" t="s">
        <v>639</v>
      </c>
      <c r="C147" s="23">
        <v>0.11</v>
      </c>
      <c r="D147" s="23">
        <v>0.10675</v>
      </c>
      <c r="E147" s="23">
        <v>0.1</v>
      </c>
      <c r="F147" s="23">
        <v>0.02</v>
      </c>
      <c r="G147" s="23">
        <v>0</v>
      </c>
      <c r="H147" s="35">
        <v>0</v>
      </c>
      <c r="I147" s="35">
        <v>0</v>
      </c>
      <c r="J147" s="35">
        <v>0</v>
      </c>
      <c r="K147" s="23">
        <v>8.9329388400000001E-2</v>
      </c>
      <c r="L147" s="23">
        <v>0</v>
      </c>
      <c r="M147" s="23">
        <v>0</v>
      </c>
      <c r="N147" s="23">
        <v>0</v>
      </c>
      <c r="O147" s="23">
        <v>0</v>
      </c>
      <c r="P147" s="23">
        <v>0</v>
      </c>
    </row>
    <row r="148" spans="1:16" x14ac:dyDescent="0.3">
      <c r="A148" s="11" t="s">
        <v>638</v>
      </c>
      <c r="B148" s="11" t="s">
        <v>637</v>
      </c>
      <c r="C148" s="31">
        <v>12811.44</v>
      </c>
      <c r="D148" s="31">
        <v>12817.361999999999</v>
      </c>
      <c r="E148" s="31">
        <v>13077.78</v>
      </c>
      <c r="F148" s="31">
        <v>13098.09</v>
      </c>
      <c r="G148" s="31">
        <v>13190.47</v>
      </c>
      <c r="H148" s="23">
        <v>13205.74</v>
      </c>
      <c r="I148" s="23">
        <v>13380.45</v>
      </c>
      <c r="J148" s="23">
        <v>13324.421</v>
      </c>
      <c r="K148" s="35">
        <v>13290.21</v>
      </c>
      <c r="L148" s="35">
        <v>13432.108</v>
      </c>
      <c r="M148" s="35">
        <v>13565.084999999999</v>
      </c>
      <c r="N148" s="35">
        <v>13556.383</v>
      </c>
      <c r="O148" s="35">
        <v>13620.763000000001</v>
      </c>
      <c r="P148" s="35">
        <v>13880.72</v>
      </c>
    </row>
    <row r="149" spans="1:16" ht="15" customHeight="1" x14ac:dyDescent="0.3">
      <c r="A149" s="11" t="s">
        <v>636</v>
      </c>
      <c r="B149" s="11" t="s">
        <v>635</v>
      </c>
      <c r="C149" s="31">
        <v>0.24</v>
      </c>
      <c r="D149" s="31">
        <v>0.24326</v>
      </c>
      <c r="E149" s="31">
        <v>0.76</v>
      </c>
      <c r="F149" s="31">
        <v>1.9</v>
      </c>
      <c r="G149" s="31">
        <v>2.16</v>
      </c>
      <c r="H149" s="35">
        <v>1.57</v>
      </c>
      <c r="I149" s="35">
        <v>1.56</v>
      </c>
      <c r="J149" s="35">
        <v>0.13206999999999999</v>
      </c>
      <c r="K149" s="35">
        <v>0.56339819199999996</v>
      </c>
      <c r="L149" s="35">
        <v>0.46176664000000001</v>
      </c>
      <c r="M149" s="35">
        <v>0.47213982399999999</v>
      </c>
      <c r="N149" s="35">
        <v>0.52724932800000002</v>
      </c>
      <c r="O149" s="35">
        <v>0.26173236799999999</v>
      </c>
      <c r="P149" s="35">
        <v>0.13448180800000001</v>
      </c>
    </row>
    <row r="150" spans="1:16" ht="15" customHeight="1" x14ac:dyDescent="0.3">
      <c r="A150" s="11" t="s">
        <v>634</v>
      </c>
      <c r="B150" s="11" t="s">
        <v>633</v>
      </c>
      <c r="C150" s="31">
        <v>17.440000000000001</v>
      </c>
      <c r="D150" s="31">
        <v>17.83868</v>
      </c>
      <c r="E150" s="31">
        <v>20.64</v>
      </c>
      <c r="F150" s="31">
        <v>23.12</v>
      </c>
      <c r="G150" s="31">
        <v>26.82</v>
      </c>
      <c r="H150" s="35">
        <v>33.74</v>
      </c>
      <c r="I150" s="35">
        <v>34.08</v>
      </c>
      <c r="J150" s="35">
        <v>35.54327</v>
      </c>
      <c r="K150" s="35">
        <v>32.837624624</v>
      </c>
      <c r="L150" s="35">
        <v>36.732021250000003</v>
      </c>
      <c r="M150" s="35">
        <v>40.264538975999997</v>
      </c>
      <c r="N150" s="35">
        <v>37.164410959999998</v>
      </c>
      <c r="O150" s="35">
        <v>39.047204016000002</v>
      </c>
      <c r="P150" s="35">
        <v>35.654802447999998</v>
      </c>
    </row>
    <row r="151" spans="1:16" ht="15" customHeight="1" x14ac:dyDescent="0.3">
      <c r="A151" s="11" t="s">
        <v>632</v>
      </c>
      <c r="B151" s="11" t="s">
        <v>631</v>
      </c>
      <c r="C151" s="31">
        <v>0</v>
      </c>
      <c r="D151" s="31">
        <v>0</v>
      </c>
      <c r="E151" s="31">
        <v>0.04</v>
      </c>
      <c r="F151" s="31">
        <v>0.01</v>
      </c>
      <c r="G151" s="31">
        <v>0</v>
      </c>
      <c r="H151" s="35">
        <v>0.01</v>
      </c>
      <c r="I151" s="35">
        <v>0</v>
      </c>
      <c r="J151" s="35">
        <v>0</v>
      </c>
      <c r="K151" s="35">
        <v>7.5471999999999996E-3</v>
      </c>
      <c r="L151" s="35">
        <v>0</v>
      </c>
      <c r="M151" s="35">
        <v>1.096894E-2</v>
      </c>
      <c r="N151" s="35">
        <v>0</v>
      </c>
      <c r="O151" s="35">
        <v>0</v>
      </c>
      <c r="P151" s="35">
        <v>0</v>
      </c>
    </row>
    <row r="152" spans="1:16" x14ac:dyDescent="0.3">
      <c r="A152" s="11" t="s">
        <v>630</v>
      </c>
      <c r="B152" s="11" t="s">
        <v>629</v>
      </c>
      <c r="C152" s="31">
        <v>8.0299999999999994</v>
      </c>
      <c r="D152" s="31">
        <v>8.0295299999999994</v>
      </c>
      <c r="E152" s="31">
        <v>8.1</v>
      </c>
      <c r="F152" s="31">
        <v>7.95</v>
      </c>
      <c r="G152" s="31">
        <v>7.88</v>
      </c>
      <c r="H152" s="35">
        <v>7.95</v>
      </c>
      <c r="I152" s="35">
        <v>7.7</v>
      </c>
      <c r="J152" s="35">
        <v>7.7571599999999998</v>
      </c>
      <c r="K152" s="35">
        <v>7.8178146393999999</v>
      </c>
      <c r="L152" s="35">
        <v>7.8826665399999998</v>
      </c>
      <c r="M152" s="35">
        <v>7.9371178280896002</v>
      </c>
      <c r="N152" s="35">
        <v>7.9967270342944001</v>
      </c>
      <c r="O152" s="35">
        <v>8.0451359697728009</v>
      </c>
      <c r="P152" s="35">
        <v>8.0977714547664004</v>
      </c>
    </row>
    <row r="153" spans="1:16" x14ac:dyDescent="0.3">
      <c r="A153" s="11" t="s">
        <v>628</v>
      </c>
      <c r="B153" s="11" t="s">
        <v>627</v>
      </c>
      <c r="C153" s="31">
        <v>8821.5499999999993</v>
      </c>
      <c r="D153" s="31">
        <v>8821.5483899999999</v>
      </c>
      <c r="E153" s="31">
        <v>9232.9500000000007</v>
      </c>
      <c r="F153" s="31">
        <v>9181.25</v>
      </c>
      <c r="G153" s="31">
        <v>9206.43</v>
      </c>
      <c r="H153" s="35">
        <v>9223.1299999999992</v>
      </c>
      <c r="I153" s="35">
        <v>9330.56</v>
      </c>
      <c r="J153" s="35">
        <v>9308.6000199999999</v>
      </c>
      <c r="K153" s="23">
        <v>8909.8641664859006</v>
      </c>
      <c r="L153" s="23">
        <v>9055.2371271699994</v>
      </c>
      <c r="M153" s="23">
        <v>9142.0731613382104</v>
      </c>
      <c r="N153" s="23">
        <v>9074.7411922404699</v>
      </c>
      <c r="O153" s="23">
        <v>9088.1633244095901</v>
      </c>
      <c r="P153" s="23">
        <v>9095.52336056077</v>
      </c>
    </row>
    <row r="154" spans="1:16" ht="15" customHeight="1" x14ac:dyDescent="0.3">
      <c r="A154" s="11" t="s">
        <v>626</v>
      </c>
      <c r="B154" s="11" t="s">
        <v>625</v>
      </c>
      <c r="C154" s="23"/>
      <c r="D154" s="23"/>
      <c r="E154" s="23"/>
      <c r="F154" s="23"/>
      <c r="G154" s="23"/>
      <c r="H154" s="23"/>
      <c r="I154" s="23"/>
      <c r="J154" s="23"/>
      <c r="K154" s="35"/>
      <c r="L154" s="35"/>
      <c r="M154" s="35"/>
      <c r="N154" s="35"/>
      <c r="O154" s="35"/>
      <c r="P154" s="35"/>
    </row>
    <row r="155" spans="1:16" x14ac:dyDescent="0.3">
      <c r="A155" s="11" t="s">
        <v>624</v>
      </c>
      <c r="B155" s="11" t="s">
        <v>623</v>
      </c>
      <c r="C155" s="31">
        <v>2896.28</v>
      </c>
      <c r="D155" s="31">
        <v>2896.2842700000001</v>
      </c>
      <c r="E155" s="31">
        <v>2729.12</v>
      </c>
      <c r="F155" s="31">
        <v>2746.09</v>
      </c>
      <c r="G155" s="31">
        <v>2807.65</v>
      </c>
      <c r="H155" s="35">
        <v>2807.63</v>
      </c>
      <c r="I155" s="35">
        <v>2860.95</v>
      </c>
      <c r="J155" s="35">
        <v>2890.1209399999998</v>
      </c>
      <c r="K155" s="35">
        <v>3215.379851743</v>
      </c>
      <c r="L155" s="35">
        <v>3206.2404378299998</v>
      </c>
      <c r="M155" s="35">
        <v>3226.7149253226999</v>
      </c>
      <c r="N155" s="35">
        <v>3296.1337359987201</v>
      </c>
      <c r="O155" s="35">
        <v>3290.2462621358</v>
      </c>
      <c r="P155" s="35">
        <v>3549.6922498477802</v>
      </c>
    </row>
    <row r="156" spans="1:16" ht="15" customHeight="1" x14ac:dyDescent="0.3">
      <c r="A156" s="11" t="s">
        <v>622</v>
      </c>
      <c r="B156" s="11" t="s">
        <v>621</v>
      </c>
      <c r="C156" s="31">
        <v>94.33</v>
      </c>
      <c r="D156" s="31">
        <v>94.329660000000004</v>
      </c>
      <c r="E156" s="31">
        <v>91.12</v>
      </c>
      <c r="F156" s="31">
        <v>102.89</v>
      </c>
      <c r="G156" s="31">
        <v>104.02</v>
      </c>
      <c r="H156" s="35">
        <v>103.42</v>
      </c>
      <c r="I156" s="35">
        <v>105.29</v>
      </c>
      <c r="J156" s="35">
        <v>104.07605</v>
      </c>
      <c r="K156" s="23">
        <v>104.29036356</v>
      </c>
      <c r="L156" s="23">
        <v>101.25007352</v>
      </c>
      <c r="M156" s="23">
        <v>101.25019159999999</v>
      </c>
      <c r="N156" s="23">
        <v>99.394318080000005</v>
      </c>
      <c r="O156" s="23">
        <v>107.98469596</v>
      </c>
      <c r="P156" s="23">
        <v>104.89123515999999</v>
      </c>
    </row>
    <row r="157" spans="1:16" x14ac:dyDescent="0.3">
      <c r="A157" s="11" t="s">
        <v>620</v>
      </c>
      <c r="B157" s="11" t="s">
        <v>619</v>
      </c>
      <c r="C157" s="31">
        <v>16.7</v>
      </c>
      <c r="D157" s="31">
        <v>16.695350000000001</v>
      </c>
      <c r="E157" s="31">
        <v>16.059999999999999</v>
      </c>
      <c r="F157" s="31">
        <v>15.09</v>
      </c>
      <c r="G157" s="31">
        <v>13.98</v>
      </c>
      <c r="H157" s="23">
        <v>13.74</v>
      </c>
      <c r="I157" s="23">
        <v>12.68</v>
      </c>
      <c r="J157" s="23">
        <v>11.32851</v>
      </c>
      <c r="K157" s="23">
        <v>11.6244615516</v>
      </c>
      <c r="L157" s="23">
        <v>10.81391999</v>
      </c>
      <c r="M157" s="23">
        <v>10.327123394479999</v>
      </c>
      <c r="N157" s="23">
        <v>11.275649904004799</v>
      </c>
      <c r="O157" s="23">
        <v>12.8462734239568</v>
      </c>
      <c r="P157" s="23">
        <v>12.8462734239568</v>
      </c>
    </row>
    <row r="158" spans="1:16" x14ac:dyDescent="0.3">
      <c r="A158" s="11" t="s">
        <v>618</v>
      </c>
      <c r="B158" s="11" t="s">
        <v>617</v>
      </c>
      <c r="C158" s="31">
        <v>659.29</v>
      </c>
      <c r="D158" s="31">
        <v>665.21702000000005</v>
      </c>
      <c r="E158" s="31">
        <v>726.8</v>
      </c>
      <c r="F158" s="31">
        <v>767.55</v>
      </c>
      <c r="G158" s="31">
        <v>775.57</v>
      </c>
      <c r="H158" s="23">
        <v>748.56</v>
      </c>
      <c r="I158" s="23">
        <v>754.88</v>
      </c>
      <c r="J158" s="23">
        <v>677.47162000000003</v>
      </c>
      <c r="K158" s="23">
        <v>719.75125818070001</v>
      </c>
      <c r="L158" s="23">
        <v>729.91226333999998</v>
      </c>
      <c r="M158" s="23">
        <v>746.64964043158898</v>
      </c>
      <c r="N158" s="23">
        <v>758.15248228895905</v>
      </c>
      <c r="O158" s="23">
        <v>787.29657296664402</v>
      </c>
      <c r="P158" s="23">
        <v>791.22333838726195</v>
      </c>
    </row>
    <row r="159" spans="1:16" ht="15" customHeight="1" x14ac:dyDescent="0.3">
      <c r="A159" s="11" t="s">
        <v>616</v>
      </c>
      <c r="B159" s="11" t="s">
        <v>615</v>
      </c>
      <c r="C159" s="31">
        <v>200.81</v>
      </c>
      <c r="D159" s="31">
        <v>200.81172000000001</v>
      </c>
      <c r="E159" s="31">
        <v>175.32</v>
      </c>
      <c r="F159" s="31">
        <v>171.72</v>
      </c>
      <c r="G159" s="31">
        <v>165.91</v>
      </c>
      <c r="H159" s="23">
        <v>181.67</v>
      </c>
      <c r="I159" s="23">
        <v>177.4</v>
      </c>
      <c r="J159" s="23">
        <v>188.74411000000001</v>
      </c>
      <c r="K159" s="35">
        <v>175.54797339999999</v>
      </c>
      <c r="L159" s="35">
        <v>177.49014738</v>
      </c>
      <c r="M159" s="35">
        <v>152.212638946</v>
      </c>
      <c r="N159" s="35">
        <v>136.356976962</v>
      </c>
      <c r="O159" s="35">
        <v>151.85611928599999</v>
      </c>
      <c r="P159" s="35">
        <v>151.85611928599999</v>
      </c>
    </row>
    <row r="160" spans="1:16" ht="15" customHeight="1" x14ac:dyDescent="0.3">
      <c r="A160" s="11" t="s">
        <v>614</v>
      </c>
      <c r="B160" s="11" t="s">
        <v>613</v>
      </c>
      <c r="C160" s="31">
        <v>85.07</v>
      </c>
      <c r="D160" s="31">
        <v>85.073779999999999</v>
      </c>
      <c r="E160" s="31">
        <v>62.72</v>
      </c>
      <c r="F160" s="31">
        <v>63.36</v>
      </c>
      <c r="G160" s="31">
        <v>59.23</v>
      </c>
      <c r="H160" s="35">
        <v>58.5</v>
      </c>
      <c r="I160" s="35">
        <v>70.72</v>
      </c>
      <c r="J160" s="35">
        <v>76.351219999999998</v>
      </c>
      <c r="K160" s="23">
        <v>90.110370907999993</v>
      </c>
      <c r="L160" s="23">
        <v>80.389450120000006</v>
      </c>
      <c r="M160" s="23">
        <v>110.67267271999999</v>
      </c>
      <c r="N160" s="23">
        <v>108.945769024</v>
      </c>
      <c r="O160" s="23">
        <v>107.510517652</v>
      </c>
      <c r="P160" s="23">
        <v>107.510517652</v>
      </c>
    </row>
    <row r="161" spans="1:16" ht="15" customHeight="1" x14ac:dyDescent="0.3">
      <c r="A161" s="11" t="s">
        <v>612</v>
      </c>
      <c r="B161" s="11" t="s">
        <v>611</v>
      </c>
      <c r="C161" s="23"/>
      <c r="D161" s="23"/>
      <c r="E161" s="23"/>
      <c r="F161" s="23"/>
      <c r="G161" s="23"/>
      <c r="H161" s="23"/>
      <c r="I161" s="23"/>
      <c r="J161" s="23"/>
      <c r="K161" s="23"/>
      <c r="L161" s="23"/>
      <c r="M161" s="23"/>
      <c r="N161" s="23"/>
      <c r="O161" s="23"/>
      <c r="P161" s="23"/>
    </row>
    <row r="162" spans="1:16" x14ac:dyDescent="0.3">
      <c r="A162" s="11" t="s">
        <v>610</v>
      </c>
      <c r="B162" s="11" t="s">
        <v>609</v>
      </c>
      <c r="C162" s="31">
        <v>11.29</v>
      </c>
      <c r="D162" s="31">
        <v>11.29077</v>
      </c>
      <c r="E162" s="31">
        <v>14.16</v>
      </c>
      <c r="F162" s="31">
        <v>17.16</v>
      </c>
      <c r="G162" s="31">
        <v>20.8</v>
      </c>
      <c r="H162" s="23">
        <v>25.83</v>
      </c>
      <c r="I162" s="23">
        <v>24.61</v>
      </c>
      <c r="J162" s="23">
        <v>24.295655333799999</v>
      </c>
      <c r="K162" s="23">
        <v>22.415641451900001</v>
      </c>
      <c r="L162" s="23">
        <v>25.69822057</v>
      </c>
      <c r="M162" s="23">
        <v>26.499998690565999</v>
      </c>
      <c r="N162" s="23">
        <v>25.6939951058608</v>
      </c>
      <c r="O162" s="23">
        <v>27.505351470213899</v>
      </c>
      <c r="P162" s="23">
        <v>23.290328492745701</v>
      </c>
    </row>
    <row r="163" spans="1:16" ht="15" customHeight="1" x14ac:dyDescent="0.3">
      <c r="A163" s="11" t="s">
        <v>608</v>
      </c>
      <c r="B163" s="11" t="s">
        <v>607</v>
      </c>
      <c r="C163" s="23"/>
      <c r="D163" s="23"/>
      <c r="E163" s="23"/>
      <c r="F163" s="23"/>
      <c r="G163" s="23"/>
      <c r="H163" s="23"/>
      <c r="I163" s="23"/>
      <c r="J163" s="23"/>
      <c r="K163" s="23"/>
      <c r="L163" s="23"/>
      <c r="M163" s="23"/>
      <c r="N163" s="23"/>
      <c r="O163" s="23"/>
      <c r="P163" s="23"/>
    </row>
    <row r="164" spans="1:16" ht="15" customHeight="1" x14ac:dyDescent="0.3">
      <c r="A164" s="11" t="s">
        <v>606</v>
      </c>
      <c r="B164" s="11" t="s">
        <v>605</v>
      </c>
      <c r="C164" s="23"/>
      <c r="D164" s="23"/>
      <c r="E164" s="23"/>
      <c r="F164" s="23"/>
      <c r="G164" s="23"/>
      <c r="H164" s="23"/>
      <c r="I164" s="23"/>
      <c r="J164" s="23"/>
      <c r="K164" s="23"/>
      <c r="L164" s="23"/>
      <c r="M164" s="23"/>
      <c r="N164" s="23"/>
      <c r="O164" s="23"/>
      <c r="P164" s="23"/>
    </row>
    <row r="165" spans="1:16" ht="15" customHeight="1" x14ac:dyDescent="0.3">
      <c r="A165" s="11" t="s">
        <v>604</v>
      </c>
      <c r="B165" s="11" t="s">
        <v>603</v>
      </c>
      <c r="C165" s="23"/>
      <c r="D165" s="23"/>
      <c r="E165" s="23"/>
      <c r="F165" s="23"/>
      <c r="G165" s="23"/>
      <c r="H165" s="23"/>
      <c r="I165" s="23"/>
      <c r="J165" s="23"/>
      <c r="K165" s="31"/>
      <c r="L165" s="31"/>
      <c r="M165" s="31"/>
      <c r="N165" s="31"/>
      <c r="O165" s="31"/>
      <c r="P165" s="31"/>
    </row>
    <row r="166" spans="1:16" x14ac:dyDescent="0.3">
      <c r="A166" s="11" t="s">
        <v>602</v>
      </c>
      <c r="B166" s="11" t="s">
        <v>601</v>
      </c>
      <c r="C166" s="31">
        <v>1234.73</v>
      </c>
      <c r="D166" s="31">
        <v>1234.73091</v>
      </c>
      <c r="E166" s="31">
        <v>1250.3699999999999</v>
      </c>
      <c r="F166" s="31">
        <v>1262.04</v>
      </c>
      <c r="G166" s="31">
        <v>1271.46</v>
      </c>
      <c r="H166" s="31">
        <v>1281.71</v>
      </c>
      <c r="I166" s="31">
        <v>1293.5899999999999</v>
      </c>
      <c r="J166" s="31">
        <v>1305.5871</v>
      </c>
      <c r="K166" s="31">
        <v>1315.7923311467</v>
      </c>
      <c r="L166" s="31">
        <v>1329.21903632</v>
      </c>
      <c r="M166" s="31">
        <v>1336.07834409662</v>
      </c>
      <c r="N166" s="31">
        <v>1346.42961622083</v>
      </c>
      <c r="O166" s="31">
        <v>1356.59825617653</v>
      </c>
      <c r="P166" s="31">
        <v>1366.0344112190801</v>
      </c>
    </row>
    <row r="167" spans="1:16" ht="15" customHeight="1" x14ac:dyDescent="0.3">
      <c r="A167" s="11" t="s">
        <v>600</v>
      </c>
      <c r="B167" s="11" t="s">
        <v>599</v>
      </c>
      <c r="C167" s="12"/>
      <c r="D167" s="12"/>
      <c r="E167" s="12"/>
      <c r="F167" s="12"/>
      <c r="G167" s="12"/>
      <c r="H167" s="12"/>
      <c r="I167" s="12"/>
      <c r="J167" s="12"/>
      <c r="K167" s="31"/>
      <c r="L167" s="31"/>
      <c r="M167" s="31"/>
      <c r="N167" s="31"/>
      <c r="O167" s="31"/>
      <c r="P167" s="31"/>
    </row>
    <row r="168" spans="1:16" x14ac:dyDescent="0.3">
      <c r="A168" s="11" t="s">
        <v>598</v>
      </c>
      <c r="B168" s="11" t="s">
        <v>597</v>
      </c>
      <c r="C168" s="31">
        <v>1235</v>
      </c>
      <c r="D168" s="31">
        <v>1234.73091</v>
      </c>
      <c r="E168" s="31">
        <v>1250.3699999999999</v>
      </c>
      <c r="F168" s="31">
        <v>1262</v>
      </c>
      <c r="G168" s="31">
        <v>1271</v>
      </c>
      <c r="H168" s="31">
        <v>1282</v>
      </c>
      <c r="I168" s="31">
        <v>1293.5896</v>
      </c>
      <c r="J168" s="31">
        <v>1305.5871</v>
      </c>
      <c r="K168" s="31">
        <v>1315.7923311467</v>
      </c>
      <c r="L168" s="31">
        <v>1329.21903632</v>
      </c>
      <c r="M168" s="31">
        <v>1336.07834409662</v>
      </c>
      <c r="N168" s="31">
        <v>1346.42961622083</v>
      </c>
      <c r="O168" s="31">
        <v>1356.59825617653</v>
      </c>
      <c r="P168" s="31">
        <v>1366.0344112190801</v>
      </c>
    </row>
    <row r="169" spans="1:16" x14ac:dyDescent="0.3">
      <c r="A169" s="11" t="s">
        <v>596</v>
      </c>
      <c r="B169" s="11" t="s">
        <v>595</v>
      </c>
      <c r="C169" s="31">
        <f t="shared" ref="C169:H169" si="0">C3-C170/100</f>
        <v>13.34</v>
      </c>
      <c r="D169" s="31">
        <v>13.33731</v>
      </c>
      <c r="E169" s="31">
        <f t="shared" si="0"/>
        <v>13.530000000000001</v>
      </c>
      <c r="F169" s="31">
        <f t="shared" si="0"/>
        <v>13.71</v>
      </c>
      <c r="G169" s="31">
        <f t="shared" si="0"/>
        <v>13.86</v>
      </c>
      <c r="H169" s="31">
        <f t="shared" si="0"/>
        <v>14.06</v>
      </c>
      <c r="I169" s="31">
        <v>13.3781</v>
      </c>
      <c r="J169" s="31">
        <v>13.678800000000001</v>
      </c>
      <c r="K169" s="31">
        <v>13.81887285767</v>
      </c>
      <c r="L169" s="31">
        <v>14.000836245099999</v>
      </c>
      <c r="M169" s="31">
        <v>14.070614065664198</v>
      </c>
      <c r="N169" s="31">
        <v>14.3578495932948</v>
      </c>
      <c r="O169" s="31">
        <v>13.9590927414311</v>
      </c>
      <c r="P169" s="31">
        <v>13.6477598838164</v>
      </c>
    </row>
    <row r="170" spans="1:16" ht="15" customHeight="1" x14ac:dyDescent="0.3">
      <c r="A170" s="11" t="s">
        <v>594</v>
      </c>
      <c r="B170" s="11" t="s">
        <v>593</v>
      </c>
      <c r="C170" s="31">
        <v>193</v>
      </c>
      <c r="D170" s="31">
        <v>193.09694999999999</v>
      </c>
      <c r="E170" s="31">
        <v>177</v>
      </c>
      <c r="F170" s="31">
        <v>178</v>
      </c>
      <c r="G170" s="31">
        <v>174</v>
      </c>
      <c r="H170" s="31">
        <v>170</v>
      </c>
      <c r="I170" s="31">
        <v>180.1936</v>
      </c>
      <c r="J170" s="31">
        <v>179.6387</v>
      </c>
      <c r="K170" s="31">
        <v>193.724969813</v>
      </c>
      <c r="L170" s="31">
        <v>182.41688848999999</v>
      </c>
      <c r="M170" s="31">
        <v>180.33298530600001</v>
      </c>
      <c r="N170" s="31">
        <v>183.389120461</v>
      </c>
      <c r="O170" s="31">
        <v>183.95024584399999</v>
      </c>
      <c r="P170" s="31">
        <v>188.41145182299999</v>
      </c>
    </row>
    <row r="171" spans="1:16" ht="15" customHeight="1" x14ac:dyDescent="0.3">
      <c r="A171" s="11" t="s">
        <v>592</v>
      </c>
      <c r="B171" s="11" t="s">
        <v>591</v>
      </c>
      <c r="C171" s="31">
        <v>144</v>
      </c>
      <c r="D171" s="31">
        <v>145.57534000000001</v>
      </c>
      <c r="E171" s="31">
        <v>130</v>
      </c>
      <c r="F171" s="31">
        <v>119</v>
      </c>
      <c r="G171" s="31">
        <v>116</v>
      </c>
      <c r="H171" s="31">
        <v>113</v>
      </c>
      <c r="I171" s="31">
        <v>123.9686</v>
      </c>
      <c r="J171" s="31">
        <v>125.2266</v>
      </c>
      <c r="K171" s="31">
        <v>134.85714570499999</v>
      </c>
      <c r="L171" s="31">
        <v>127.503598579</v>
      </c>
      <c r="M171" s="31">
        <v>125.673661416</v>
      </c>
      <c r="N171" s="31">
        <v>128.75613637399999</v>
      </c>
      <c r="O171" s="31">
        <v>130.79739384199999</v>
      </c>
      <c r="P171" s="31">
        <v>136.755048862</v>
      </c>
    </row>
    <row r="172" spans="1:16" ht="15" customHeight="1" x14ac:dyDescent="0.3">
      <c r="A172" s="11" t="s">
        <v>590</v>
      </c>
      <c r="B172" s="11" t="s">
        <v>589</v>
      </c>
      <c r="C172" s="31">
        <v>14</v>
      </c>
      <c r="D172" s="31">
        <v>14.38287</v>
      </c>
      <c r="E172" s="31">
        <v>14</v>
      </c>
      <c r="F172" s="31">
        <v>27</v>
      </c>
      <c r="G172" s="31">
        <v>26</v>
      </c>
      <c r="H172" s="31">
        <v>26</v>
      </c>
      <c r="I172" s="31">
        <v>25.165900000000001</v>
      </c>
      <c r="J172" s="31">
        <v>24.6267</v>
      </c>
      <c r="K172" s="31">
        <v>25.993778906999999</v>
      </c>
      <c r="L172" s="31">
        <v>23.868434830999998</v>
      </c>
      <c r="M172" s="31">
        <v>23.328026578999999</v>
      </c>
      <c r="N172" s="31">
        <v>22.759834516000002</v>
      </c>
      <c r="O172" s="31">
        <v>21.650745090000001</v>
      </c>
      <c r="P172" s="31">
        <v>20.154296048999999</v>
      </c>
    </row>
    <row r="173" spans="1:16" ht="15" customHeight="1" x14ac:dyDescent="0.3">
      <c r="A173" s="11" t="s">
        <v>588</v>
      </c>
      <c r="B173" s="11" t="s">
        <v>587</v>
      </c>
      <c r="C173" s="31">
        <v>35</v>
      </c>
      <c r="D173" s="31">
        <v>33.138739999999999</v>
      </c>
      <c r="E173" s="31">
        <v>33</v>
      </c>
      <c r="F173" s="31">
        <v>32</v>
      </c>
      <c r="G173" s="31">
        <v>31</v>
      </c>
      <c r="H173" s="31">
        <v>32</v>
      </c>
      <c r="I173" s="31">
        <v>31.059100000000001</v>
      </c>
      <c r="J173" s="31">
        <v>29.785399999999999</v>
      </c>
      <c r="K173" s="31">
        <v>32.874045201000001</v>
      </c>
      <c r="L173" s="31">
        <v>31.044855080000001</v>
      </c>
      <c r="M173" s="31">
        <v>31.331297311</v>
      </c>
      <c r="N173" s="31">
        <v>31.873149570999999</v>
      </c>
      <c r="O173" s="31">
        <v>31.502106911999999</v>
      </c>
      <c r="P173" s="31">
        <v>31.502106911999999</v>
      </c>
    </row>
    <row r="174" spans="1:16" ht="15" customHeight="1" x14ac:dyDescent="0.3">
      <c r="A174" s="11" t="s">
        <v>586</v>
      </c>
      <c r="B174" s="11" t="s">
        <v>585</v>
      </c>
      <c r="C174" s="31">
        <v>3962</v>
      </c>
      <c r="D174" s="31">
        <v>3600.0823764178931</v>
      </c>
      <c r="E174" s="31">
        <v>3387.2227206320422</v>
      </c>
      <c r="F174" s="31">
        <v>3412.570873858047</v>
      </c>
      <c r="G174" s="31">
        <v>3376.6901389882732</v>
      </c>
      <c r="H174" s="31">
        <v>3330.110881422981</v>
      </c>
      <c r="I174" s="31">
        <v>3551.6149691014762</v>
      </c>
      <c r="J174" s="31">
        <v>3516.2963422766552</v>
      </c>
      <c r="K174" s="31">
        <v>3785.9148922532113</v>
      </c>
      <c r="L174" s="31">
        <v>3609.163969554229</v>
      </c>
      <c r="M174" s="31">
        <v>3619.2804865517683</v>
      </c>
      <c r="N174" s="31">
        <v>3671.9200985730495</v>
      </c>
      <c r="O174" s="31">
        <v>3695.5610965077067</v>
      </c>
      <c r="P174" s="31">
        <v>3919.031039297588</v>
      </c>
    </row>
    <row r="175" spans="1:16" ht="15" customHeight="1" x14ac:dyDescent="0.3">
      <c r="A175" s="11" t="s">
        <v>584</v>
      </c>
      <c r="B175" s="11" t="s">
        <v>583</v>
      </c>
      <c r="C175" s="31">
        <v>2967</v>
      </c>
      <c r="D175" s="31">
        <v>2714.0935876723088</v>
      </c>
      <c r="E175" s="31">
        <v>2484.087902223735</v>
      </c>
      <c r="F175" s="31">
        <v>2283.2380836339762</v>
      </c>
      <c r="G175" s="31">
        <v>2262.8572078568977</v>
      </c>
      <c r="H175" s="31">
        <v>2200.3336777565273</v>
      </c>
      <c r="I175" s="31">
        <v>2446.4223800017571</v>
      </c>
      <c r="J175" s="31">
        <v>2451.2185621628669</v>
      </c>
      <c r="K175" s="31">
        <v>2635.4768656849847</v>
      </c>
      <c r="L175" s="31">
        <v>2522.6907323793457</v>
      </c>
      <c r="M175" s="31">
        <v>2522.2686224854078</v>
      </c>
      <c r="N175" s="31">
        <v>2578.0277328130942</v>
      </c>
      <c r="O175" s="31">
        <v>2627.7201098008591</v>
      </c>
      <c r="P175" s="31">
        <v>2844.5578869289238</v>
      </c>
    </row>
    <row r="176" spans="1:16" ht="15" customHeight="1" x14ac:dyDescent="0.3">
      <c r="A176" s="11" t="s">
        <v>582</v>
      </c>
      <c r="B176" s="11" t="s">
        <v>581</v>
      </c>
      <c r="C176" s="31">
        <v>296</v>
      </c>
      <c r="D176" s="31">
        <v>268.15300517085416</v>
      </c>
      <c r="E176" s="31">
        <v>267.45366062107132</v>
      </c>
      <c r="F176" s="31">
        <v>510.30331650600783</v>
      </c>
      <c r="G176" s="31">
        <v>502.73154672091914</v>
      </c>
      <c r="H176" s="31">
        <v>511.41653192855301</v>
      </c>
      <c r="I176" s="31">
        <v>494.67614850584869</v>
      </c>
      <c r="J176" s="31">
        <v>482.05055220280701</v>
      </c>
      <c r="K176" s="31">
        <v>507.98941802158515</v>
      </c>
      <c r="L176" s="31">
        <v>472.24297978074173</v>
      </c>
      <c r="M176" s="31">
        <v>468.1931663465075</v>
      </c>
      <c r="N176" s="31">
        <v>455.71022046618964</v>
      </c>
      <c r="O176" s="31">
        <v>434.96354624534797</v>
      </c>
      <c r="P176" s="31">
        <v>419.21714963176782</v>
      </c>
    </row>
    <row r="177" spans="1:16" ht="15" customHeight="1" x14ac:dyDescent="0.3">
      <c r="A177" s="11" t="s">
        <v>580</v>
      </c>
      <c r="B177" s="11" t="s">
        <v>579</v>
      </c>
      <c r="C177" s="31">
        <v>699</v>
      </c>
      <c r="D177" s="31">
        <v>617.83578357473016</v>
      </c>
      <c r="E177" s="31">
        <v>635.68115778723586</v>
      </c>
      <c r="F177" s="31">
        <v>619.02947371806295</v>
      </c>
      <c r="G177" s="31">
        <v>611.10138441045638</v>
      </c>
      <c r="H177" s="31">
        <v>618.3606717379007</v>
      </c>
      <c r="I177" s="31">
        <v>610.51644059387036</v>
      </c>
      <c r="J177" s="31">
        <v>583.02722791098131</v>
      </c>
      <c r="K177" s="31">
        <v>642.44860854664148</v>
      </c>
      <c r="L177" s="31">
        <v>614.23025739414152</v>
      </c>
      <c r="M177" s="31">
        <v>628.81869771985293</v>
      </c>
      <c r="N177" s="31">
        <v>638.18214529376564</v>
      </c>
      <c r="O177" s="31">
        <v>632.87744046149965</v>
      </c>
      <c r="P177" s="31">
        <v>655.25600273689633</v>
      </c>
    </row>
    <row r="178" spans="1:16" x14ac:dyDescent="0.3">
      <c r="A178" s="11" t="s">
        <v>578</v>
      </c>
      <c r="B178" s="11" t="s">
        <v>577</v>
      </c>
      <c r="C178" s="31">
        <v>6000</v>
      </c>
      <c r="D178" s="31">
        <v>6300</v>
      </c>
      <c r="E178" s="31">
        <v>6300</v>
      </c>
      <c r="F178" s="31">
        <v>6700</v>
      </c>
      <c r="G178" s="31">
        <v>6900</v>
      </c>
      <c r="H178" s="31">
        <v>7300</v>
      </c>
      <c r="I178" s="31">
        <v>6200</v>
      </c>
      <c r="J178" s="31">
        <v>6800</v>
      </c>
      <c r="K178" s="31">
        <v>7300</v>
      </c>
      <c r="L178" s="31">
        <v>7500</v>
      </c>
      <c r="M178" s="31">
        <v>7700</v>
      </c>
      <c r="N178" s="31">
        <v>8300</v>
      </c>
      <c r="O178" s="31">
        <v>7600</v>
      </c>
      <c r="P178" s="31">
        <v>7300</v>
      </c>
    </row>
    <row r="179" spans="1:16" x14ac:dyDescent="0.3">
      <c r="A179" s="11" t="s">
        <v>576</v>
      </c>
      <c r="B179" s="11" t="s">
        <v>575</v>
      </c>
      <c r="C179" s="31">
        <v>50809.35</v>
      </c>
      <c r="D179" s="31">
        <v>53235.086049999998</v>
      </c>
      <c r="E179" s="31">
        <v>52519.07</v>
      </c>
      <c r="F179" s="31">
        <v>55873.86</v>
      </c>
      <c r="G179" s="31">
        <v>58305.02</v>
      </c>
      <c r="H179" s="31">
        <v>61229.79</v>
      </c>
      <c r="I179" s="31">
        <v>52170.136700000003</v>
      </c>
      <c r="J179" s="31">
        <v>56687.669600000001</v>
      </c>
      <c r="K179" s="31">
        <v>61170.742621057667</v>
      </c>
      <c r="L179" s="31">
        <v>63065.572908530012</v>
      </c>
      <c r="M179" s="31">
        <v>64791.66677522863</v>
      </c>
      <c r="N179" s="31">
        <v>69941.160843333346</v>
      </c>
      <c r="O179" s="31">
        <v>63594.825952418818</v>
      </c>
      <c r="P179" s="31">
        <v>61220.29417795784</v>
      </c>
    </row>
    <row r="180" spans="1:16" x14ac:dyDescent="0.3">
      <c r="A180" s="11" t="s">
        <v>574</v>
      </c>
      <c r="B180" s="11" t="s">
        <v>573</v>
      </c>
      <c r="C180" s="31">
        <v>9320.4427739758994</v>
      </c>
      <c r="D180" s="31">
        <v>9320.4427739758994</v>
      </c>
      <c r="E180" s="31">
        <v>9226.9257469022996</v>
      </c>
      <c r="F180" s="31">
        <v>9026.1545464255996</v>
      </c>
      <c r="G180" s="31">
        <v>8777.7522774150002</v>
      </c>
      <c r="H180" s="31">
        <v>8721.3442536467992</v>
      </c>
      <c r="I180" s="31">
        <v>8576.2808386477009</v>
      </c>
      <c r="J180" s="31">
        <v>8331.4353358823992</v>
      </c>
      <c r="K180" s="31">
        <v>7850.16</v>
      </c>
      <c r="L180" s="31"/>
      <c r="M180" s="31"/>
      <c r="N180" s="31">
        <v>8819.9974459061996</v>
      </c>
      <c r="O180" s="31">
        <v>8424.1015818512005</v>
      </c>
      <c r="P180" s="31">
        <v>8650.1750292682009</v>
      </c>
    </row>
    <row r="181" spans="1:16" x14ac:dyDescent="0.3">
      <c r="A181" s="11" t="s">
        <v>572</v>
      </c>
      <c r="B181" s="11" t="s">
        <v>571</v>
      </c>
      <c r="C181" s="23">
        <v>4834.0754266070999</v>
      </c>
      <c r="D181" s="23">
        <v>4834.0754266070999</v>
      </c>
      <c r="E181" s="23">
        <v>4768.8206217806</v>
      </c>
      <c r="F181" s="23">
        <v>4665.4854716055997</v>
      </c>
      <c r="G181" s="23">
        <v>4518.7232625522001</v>
      </c>
      <c r="H181" s="23">
        <v>4485.0599819305999</v>
      </c>
      <c r="I181" s="23">
        <v>4427.3228334867999</v>
      </c>
      <c r="J181" s="23">
        <v>4291.9537771627001</v>
      </c>
      <c r="K181" s="23">
        <v>4113.88</v>
      </c>
      <c r="L181" s="23"/>
      <c r="M181" s="23"/>
      <c r="N181" s="23">
        <v>4590.6496561197</v>
      </c>
      <c r="O181" s="23">
        <v>4446.9469047986004</v>
      </c>
      <c r="P181" s="23">
        <v>4583.0694848131998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06"/>
  <sheetViews>
    <sheetView zoomScaleNormal="100" workbookViewId="0">
      <pane xSplit="2" ySplit="2" topLeftCell="K179" activePane="bottomRight" state="frozen"/>
      <selection activeCell="I21" sqref="I21"/>
      <selection pane="topRight" activeCell="I21" sqref="I21"/>
      <selection pane="bottomLeft" activeCell="I21" sqref="I21"/>
      <selection pane="bottomRight" activeCell="S188" sqref="S188"/>
    </sheetView>
  </sheetViews>
  <sheetFormatPr baseColWidth="10" defaultColWidth="8.5546875" defaultRowHeight="14.4" x14ac:dyDescent="0.3"/>
  <cols>
    <col min="1" max="1" width="6.21875" bestFit="1" customWidth="1"/>
    <col min="2" max="2" width="37.21875" customWidth="1"/>
    <col min="3" max="4" width="14.44140625" bestFit="1" customWidth="1"/>
    <col min="5" max="5" width="14.5546875" bestFit="1" customWidth="1"/>
    <col min="6" max="6" width="14.44140625" bestFit="1" customWidth="1"/>
    <col min="7" max="7" width="15" bestFit="1" customWidth="1"/>
    <col min="8" max="16" width="14.44140625" bestFit="1" customWidth="1"/>
  </cols>
  <sheetData>
    <row r="1" spans="1:16"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t="s">
        <v>1177</v>
      </c>
      <c r="B3" s="11" t="s">
        <v>304</v>
      </c>
      <c r="C3" s="33">
        <v>14.33</v>
      </c>
      <c r="D3" s="33">
        <v>14.516299999999999</v>
      </c>
      <c r="E3" s="33">
        <v>14.35</v>
      </c>
      <c r="F3" s="33">
        <v>14.63</v>
      </c>
      <c r="G3" s="33">
        <v>14.67</v>
      </c>
      <c r="H3" s="23">
        <v>14.82</v>
      </c>
      <c r="I3" s="23">
        <v>14.116400000000001</v>
      </c>
      <c r="J3" s="23">
        <v>14.37</v>
      </c>
      <c r="K3" s="23">
        <v>14.5963727</v>
      </c>
      <c r="L3" s="23">
        <v>14.671974499999999</v>
      </c>
      <c r="M3" s="23">
        <v>14.730606699999999</v>
      </c>
      <c r="N3" s="23">
        <v>15.0295688</v>
      </c>
      <c r="O3" s="23">
        <v>14.561876399999999</v>
      </c>
      <c r="P3" s="23">
        <v>14.709148276981299</v>
      </c>
    </row>
    <row r="4" spans="1:16" x14ac:dyDescent="0.3">
      <c r="A4" s="11" t="s">
        <v>1176</v>
      </c>
      <c r="B4" s="11" t="s">
        <v>1175</v>
      </c>
      <c r="C4" s="33">
        <v>1.79</v>
      </c>
      <c r="D4" s="33">
        <v>1.8145</v>
      </c>
      <c r="E4" s="33">
        <v>1.79</v>
      </c>
      <c r="F4" s="33">
        <v>1.83</v>
      </c>
      <c r="G4" s="33">
        <v>1.83</v>
      </c>
      <c r="H4" s="23">
        <v>1.85</v>
      </c>
      <c r="I4" s="23">
        <v>1.7645</v>
      </c>
      <c r="J4" s="23">
        <v>1.7963</v>
      </c>
      <c r="K4" s="23">
        <v>1.8245465999999999</v>
      </c>
      <c r="L4" s="23">
        <v>1.8339968</v>
      </c>
      <c r="M4" s="23">
        <v>1.8413257999999999</v>
      </c>
      <c r="N4" s="23">
        <v>1.8786961</v>
      </c>
      <c r="O4" s="23">
        <v>1.8202346</v>
      </c>
      <c r="P4" s="23">
        <v>1.8386435346226599</v>
      </c>
    </row>
    <row r="5" spans="1:16" x14ac:dyDescent="0.3">
      <c r="A5" s="11" t="s">
        <v>1174</v>
      </c>
      <c r="B5" s="11" t="s">
        <v>1173</v>
      </c>
      <c r="C5" s="33">
        <v>16.64</v>
      </c>
      <c r="D5" s="33">
        <v>16.848199999999999</v>
      </c>
      <c r="E5" s="33">
        <v>16.75</v>
      </c>
      <c r="F5" s="33">
        <v>17.079999999999998</v>
      </c>
      <c r="G5" s="33">
        <v>17.3</v>
      </c>
      <c r="H5" s="23">
        <v>17.54</v>
      </c>
      <c r="I5" s="23">
        <v>16.5303</v>
      </c>
      <c r="J5" s="23">
        <v>16.861699999999999</v>
      </c>
      <c r="K5" s="23">
        <v>17.139995800000001</v>
      </c>
      <c r="L5" s="23">
        <v>17.221915299999999</v>
      </c>
      <c r="M5" s="23">
        <v>17.374001400000001</v>
      </c>
      <c r="N5" s="23">
        <v>17.6715716</v>
      </c>
      <c r="O5" s="23">
        <v>17.034053100000001</v>
      </c>
      <c r="P5" s="23">
        <v>17.1139736577036</v>
      </c>
    </row>
    <row r="6" spans="1:16" x14ac:dyDescent="0.3">
      <c r="A6" s="11" t="s">
        <v>1172</v>
      </c>
      <c r="B6" s="11" t="s">
        <v>1171</v>
      </c>
      <c r="C6" s="34">
        <v>1.79</v>
      </c>
      <c r="D6" s="34">
        <v>1.8110999999999999</v>
      </c>
      <c r="E6" s="34">
        <v>1.79</v>
      </c>
      <c r="F6" s="34">
        <v>1.82</v>
      </c>
      <c r="G6" s="34">
        <v>1.83</v>
      </c>
      <c r="H6" s="23">
        <v>1.85</v>
      </c>
      <c r="I6" s="23">
        <v>1.7606999999999999</v>
      </c>
      <c r="J6" s="23">
        <v>1.7959000000000001</v>
      </c>
      <c r="K6" s="23">
        <v>1.8241756</v>
      </c>
      <c r="L6" s="23">
        <v>1.8336368999999999</v>
      </c>
      <c r="M6" s="23">
        <v>1.8409639</v>
      </c>
      <c r="N6" s="23">
        <v>1.8783198999999999</v>
      </c>
      <c r="O6" s="23">
        <v>1.8200479000000001</v>
      </c>
      <c r="P6" s="23">
        <v>1.8384585199782899</v>
      </c>
    </row>
    <row r="7" spans="1:16" x14ac:dyDescent="0.3">
      <c r="A7" s="11" t="s">
        <v>1170</v>
      </c>
      <c r="B7" s="11" t="s">
        <v>1169</v>
      </c>
      <c r="C7" s="34">
        <v>14.31</v>
      </c>
      <c r="D7" s="34">
        <v>14.4884</v>
      </c>
      <c r="E7" s="34">
        <v>14.33</v>
      </c>
      <c r="F7" s="34">
        <v>14.6</v>
      </c>
      <c r="G7" s="34">
        <v>14.64</v>
      </c>
      <c r="H7" s="23">
        <v>14.79</v>
      </c>
      <c r="I7" s="23">
        <v>14.0854</v>
      </c>
      <c r="J7" s="23">
        <v>14.3672</v>
      </c>
      <c r="K7" s="23">
        <v>14.5934048</v>
      </c>
      <c r="L7" s="23">
        <v>14.669095499999999</v>
      </c>
      <c r="M7" s="23">
        <v>14.7277111</v>
      </c>
      <c r="N7" s="23">
        <v>15.026559000000001</v>
      </c>
      <c r="O7" s="23">
        <v>14.5603829</v>
      </c>
      <c r="P7" s="23">
        <v>14.7076681598263</v>
      </c>
    </row>
    <row r="8" spans="1:16" x14ac:dyDescent="0.3">
      <c r="A8" s="11" t="s">
        <v>1168</v>
      </c>
      <c r="B8" s="11" t="s">
        <v>1167</v>
      </c>
      <c r="C8" s="34">
        <v>14.31</v>
      </c>
      <c r="D8" s="34">
        <v>14.4884</v>
      </c>
      <c r="E8" s="34">
        <v>14.33</v>
      </c>
      <c r="F8" s="34">
        <v>14.6</v>
      </c>
      <c r="G8" s="34">
        <v>14.64</v>
      </c>
      <c r="H8" s="23">
        <v>14.79</v>
      </c>
      <c r="I8" s="23">
        <v>14.0854</v>
      </c>
      <c r="J8" s="23">
        <v>14.3672</v>
      </c>
      <c r="K8" s="23">
        <v>14.5934048</v>
      </c>
      <c r="L8" s="23">
        <v>14.669095499999999</v>
      </c>
      <c r="M8" s="23">
        <v>14.7277111</v>
      </c>
      <c r="N8" s="23">
        <v>15.026559000000001</v>
      </c>
      <c r="O8" s="23">
        <v>14.5603829</v>
      </c>
      <c r="P8" s="23">
        <v>14.7076681598263</v>
      </c>
    </row>
    <row r="9" spans="1:16" x14ac:dyDescent="0.3">
      <c r="A9" s="11" t="s">
        <v>1166</v>
      </c>
      <c r="B9" s="11" t="s">
        <v>1165</v>
      </c>
      <c r="C9" s="34">
        <v>4.5</v>
      </c>
      <c r="D9" s="34">
        <v>4.5</v>
      </c>
      <c r="E9" s="34">
        <v>4.5</v>
      </c>
      <c r="F9" s="34">
        <v>4.5</v>
      </c>
      <c r="G9" s="34">
        <v>4.5</v>
      </c>
      <c r="H9" s="23">
        <v>4.5</v>
      </c>
      <c r="I9" s="23">
        <v>4.5</v>
      </c>
      <c r="J9" s="23">
        <v>4.5</v>
      </c>
      <c r="K9" s="23">
        <v>4.5</v>
      </c>
      <c r="L9" s="23">
        <v>4.5</v>
      </c>
      <c r="M9" s="23">
        <v>4.5</v>
      </c>
      <c r="N9" s="23">
        <v>4.5</v>
      </c>
      <c r="O9" s="23">
        <v>4.5</v>
      </c>
      <c r="P9" s="23">
        <v>4.5000000010782601</v>
      </c>
    </row>
    <row r="10" spans="1:16" x14ac:dyDescent="0.3">
      <c r="A10" s="11" t="s">
        <v>1164</v>
      </c>
      <c r="B10" s="11" t="s">
        <v>1163</v>
      </c>
      <c r="C10" s="34">
        <v>7.31</v>
      </c>
      <c r="D10" s="34">
        <v>7.4884000000000004</v>
      </c>
      <c r="E10" s="34">
        <v>7.33</v>
      </c>
      <c r="F10" s="34">
        <v>7.6</v>
      </c>
      <c r="G10" s="34">
        <v>7.64</v>
      </c>
      <c r="H10" s="23">
        <v>7.79</v>
      </c>
      <c r="I10" s="23">
        <v>7.0852000000000004</v>
      </c>
      <c r="J10" s="23">
        <v>7.3669000000000002</v>
      </c>
      <c r="K10" s="23">
        <v>7.5931525999999998</v>
      </c>
      <c r="L10" s="23">
        <v>7.6688394000000004</v>
      </c>
      <c r="M10" s="23">
        <v>7.7273699999999996</v>
      </c>
      <c r="N10" s="23">
        <v>8.0262998999999997</v>
      </c>
      <c r="O10" s="23">
        <v>7.5600658000000003</v>
      </c>
      <c r="P10" s="23">
        <v>7.7073288256343897</v>
      </c>
    </row>
    <row r="11" spans="1:16" x14ac:dyDescent="0.3">
      <c r="A11" s="11" t="s">
        <v>1162</v>
      </c>
      <c r="B11" s="11" t="s">
        <v>1161</v>
      </c>
      <c r="C11" s="34">
        <v>2.5</v>
      </c>
      <c r="D11" s="34">
        <v>2.5001000000000002</v>
      </c>
      <c r="E11" s="34">
        <v>2.5</v>
      </c>
      <c r="F11" s="34">
        <v>2.5</v>
      </c>
      <c r="G11" s="34">
        <v>2.5</v>
      </c>
      <c r="H11" s="23">
        <v>2.5</v>
      </c>
      <c r="I11" s="23">
        <v>2.5</v>
      </c>
      <c r="J11" s="23">
        <v>2.5003000000000002</v>
      </c>
      <c r="K11" s="23">
        <v>2.5002521999999998</v>
      </c>
      <c r="L11" s="23">
        <v>2.5002561000000001</v>
      </c>
      <c r="M11" s="23">
        <v>2.5003411</v>
      </c>
      <c r="N11" s="23">
        <v>2.5002591000000001</v>
      </c>
      <c r="O11" s="23">
        <v>2.5003171000000002</v>
      </c>
      <c r="P11" s="23">
        <v>2.49999999804509</v>
      </c>
    </row>
    <row r="12" spans="1:16" x14ac:dyDescent="0.3">
      <c r="A12" s="11" t="s">
        <v>1160</v>
      </c>
      <c r="B12" s="11" t="s">
        <v>1159</v>
      </c>
      <c r="C12" s="34">
        <v>0.56000000000000005</v>
      </c>
      <c r="D12" s="34">
        <v>0.55220000000000002</v>
      </c>
      <c r="E12" s="34">
        <v>0.56000000000000005</v>
      </c>
      <c r="F12" s="34">
        <v>0.54800000000000004</v>
      </c>
      <c r="G12" s="34">
        <v>0.55000000000000004</v>
      </c>
      <c r="H12" s="23">
        <v>0.54</v>
      </c>
      <c r="I12" s="23">
        <v>0.56799999999999995</v>
      </c>
      <c r="J12" s="23">
        <v>0.55679999999999996</v>
      </c>
      <c r="K12" s="23">
        <v>0.54819280000000004</v>
      </c>
      <c r="L12" s="23">
        <v>0.54536419999999997</v>
      </c>
      <c r="M12" s="23">
        <v>0.5431937</v>
      </c>
      <c r="N12" s="23">
        <v>0.53239069999999999</v>
      </c>
      <c r="O12" s="23">
        <v>0.54943609999999998</v>
      </c>
      <c r="P12" s="23">
        <v>0.543933947452787</v>
      </c>
    </row>
    <row r="13" spans="1:16" x14ac:dyDescent="0.3">
      <c r="A13" s="11" t="s">
        <v>1158</v>
      </c>
      <c r="B13" s="11" t="s">
        <v>1157</v>
      </c>
      <c r="C13" s="34">
        <v>286.95999999999998</v>
      </c>
      <c r="D13" s="34">
        <v>287.09019999999998</v>
      </c>
      <c r="E13" s="34">
        <v>301.82</v>
      </c>
      <c r="F13" s="34">
        <v>279.07</v>
      </c>
      <c r="G13" s="34">
        <v>283.02</v>
      </c>
      <c r="H13" s="23">
        <v>281.54000000000002</v>
      </c>
      <c r="I13" s="23">
        <v>258.32060000000001</v>
      </c>
      <c r="J13" s="23">
        <v>2877.3923</v>
      </c>
      <c r="K13" s="23">
        <v>2695.5218174000001</v>
      </c>
      <c r="L13" s="23">
        <v>2778.6871234</v>
      </c>
      <c r="M13" s="23">
        <v>2762.8212938000001</v>
      </c>
      <c r="N13" s="23">
        <v>2657.9528362999999</v>
      </c>
      <c r="O13" s="23">
        <v>5356.5791955000004</v>
      </c>
      <c r="P13" s="23">
        <v>5404.9775541057897</v>
      </c>
    </row>
    <row r="14" spans="1:16" x14ac:dyDescent="0.3">
      <c r="A14" s="11" t="s">
        <v>1156</v>
      </c>
      <c r="B14" s="11" t="s">
        <v>1155</v>
      </c>
      <c r="C14" s="23"/>
      <c r="D14" s="23"/>
      <c r="E14" s="23"/>
      <c r="F14" s="23"/>
      <c r="G14" s="23"/>
      <c r="H14" s="23"/>
      <c r="I14" s="23"/>
      <c r="J14" s="23"/>
      <c r="K14" s="23"/>
      <c r="L14" s="23"/>
      <c r="M14" s="23"/>
      <c r="N14" s="23"/>
      <c r="O14" s="23"/>
      <c r="P14" s="23"/>
    </row>
    <row r="15" spans="1:16" x14ac:dyDescent="0.3">
      <c r="A15" s="11" t="s">
        <v>1154</v>
      </c>
      <c r="B15" s="11" t="s">
        <v>1153</v>
      </c>
      <c r="C15" s="23"/>
      <c r="D15" s="23"/>
      <c r="E15" s="23"/>
      <c r="F15" s="23"/>
      <c r="G15" s="23"/>
      <c r="H15" s="23"/>
      <c r="I15" s="23"/>
      <c r="J15" s="23"/>
      <c r="K15" s="23"/>
      <c r="L15" s="23"/>
      <c r="M15" s="23"/>
      <c r="N15" s="23"/>
      <c r="O15" s="23"/>
      <c r="P15" s="23"/>
    </row>
    <row r="16" spans="1:16" x14ac:dyDescent="0.3">
      <c r="A16" s="11" t="s">
        <v>1152</v>
      </c>
      <c r="B16" s="11" t="s">
        <v>1151</v>
      </c>
      <c r="C16" s="23">
        <v>0</v>
      </c>
      <c r="D16" s="23"/>
      <c r="E16" s="23">
        <v>0</v>
      </c>
      <c r="F16" s="23">
        <v>0</v>
      </c>
      <c r="G16" s="23">
        <v>0</v>
      </c>
      <c r="H16" s="23">
        <v>0</v>
      </c>
      <c r="I16" s="23">
        <v>0</v>
      </c>
      <c r="J16" s="23">
        <v>0</v>
      </c>
      <c r="K16" s="23">
        <v>0</v>
      </c>
      <c r="L16" s="23">
        <v>0</v>
      </c>
      <c r="M16" s="23">
        <v>0</v>
      </c>
      <c r="N16" s="23">
        <v>0</v>
      </c>
      <c r="O16" s="23">
        <v>0</v>
      </c>
      <c r="P16" s="23">
        <v>0</v>
      </c>
    </row>
    <row r="17" spans="1:16" x14ac:dyDescent="0.3">
      <c r="A17" s="11" t="s">
        <v>1150</v>
      </c>
      <c r="B17" s="11" t="s">
        <v>1149</v>
      </c>
      <c r="C17" s="23">
        <v>0</v>
      </c>
      <c r="D17" s="23">
        <v>2.9999999999999997E-4</v>
      </c>
      <c r="E17" s="23">
        <v>0</v>
      </c>
      <c r="F17" s="23">
        <v>0</v>
      </c>
      <c r="G17" s="23">
        <v>0</v>
      </c>
      <c r="H17" s="23">
        <v>0</v>
      </c>
      <c r="I17" s="23">
        <v>2.9999999999999997E-4</v>
      </c>
      <c r="J17" s="23">
        <v>0</v>
      </c>
      <c r="K17" s="23">
        <v>2.97E-5</v>
      </c>
      <c r="L17" s="23">
        <v>2.8799999999999999E-5</v>
      </c>
      <c r="M17" s="23">
        <v>2.9E-5</v>
      </c>
      <c r="N17" s="23">
        <v>3.01E-5</v>
      </c>
      <c r="O17" s="23">
        <v>1.3394440748314501E-5</v>
      </c>
      <c r="P17" s="23">
        <v>1.29369874801E-5</v>
      </c>
    </row>
    <row r="18" spans="1:16" x14ac:dyDescent="0.3">
      <c r="A18" s="11" t="s">
        <v>1148</v>
      </c>
      <c r="B18" s="11" t="s">
        <v>1147</v>
      </c>
      <c r="C18" s="34">
        <v>12736</v>
      </c>
      <c r="D18" s="34">
        <v>12741.537399999999</v>
      </c>
      <c r="E18" s="34">
        <v>13103</v>
      </c>
      <c r="F18" s="34">
        <v>13114</v>
      </c>
      <c r="G18" s="34">
        <v>13329</v>
      </c>
      <c r="H18" s="23">
        <v>13414</v>
      </c>
      <c r="I18" s="23">
        <v>13447.1648</v>
      </c>
      <c r="J18" s="23">
        <v>13405.267099999999</v>
      </c>
      <c r="K18" s="23">
        <v>13425.4588265</v>
      </c>
      <c r="L18" s="23">
        <v>13589.4194589</v>
      </c>
      <c r="M18" s="23">
        <v>13795.924341899999</v>
      </c>
      <c r="N18" s="23">
        <v>13755.923923799999</v>
      </c>
      <c r="O18" s="23">
        <v>13797.155296999999</v>
      </c>
      <c r="P18" s="23">
        <v>13921.814858886401</v>
      </c>
    </row>
    <row r="19" spans="1:16" x14ac:dyDescent="0.3">
      <c r="A19" s="11" t="s">
        <v>1146</v>
      </c>
      <c r="B19" s="11" t="s">
        <v>300</v>
      </c>
      <c r="C19" s="34">
        <v>22820</v>
      </c>
      <c r="D19" s="34">
        <v>23119.995599999998</v>
      </c>
      <c r="E19" s="34">
        <v>23509</v>
      </c>
      <c r="F19" s="34">
        <v>23976</v>
      </c>
      <c r="G19" s="34">
        <v>24438</v>
      </c>
      <c r="H19" s="23">
        <v>24850</v>
      </c>
      <c r="I19" s="23">
        <v>23728.163499999999</v>
      </c>
      <c r="J19" s="23">
        <v>24079.232800000002</v>
      </c>
      <c r="K19" s="23">
        <v>24495.375048000002</v>
      </c>
      <c r="L19" s="23">
        <v>24922.952042000001</v>
      </c>
      <c r="M19" s="23">
        <v>25402.79191</v>
      </c>
      <c r="N19" s="23">
        <v>25843.200708</v>
      </c>
      <c r="O19" s="23">
        <v>25114.058785000001</v>
      </c>
      <c r="P19" s="23">
        <v>25597.254880505101</v>
      </c>
    </row>
    <row r="20" spans="1:16" x14ac:dyDescent="0.3">
      <c r="A20" s="11" t="s">
        <v>1145</v>
      </c>
      <c r="B20" s="11" t="s">
        <v>298</v>
      </c>
      <c r="C20" s="34">
        <v>22776</v>
      </c>
      <c r="D20" s="34">
        <v>23075.614000000001</v>
      </c>
      <c r="E20" s="34">
        <v>23466</v>
      </c>
      <c r="F20" s="34">
        <v>23929</v>
      </c>
      <c r="G20" s="34">
        <v>24391</v>
      </c>
      <c r="H20" s="23">
        <v>24802</v>
      </c>
      <c r="I20" s="23">
        <v>23676.107400000001</v>
      </c>
      <c r="J20" s="23">
        <v>24074.574000000001</v>
      </c>
      <c r="K20" s="23">
        <v>24490.394394999999</v>
      </c>
      <c r="L20" s="23">
        <v>24918.061452000002</v>
      </c>
      <c r="M20" s="23">
        <v>25397.798491000001</v>
      </c>
      <c r="N20" s="23">
        <v>25838.025324999999</v>
      </c>
      <c r="O20" s="23">
        <v>25111.483045000001</v>
      </c>
      <c r="P20" s="23">
        <v>25594.679140880002</v>
      </c>
    </row>
    <row r="21" spans="1:16" x14ac:dyDescent="0.3">
      <c r="A21" s="11" t="s">
        <v>1144</v>
      </c>
      <c r="B21" s="11" t="s">
        <v>700</v>
      </c>
      <c r="C21" s="34">
        <v>44</v>
      </c>
      <c r="D21" s="34">
        <v>44.381700000000002</v>
      </c>
      <c r="E21" s="34">
        <v>43</v>
      </c>
      <c r="F21" s="34">
        <v>47</v>
      </c>
      <c r="G21" s="34">
        <v>47</v>
      </c>
      <c r="H21" s="23">
        <v>48</v>
      </c>
      <c r="I21" s="23">
        <v>52.056100000000001</v>
      </c>
      <c r="J21" s="23">
        <v>4.6588000000000003</v>
      </c>
      <c r="K21" s="23">
        <v>4.9806530000000002</v>
      </c>
      <c r="L21" s="23">
        <v>4.8905900000000004</v>
      </c>
      <c r="M21" s="23">
        <v>4.9934190000000003</v>
      </c>
      <c r="N21" s="23">
        <v>5.1753830000000001</v>
      </c>
      <c r="O21" s="23">
        <v>2.5757400000000001</v>
      </c>
      <c r="P21" s="23">
        <v>2.5757396251000002</v>
      </c>
    </row>
    <row r="22" spans="1:16" x14ac:dyDescent="0.3">
      <c r="A22" s="11" t="s">
        <v>1143</v>
      </c>
      <c r="B22" s="11" t="s">
        <v>883</v>
      </c>
      <c r="C22" s="34">
        <v>10084</v>
      </c>
      <c r="D22" s="34">
        <v>10378.458199999999</v>
      </c>
      <c r="E22" s="34">
        <v>10406</v>
      </c>
      <c r="F22" s="34">
        <v>10862</v>
      </c>
      <c r="G22" s="34">
        <v>11109</v>
      </c>
      <c r="H22" s="23">
        <v>11436</v>
      </c>
      <c r="I22" s="23">
        <v>10280.9987</v>
      </c>
      <c r="J22" s="23">
        <v>10673.9656</v>
      </c>
      <c r="K22" s="23">
        <v>11069.9162215</v>
      </c>
      <c r="L22" s="23">
        <v>11333.532583099999</v>
      </c>
      <c r="M22" s="23">
        <v>11606.8675681</v>
      </c>
      <c r="N22" s="23">
        <v>12087.276784199999</v>
      </c>
      <c r="O22" s="23">
        <v>11316.903488</v>
      </c>
      <c r="P22" s="23">
        <v>11675.4400216187</v>
      </c>
    </row>
    <row r="23" spans="1:16" x14ac:dyDescent="0.3">
      <c r="A23" s="11" t="s">
        <v>1142</v>
      </c>
      <c r="B23" s="11" t="s">
        <v>122</v>
      </c>
      <c r="C23" s="34">
        <v>5990</v>
      </c>
      <c r="D23" s="34">
        <v>5990.2223000000004</v>
      </c>
      <c r="E23" s="34">
        <v>5990</v>
      </c>
      <c r="F23" s="34">
        <v>5990</v>
      </c>
      <c r="G23" s="34">
        <v>5990</v>
      </c>
      <c r="H23" s="23">
        <v>5990</v>
      </c>
      <c r="I23" s="23">
        <v>5990.2223000000004</v>
      </c>
      <c r="J23" s="23">
        <v>5990.2223000000004</v>
      </c>
      <c r="K23" s="23">
        <v>5990.2223409999997</v>
      </c>
      <c r="L23" s="23">
        <v>5990.2223409999997</v>
      </c>
      <c r="M23" s="23">
        <v>5990.2223409999997</v>
      </c>
      <c r="N23" s="23">
        <v>5990.2223409999997</v>
      </c>
      <c r="O23" s="23">
        <v>5990.2223400000003</v>
      </c>
      <c r="P23" s="23">
        <v>5990.2223400000003</v>
      </c>
    </row>
    <row r="24" spans="1:16" x14ac:dyDescent="0.3">
      <c r="A24" s="11" t="s">
        <v>1141</v>
      </c>
      <c r="B24" s="11" t="s">
        <v>880</v>
      </c>
      <c r="C24" s="34">
        <v>5985</v>
      </c>
      <c r="D24" s="34">
        <v>5985.0712999999996</v>
      </c>
      <c r="E24" s="34">
        <v>5985</v>
      </c>
      <c r="F24" s="34">
        <v>5985</v>
      </c>
      <c r="G24" s="34">
        <v>5985</v>
      </c>
      <c r="H24" s="23">
        <v>5985</v>
      </c>
      <c r="I24" s="23">
        <v>5985.0712999999996</v>
      </c>
      <c r="J24" s="23">
        <v>5985.0712999999996</v>
      </c>
      <c r="K24" s="23">
        <v>5985.0713489999998</v>
      </c>
      <c r="L24" s="23">
        <v>5985.0713489999998</v>
      </c>
      <c r="M24" s="23">
        <v>5985.0713489999998</v>
      </c>
      <c r="N24" s="23">
        <v>5985.0713489999998</v>
      </c>
      <c r="O24" s="23">
        <v>5985.0713480000004</v>
      </c>
      <c r="P24" s="23">
        <v>5985.0713484199996</v>
      </c>
    </row>
    <row r="25" spans="1:16" x14ac:dyDescent="0.3">
      <c r="A25" s="11" t="s">
        <v>1140</v>
      </c>
      <c r="B25" s="11" t="s">
        <v>878</v>
      </c>
      <c r="C25" s="34">
        <v>5</v>
      </c>
      <c r="D25" s="34">
        <v>5.1509999999999998</v>
      </c>
      <c r="E25" s="34">
        <v>5</v>
      </c>
      <c r="F25" s="34">
        <v>5</v>
      </c>
      <c r="G25" s="34">
        <v>5</v>
      </c>
      <c r="H25" s="23">
        <v>5</v>
      </c>
      <c r="I25" s="23">
        <v>5.1509999999999998</v>
      </c>
      <c r="J25" s="23">
        <v>5.1509999999999998</v>
      </c>
      <c r="K25" s="23">
        <v>5.1509919999999996</v>
      </c>
      <c r="L25" s="23">
        <v>5.1509919999999996</v>
      </c>
      <c r="M25" s="23">
        <v>5.1509919999999996</v>
      </c>
      <c r="N25" s="23">
        <v>5.1509919999999996</v>
      </c>
      <c r="O25" s="23">
        <v>5.1509919999999996</v>
      </c>
      <c r="P25" s="23">
        <v>5.15099222</v>
      </c>
    </row>
    <row r="26" spans="1:16" x14ac:dyDescent="0.3">
      <c r="A26" s="11" t="s">
        <v>1139</v>
      </c>
      <c r="B26" s="11" t="s">
        <v>876</v>
      </c>
      <c r="C26" s="23">
        <v>0</v>
      </c>
      <c r="D26" s="23">
        <v>0</v>
      </c>
      <c r="E26" s="23">
        <v>0</v>
      </c>
      <c r="F26" s="23">
        <v>0</v>
      </c>
      <c r="G26" s="23">
        <v>0</v>
      </c>
      <c r="H26" s="23">
        <v>0</v>
      </c>
      <c r="I26" s="23">
        <v>0</v>
      </c>
      <c r="J26" s="23">
        <v>0</v>
      </c>
      <c r="K26" s="23">
        <v>0</v>
      </c>
      <c r="L26" s="23">
        <v>0</v>
      </c>
      <c r="M26" s="23">
        <v>0</v>
      </c>
      <c r="N26" s="23">
        <v>0</v>
      </c>
      <c r="O26" s="23">
        <v>0</v>
      </c>
      <c r="P26" s="23">
        <v>0</v>
      </c>
    </row>
    <row r="27" spans="1:16" x14ac:dyDescent="0.3">
      <c r="A27" s="11" t="s">
        <v>1138</v>
      </c>
      <c r="B27" s="11" t="s">
        <v>118</v>
      </c>
      <c r="C27" s="34">
        <v>24296</v>
      </c>
      <c r="D27" s="34">
        <v>24521.966499999999</v>
      </c>
      <c r="E27" s="34">
        <v>25106</v>
      </c>
      <c r="F27" s="34">
        <v>25647</v>
      </c>
      <c r="G27" s="34">
        <v>26248</v>
      </c>
      <c r="H27" s="35">
        <v>26769</v>
      </c>
      <c r="I27" s="35">
        <v>25775.960899999998</v>
      </c>
      <c r="J27" s="35">
        <v>26285.519499999999</v>
      </c>
      <c r="K27" s="35">
        <v>26814.414195000001</v>
      </c>
      <c r="L27" s="35">
        <v>27341.031878999998</v>
      </c>
      <c r="M27" s="35">
        <v>27915.02259</v>
      </c>
      <c r="N27" s="35">
        <v>28467.862969999998</v>
      </c>
      <c r="O27" s="35">
        <v>27817.810785999998</v>
      </c>
      <c r="P27" s="35">
        <v>28377.661183</v>
      </c>
    </row>
    <row r="28" spans="1:16" x14ac:dyDescent="0.3">
      <c r="A28" s="11" t="s">
        <v>1137</v>
      </c>
      <c r="B28" s="11" t="s">
        <v>873</v>
      </c>
      <c r="C28" s="34">
        <v>17884</v>
      </c>
      <c r="D28" s="34">
        <v>18005.506000000001</v>
      </c>
      <c r="E28" s="34">
        <v>18006</v>
      </c>
      <c r="F28" s="34">
        <v>18006</v>
      </c>
      <c r="G28" s="34">
        <v>18003</v>
      </c>
      <c r="H28" s="35">
        <v>18003</v>
      </c>
      <c r="I28" s="35">
        <v>22955.387299999999</v>
      </c>
      <c r="J28" s="35">
        <v>22951.764800000001</v>
      </c>
      <c r="K28" s="35">
        <v>22945.590077000001</v>
      </c>
      <c r="L28" s="35">
        <v>22940.043909</v>
      </c>
      <c r="M28" s="35">
        <v>22938.66545</v>
      </c>
      <c r="N28" s="35">
        <v>22924.246287999998</v>
      </c>
      <c r="O28" s="35">
        <v>21808.136740000002</v>
      </c>
      <c r="P28" s="35">
        <v>21794.438539999999</v>
      </c>
    </row>
    <row r="29" spans="1:16" x14ac:dyDescent="0.3">
      <c r="A29" s="11" t="s">
        <v>1136</v>
      </c>
      <c r="B29" s="11" t="s">
        <v>871</v>
      </c>
      <c r="C29" s="33">
        <v>0</v>
      </c>
      <c r="D29" s="33">
        <v>0</v>
      </c>
      <c r="E29" s="33">
        <v>6462</v>
      </c>
      <c r="F29" s="33">
        <v>6462</v>
      </c>
      <c r="G29" s="33">
        <v>6462</v>
      </c>
      <c r="H29" s="35">
        <v>6462</v>
      </c>
      <c r="I29" s="35">
        <v>0</v>
      </c>
      <c r="J29" s="35">
        <v>0</v>
      </c>
      <c r="K29" s="35">
        <v>0</v>
      </c>
      <c r="L29" s="35">
        <v>0</v>
      </c>
      <c r="M29" s="35">
        <v>0</v>
      </c>
      <c r="N29" s="35">
        <v>0</v>
      </c>
      <c r="O29" s="35">
        <v>0</v>
      </c>
      <c r="P29" s="35">
        <v>0</v>
      </c>
    </row>
    <row r="30" spans="1:16" x14ac:dyDescent="0.3">
      <c r="A30" s="11" t="s">
        <v>1135</v>
      </c>
      <c r="B30" s="11" t="s">
        <v>115</v>
      </c>
      <c r="C30" s="34">
        <v>6357</v>
      </c>
      <c r="D30" s="34">
        <v>6461.7295999999997</v>
      </c>
      <c r="E30" s="34">
        <v>550</v>
      </c>
      <c r="F30" s="34">
        <v>1072</v>
      </c>
      <c r="G30" s="34">
        <v>1601</v>
      </c>
      <c r="H30" s="35">
        <v>2109</v>
      </c>
      <c r="I30" s="35">
        <v>2619.4422</v>
      </c>
      <c r="J30" s="35">
        <v>3220.3683999999998</v>
      </c>
      <c r="K30" s="35">
        <v>3723.1033769999999</v>
      </c>
      <c r="L30" s="35">
        <v>4220.0400090000003</v>
      </c>
      <c r="M30" s="35">
        <v>4735.0506720000003</v>
      </c>
      <c r="N30" s="35">
        <v>5292.388903</v>
      </c>
      <c r="O30" s="35">
        <v>5898.3625419999998</v>
      </c>
      <c r="P30" s="35">
        <v>6526.9290300000002</v>
      </c>
    </row>
    <row r="31" spans="1:16" x14ac:dyDescent="0.3">
      <c r="A31" s="11" t="s">
        <v>1134</v>
      </c>
      <c r="B31" s="11" t="s">
        <v>868</v>
      </c>
      <c r="C31" s="34">
        <v>41.77</v>
      </c>
      <c r="D31" s="34">
        <v>41.768700000000003</v>
      </c>
      <c r="E31" s="34">
        <v>99.55</v>
      </c>
      <c r="F31" s="34">
        <v>151.53</v>
      </c>
      <c r="G31" s="34">
        <v>237</v>
      </c>
      <c r="H31" s="35">
        <v>269</v>
      </c>
      <c r="I31" s="35">
        <v>273.93979999999999</v>
      </c>
      <c r="J31" s="35">
        <v>189.62020000000001</v>
      </c>
      <c r="K31" s="35">
        <v>216.851046</v>
      </c>
      <c r="L31" s="35">
        <v>269.052976</v>
      </c>
      <c r="M31" s="35">
        <v>337.64073100000002</v>
      </c>
      <c r="N31" s="35">
        <v>348.180767</v>
      </c>
      <c r="O31" s="35">
        <v>205.81755899999999</v>
      </c>
      <c r="P31" s="35">
        <v>127.942801</v>
      </c>
    </row>
    <row r="32" spans="1:16" x14ac:dyDescent="0.3">
      <c r="A32" s="11" t="s">
        <v>1133</v>
      </c>
      <c r="B32" s="11" t="s">
        <v>866</v>
      </c>
      <c r="C32" s="23">
        <v>0</v>
      </c>
      <c r="D32" s="23">
        <v>0</v>
      </c>
      <c r="E32" s="23">
        <v>0</v>
      </c>
      <c r="F32" s="23">
        <v>0</v>
      </c>
      <c r="G32" s="23">
        <v>0</v>
      </c>
      <c r="H32" s="23">
        <v>0</v>
      </c>
      <c r="I32" s="23"/>
      <c r="J32" s="23">
        <v>0</v>
      </c>
      <c r="K32" s="23">
        <v>0</v>
      </c>
      <c r="L32" s="23">
        <v>0</v>
      </c>
      <c r="M32" s="23">
        <v>0</v>
      </c>
      <c r="N32" s="23">
        <v>0</v>
      </c>
      <c r="O32" s="23">
        <v>0</v>
      </c>
      <c r="P32" s="23">
        <v>0</v>
      </c>
    </row>
    <row r="33" spans="1:16" x14ac:dyDescent="0.3">
      <c r="A33" s="11" t="s">
        <v>1132</v>
      </c>
      <c r="B33" s="11" t="s">
        <v>864</v>
      </c>
      <c r="C33" s="34">
        <v>89</v>
      </c>
      <c r="D33" s="34">
        <v>89.497699999999995</v>
      </c>
      <c r="E33" s="34">
        <v>65</v>
      </c>
      <c r="F33" s="34">
        <v>32</v>
      </c>
      <c r="G33" s="34">
        <v>19</v>
      </c>
      <c r="H33" s="35">
        <v>0</v>
      </c>
      <c r="I33" s="35">
        <v>1.3472</v>
      </c>
      <c r="J33" s="35">
        <v>-2.5541999999999998</v>
      </c>
      <c r="K33" s="35">
        <v>2.0733549999999998</v>
      </c>
      <c r="L33" s="35">
        <v>-15.377338999999999</v>
      </c>
      <c r="M33" s="35">
        <v>-24.08257</v>
      </c>
      <c r="N33" s="35">
        <v>-24.909972</v>
      </c>
      <c r="O33" s="35">
        <v>-22.203510999999999</v>
      </c>
      <c r="P33" s="35">
        <v>-0.101492</v>
      </c>
    </row>
    <row r="34" spans="1:16" x14ac:dyDescent="0.3">
      <c r="A34" s="11" t="s">
        <v>1131</v>
      </c>
      <c r="B34" s="11" t="s">
        <v>862</v>
      </c>
      <c r="C34" s="34">
        <v>-77</v>
      </c>
      <c r="D34" s="34">
        <v>-76.535499999999999</v>
      </c>
      <c r="E34" s="34">
        <v>-76</v>
      </c>
      <c r="F34" s="34">
        <v>-76</v>
      </c>
      <c r="G34" s="34">
        <v>-75</v>
      </c>
      <c r="H34" s="23">
        <v>-75</v>
      </c>
      <c r="I34" s="23">
        <v>-74.155600000000007</v>
      </c>
      <c r="J34" s="23">
        <v>-73.679599999999994</v>
      </c>
      <c r="K34" s="23">
        <v>-73.203659999999999</v>
      </c>
      <c r="L34" s="23">
        <v>-72.727676000000002</v>
      </c>
      <c r="M34" s="23">
        <v>-72.251692000000006</v>
      </c>
      <c r="N34" s="23">
        <v>-72.043015999999994</v>
      </c>
      <c r="O34" s="23">
        <v>-72.302543999999997</v>
      </c>
      <c r="P34" s="23">
        <v>-71.547696000000002</v>
      </c>
    </row>
    <row r="35" spans="1:16" x14ac:dyDescent="0.3">
      <c r="A35" s="11" t="s">
        <v>1130</v>
      </c>
      <c r="B35" s="11" t="s">
        <v>860</v>
      </c>
      <c r="C35" s="33">
        <v>4973</v>
      </c>
      <c r="D35" s="33">
        <v>4973.3675000000003</v>
      </c>
      <c r="E35" s="33">
        <v>5051</v>
      </c>
      <c r="F35" s="33">
        <v>5103</v>
      </c>
      <c r="G35" s="33">
        <v>5206</v>
      </c>
      <c r="H35" s="23">
        <v>5289</v>
      </c>
      <c r="I35" s="23">
        <v>5392.7689</v>
      </c>
      <c r="J35" s="23">
        <v>5466.7821999999996</v>
      </c>
      <c r="K35" s="23">
        <v>5549.4310660000001</v>
      </c>
      <c r="L35" s="23">
        <v>5618.2604579999997</v>
      </c>
      <c r="M35" s="23">
        <v>5698.2768420000002</v>
      </c>
      <c r="N35" s="23">
        <v>5792.0935499999996</v>
      </c>
      <c r="O35" s="23">
        <v>5863.3966069999997</v>
      </c>
      <c r="P35" s="23">
        <v>5940.0509089999996</v>
      </c>
    </row>
    <row r="36" spans="1:16" x14ac:dyDescent="0.3">
      <c r="A36" s="11" t="s">
        <v>1129</v>
      </c>
      <c r="B36" s="11" t="s">
        <v>1128</v>
      </c>
      <c r="C36" s="23">
        <v>4973</v>
      </c>
      <c r="D36" s="23">
        <v>4973.3675000000003</v>
      </c>
      <c r="E36" s="23">
        <v>5051</v>
      </c>
      <c r="F36" s="23">
        <v>5103</v>
      </c>
      <c r="G36" s="23">
        <v>5206</v>
      </c>
      <c r="H36" s="23">
        <v>5289</v>
      </c>
      <c r="I36" s="23">
        <v>5392.7689</v>
      </c>
      <c r="J36" s="23">
        <v>5466.7821999999996</v>
      </c>
      <c r="K36" s="23">
        <v>5549.4310660000001</v>
      </c>
      <c r="L36" s="23">
        <v>5618.2604579999997</v>
      </c>
      <c r="M36" s="23">
        <v>5698.2768420000002</v>
      </c>
      <c r="N36" s="23">
        <v>5792.0935499999996</v>
      </c>
      <c r="O36" s="23">
        <v>5863.3966069999997</v>
      </c>
      <c r="P36" s="23">
        <v>5940.0509094887802</v>
      </c>
    </row>
    <row r="37" spans="1:16" x14ac:dyDescent="0.3">
      <c r="A37" s="11" t="s">
        <v>1127</v>
      </c>
      <c r="B37" s="11" t="s">
        <v>856</v>
      </c>
      <c r="C37" s="23">
        <v>0</v>
      </c>
      <c r="D37" s="23">
        <v>0</v>
      </c>
      <c r="E37" s="23">
        <v>0</v>
      </c>
      <c r="F37" s="23">
        <v>0</v>
      </c>
      <c r="G37" s="23">
        <v>0</v>
      </c>
      <c r="H37" s="23">
        <v>0</v>
      </c>
      <c r="I37" s="23">
        <v>0</v>
      </c>
      <c r="J37" s="23">
        <v>0</v>
      </c>
      <c r="K37" s="23">
        <v>0</v>
      </c>
      <c r="L37" s="23">
        <v>0</v>
      </c>
      <c r="M37" s="23">
        <v>0</v>
      </c>
      <c r="N37" s="23">
        <v>0</v>
      </c>
      <c r="O37" s="23">
        <v>0</v>
      </c>
      <c r="P37" s="23">
        <v>0</v>
      </c>
    </row>
    <row r="38" spans="1:16" x14ac:dyDescent="0.3">
      <c r="A38" s="11" t="s">
        <v>1126</v>
      </c>
      <c r="B38" s="11" t="s">
        <v>854</v>
      </c>
      <c r="C38" s="23">
        <v>0</v>
      </c>
      <c r="D38" s="23">
        <v>0</v>
      </c>
      <c r="E38" s="23">
        <v>0</v>
      </c>
      <c r="F38" s="23">
        <v>0</v>
      </c>
      <c r="G38" s="23">
        <v>0</v>
      </c>
      <c r="H38" s="23">
        <v>0</v>
      </c>
      <c r="I38" s="23">
        <v>0</v>
      </c>
      <c r="J38" s="23">
        <v>0</v>
      </c>
      <c r="K38" s="23">
        <v>0</v>
      </c>
      <c r="L38" s="23">
        <v>0</v>
      </c>
      <c r="M38" s="23">
        <v>0</v>
      </c>
      <c r="N38" s="23">
        <v>0</v>
      </c>
      <c r="O38" s="23">
        <v>0</v>
      </c>
      <c r="P38" s="23">
        <v>0</v>
      </c>
    </row>
    <row r="39" spans="1:16" x14ac:dyDescent="0.3">
      <c r="A39" s="11" t="s">
        <v>1125</v>
      </c>
      <c r="B39" s="11" t="s">
        <v>852</v>
      </c>
      <c r="C39" s="23">
        <v>0</v>
      </c>
      <c r="D39" s="23">
        <v>0</v>
      </c>
      <c r="E39" s="23">
        <v>0</v>
      </c>
      <c r="F39" s="23">
        <v>0</v>
      </c>
      <c r="G39" s="23">
        <v>0</v>
      </c>
      <c r="H39" s="23">
        <v>0</v>
      </c>
      <c r="I39" s="23">
        <v>0</v>
      </c>
      <c r="J39" s="23">
        <v>0</v>
      </c>
      <c r="K39" s="23">
        <v>0</v>
      </c>
      <c r="L39" s="23">
        <v>0</v>
      </c>
      <c r="M39" s="23">
        <v>0</v>
      </c>
      <c r="N39" s="23">
        <v>0</v>
      </c>
      <c r="O39" s="23">
        <v>0</v>
      </c>
      <c r="P39" s="23">
        <v>0</v>
      </c>
    </row>
    <row r="40" spans="1:16" x14ac:dyDescent="0.3">
      <c r="A40" s="11" t="s">
        <v>1124</v>
      </c>
      <c r="B40" s="11" t="s">
        <v>850</v>
      </c>
      <c r="C40" s="23">
        <v>4873</v>
      </c>
      <c r="D40" s="23">
        <v>4872.8054000000002</v>
      </c>
      <c r="E40" s="23">
        <v>4955</v>
      </c>
      <c r="F40" s="23">
        <v>5007</v>
      </c>
      <c r="G40" s="23">
        <v>5109</v>
      </c>
      <c r="H40" s="23">
        <v>5192</v>
      </c>
      <c r="I40" s="23">
        <v>5295.5752000000002</v>
      </c>
      <c r="J40" s="23">
        <v>5369.1256000000003</v>
      </c>
      <c r="K40" s="23">
        <v>5451.3212460000004</v>
      </c>
      <c r="L40" s="23">
        <v>5519.7901009999996</v>
      </c>
      <c r="M40" s="23">
        <v>5601.2612300000001</v>
      </c>
      <c r="N40" s="23">
        <v>5695.831803</v>
      </c>
      <c r="O40" s="23">
        <v>5766.6752319999996</v>
      </c>
      <c r="P40" s="23">
        <v>5843.3295344899698</v>
      </c>
    </row>
    <row r="41" spans="1:16" x14ac:dyDescent="0.3">
      <c r="A41" s="11" t="s">
        <v>1123</v>
      </c>
      <c r="B41" s="11" t="s">
        <v>848</v>
      </c>
      <c r="C41" s="23">
        <v>0</v>
      </c>
      <c r="D41" s="23">
        <v>0</v>
      </c>
      <c r="E41" s="23">
        <v>0</v>
      </c>
      <c r="F41" s="23">
        <v>0</v>
      </c>
      <c r="G41" s="23">
        <v>0</v>
      </c>
      <c r="H41" s="35">
        <v>0</v>
      </c>
      <c r="I41" s="35">
        <v>0</v>
      </c>
      <c r="J41" s="35">
        <v>0</v>
      </c>
      <c r="K41" s="35">
        <v>0</v>
      </c>
      <c r="L41" s="35">
        <v>0</v>
      </c>
      <c r="M41" s="35">
        <v>0</v>
      </c>
      <c r="N41" s="35">
        <v>0</v>
      </c>
      <c r="O41" s="35">
        <v>0</v>
      </c>
      <c r="P41" s="35">
        <v>0</v>
      </c>
    </row>
    <row r="42" spans="1:16" x14ac:dyDescent="0.3">
      <c r="A42" s="11" t="s">
        <v>1122</v>
      </c>
      <c r="B42" s="11" t="s">
        <v>846</v>
      </c>
      <c r="C42" s="23">
        <v>0</v>
      </c>
      <c r="D42" s="23">
        <v>0</v>
      </c>
      <c r="E42" s="23">
        <v>0</v>
      </c>
      <c r="F42" s="23">
        <v>0</v>
      </c>
      <c r="G42" s="23">
        <v>0</v>
      </c>
      <c r="H42" s="35">
        <v>0</v>
      </c>
      <c r="I42" s="35">
        <v>0</v>
      </c>
      <c r="J42" s="35">
        <v>0</v>
      </c>
      <c r="K42" s="35">
        <v>0</v>
      </c>
      <c r="L42" s="35">
        <v>0</v>
      </c>
      <c r="M42" s="35">
        <v>0</v>
      </c>
      <c r="N42" s="35">
        <v>0</v>
      </c>
      <c r="O42" s="35">
        <v>0</v>
      </c>
      <c r="P42" s="35">
        <v>0</v>
      </c>
    </row>
    <row r="43" spans="1:16" x14ac:dyDescent="0.3">
      <c r="A43" s="11" t="s">
        <v>1121</v>
      </c>
      <c r="B43" s="11" t="s">
        <v>844</v>
      </c>
      <c r="C43" s="31">
        <v>101</v>
      </c>
      <c r="D43" s="31">
        <v>100.5622</v>
      </c>
      <c r="E43" s="31">
        <v>96</v>
      </c>
      <c r="F43" s="31">
        <v>96</v>
      </c>
      <c r="G43" s="31">
        <v>96</v>
      </c>
      <c r="H43" s="35">
        <v>97</v>
      </c>
      <c r="I43" s="35">
        <v>97.193700000000007</v>
      </c>
      <c r="J43" s="35">
        <v>97.656599999999997</v>
      </c>
      <c r="K43" s="35">
        <v>98.109819999999999</v>
      </c>
      <c r="L43" s="35">
        <v>98.470357000000007</v>
      </c>
      <c r="M43" s="35">
        <v>97.015612000000004</v>
      </c>
      <c r="N43" s="35">
        <v>96.261747</v>
      </c>
      <c r="O43" s="35">
        <v>96.721374999999995</v>
      </c>
      <c r="P43" s="35">
        <v>96.721374998807704</v>
      </c>
    </row>
    <row r="44" spans="1:16" x14ac:dyDescent="0.3">
      <c r="A44" s="11" t="s">
        <v>1120</v>
      </c>
      <c r="B44" s="11" t="s">
        <v>842</v>
      </c>
      <c r="C44" s="23">
        <v>0</v>
      </c>
      <c r="D44" s="23">
        <v>0</v>
      </c>
      <c r="E44" s="23">
        <v>0</v>
      </c>
      <c r="F44" s="23">
        <v>0</v>
      </c>
      <c r="G44" s="23">
        <v>0</v>
      </c>
      <c r="H44" s="35">
        <v>0</v>
      </c>
      <c r="I44" s="35">
        <v>0</v>
      </c>
      <c r="J44" s="35">
        <v>0</v>
      </c>
      <c r="K44" s="35">
        <v>0</v>
      </c>
      <c r="L44" s="35">
        <v>0</v>
      </c>
      <c r="M44" s="35">
        <v>0</v>
      </c>
      <c r="N44" s="35">
        <v>0</v>
      </c>
      <c r="O44" s="35">
        <v>0</v>
      </c>
      <c r="P44" s="35">
        <v>0</v>
      </c>
    </row>
    <row r="45" spans="1:16" x14ac:dyDescent="0.3">
      <c r="A45" s="11" t="s">
        <v>1119</v>
      </c>
      <c r="B45" s="11" t="s">
        <v>840</v>
      </c>
      <c r="C45" s="23">
        <v>0</v>
      </c>
      <c r="D45" s="23">
        <v>0</v>
      </c>
      <c r="E45" s="23">
        <v>0</v>
      </c>
      <c r="F45" s="23">
        <v>0</v>
      </c>
      <c r="G45" s="23">
        <v>0</v>
      </c>
      <c r="H45" s="35">
        <v>0</v>
      </c>
      <c r="I45" s="35">
        <v>0</v>
      </c>
      <c r="J45" s="35">
        <v>0</v>
      </c>
      <c r="K45" s="35">
        <v>0</v>
      </c>
      <c r="L45" s="35">
        <v>0</v>
      </c>
      <c r="M45" s="35">
        <v>0</v>
      </c>
      <c r="N45" s="35">
        <v>0</v>
      </c>
      <c r="O45" s="35">
        <v>0</v>
      </c>
      <c r="P45" s="35">
        <v>0</v>
      </c>
    </row>
    <row r="46" spans="1:16" x14ac:dyDescent="0.3">
      <c r="A46" s="11" t="s">
        <v>1118</v>
      </c>
      <c r="B46" s="11" t="s">
        <v>838</v>
      </c>
      <c r="C46" s="23">
        <v>0</v>
      </c>
      <c r="D46" s="23">
        <v>0</v>
      </c>
      <c r="E46" s="23">
        <v>0</v>
      </c>
      <c r="F46" s="23">
        <v>0</v>
      </c>
      <c r="G46" s="23">
        <v>0</v>
      </c>
      <c r="H46" s="35">
        <v>0</v>
      </c>
      <c r="I46" s="35">
        <v>0</v>
      </c>
      <c r="J46" s="35">
        <v>0</v>
      </c>
      <c r="K46" s="35">
        <v>0</v>
      </c>
      <c r="L46" s="35">
        <v>0</v>
      </c>
      <c r="M46" s="35">
        <v>0</v>
      </c>
      <c r="N46" s="35">
        <v>0</v>
      </c>
      <c r="O46" s="35">
        <v>0</v>
      </c>
      <c r="P46" s="35">
        <v>0</v>
      </c>
    </row>
    <row r="47" spans="1:16" x14ac:dyDescent="0.3">
      <c r="A47" s="11" t="s">
        <v>1117</v>
      </c>
      <c r="B47" s="11" t="s">
        <v>836</v>
      </c>
      <c r="C47" s="23">
        <v>0</v>
      </c>
      <c r="D47" s="23">
        <v>0</v>
      </c>
      <c r="E47" s="23">
        <v>0</v>
      </c>
      <c r="F47" s="23">
        <v>0</v>
      </c>
      <c r="G47" s="23">
        <v>0</v>
      </c>
      <c r="H47" s="35">
        <v>0</v>
      </c>
      <c r="I47" s="35">
        <v>0</v>
      </c>
      <c r="J47" s="35">
        <v>0</v>
      </c>
      <c r="K47" s="35">
        <v>0</v>
      </c>
      <c r="L47" s="35">
        <v>0</v>
      </c>
      <c r="M47" s="35">
        <v>0</v>
      </c>
      <c r="N47" s="35">
        <v>0</v>
      </c>
      <c r="O47" s="35">
        <v>0</v>
      </c>
      <c r="P47" s="35">
        <v>0</v>
      </c>
    </row>
    <row r="48" spans="1:16" x14ac:dyDescent="0.3">
      <c r="A48" s="11" t="s">
        <v>1116</v>
      </c>
      <c r="B48" s="11" t="s">
        <v>1115</v>
      </c>
      <c r="C48" s="23">
        <v>0</v>
      </c>
      <c r="D48" s="23">
        <v>0</v>
      </c>
      <c r="E48" s="23">
        <v>0</v>
      </c>
      <c r="F48" s="23">
        <v>0</v>
      </c>
      <c r="G48" s="23">
        <v>0</v>
      </c>
      <c r="H48" s="35">
        <v>0</v>
      </c>
      <c r="I48" s="35">
        <v>0</v>
      </c>
      <c r="J48" s="35">
        <v>0</v>
      </c>
      <c r="K48" s="35">
        <v>0</v>
      </c>
      <c r="L48" s="35">
        <v>0</v>
      </c>
      <c r="M48" s="35">
        <v>0</v>
      </c>
      <c r="N48" s="35">
        <v>0</v>
      </c>
      <c r="O48" s="35">
        <v>0</v>
      </c>
      <c r="P48" s="35">
        <v>0</v>
      </c>
    </row>
    <row r="49" spans="1:16" x14ac:dyDescent="0.3">
      <c r="A49" s="11" t="s">
        <v>1114</v>
      </c>
      <c r="B49" s="11" t="s">
        <v>832</v>
      </c>
      <c r="C49" s="23">
        <v>0</v>
      </c>
      <c r="D49" s="23">
        <v>0</v>
      </c>
      <c r="E49" s="23">
        <v>0</v>
      </c>
      <c r="F49" s="23">
        <v>0</v>
      </c>
      <c r="G49" s="23">
        <v>0</v>
      </c>
      <c r="H49" s="35">
        <v>0</v>
      </c>
      <c r="I49" s="35">
        <v>0</v>
      </c>
      <c r="J49" s="35">
        <v>0</v>
      </c>
      <c r="K49" s="35">
        <v>0</v>
      </c>
      <c r="L49" s="35">
        <v>0</v>
      </c>
      <c r="M49" s="35">
        <v>0</v>
      </c>
      <c r="N49" s="35">
        <v>0</v>
      </c>
      <c r="O49" s="35">
        <v>0</v>
      </c>
      <c r="P49" s="35">
        <v>0</v>
      </c>
    </row>
    <row r="50" spans="1:16" x14ac:dyDescent="0.3">
      <c r="A50" s="11" t="s">
        <v>1113</v>
      </c>
      <c r="B50" s="11" t="s">
        <v>830</v>
      </c>
      <c r="C50" s="23">
        <v>0</v>
      </c>
      <c r="D50" s="23">
        <v>0</v>
      </c>
      <c r="E50" s="23">
        <v>0</v>
      </c>
      <c r="F50" s="23">
        <v>0</v>
      </c>
      <c r="G50" s="23">
        <v>0</v>
      </c>
      <c r="H50" s="35">
        <v>0</v>
      </c>
      <c r="I50" s="35">
        <v>0</v>
      </c>
      <c r="J50" s="35">
        <v>0</v>
      </c>
      <c r="K50" s="35">
        <v>0</v>
      </c>
      <c r="L50" s="35">
        <v>0</v>
      </c>
      <c r="M50" s="35">
        <v>0</v>
      </c>
      <c r="N50" s="35">
        <v>0</v>
      </c>
      <c r="O50" s="35">
        <v>0</v>
      </c>
      <c r="P50" s="35">
        <v>0</v>
      </c>
    </row>
    <row r="51" spans="1:16" x14ac:dyDescent="0.3">
      <c r="A51" s="11" t="s">
        <v>1112</v>
      </c>
      <c r="B51" s="11" t="s">
        <v>828</v>
      </c>
      <c r="C51" s="23">
        <v>0</v>
      </c>
      <c r="D51" s="23">
        <v>0</v>
      </c>
      <c r="E51" s="23">
        <v>0</v>
      </c>
      <c r="F51" s="23">
        <v>0</v>
      </c>
      <c r="G51" s="23">
        <v>0</v>
      </c>
      <c r="H51" s="35">
        <v>0</v>
      </c>
      <c r="I51" s="35">
        <v>0</v>
      </c>
      <c r="J51" s="35">
        <v>0</v>
      </c>
      <c r="K51" s="35">
        <v>0</v>
      </c>
      <c r="L51" s="35">
        <v>0</v>
      </c>
      <c r="M51" s="35">
        <v>0</v>
      </c>
      <c r="N51" s="35">
        <v>0</v>
      </c>
      <c r="O51" s="35">
        <v>0</v>
      </c>
      <c r="P51" s="35">
        <v>0</v>
      </c>
    </row>
    <row r="52" spans="1:16" x14ac:dyDescent="0.3">
      <c r="A52" s="11" t="s">
        <v>1111</v>
      </c>
      <c r="B52" s="11" t="s">
        <v>1110</v>
      </c>
      <c r="C52" s="23">
        <v>0</v>
      </c>
      <c r="D52" s="23">
        <v>0</v>
      </c>
      <c r="E52" s="23">
        <v>0</v>
      </c>
      <c r="F52" s="23">
        <v>0</v>
      </c>
      <c r="G52" s="23">
        <v>0</v>
      </c>
      <c r="H52" s="35">
        <v>0</v>
      </c>
      <c r="I52" s="35">
        <v>0</v>
      </c>
      <c r="J52" s="35">
        <v>0</v>
      </c>
      <c r="K52" s="35">
        <v>0</v>
      </c>
      <c r="L52" s="35">
        <v>0</v>
      </c>
      <c r="M52" s="35">
        <v>0</v>
      </c>
      <c r="N52" s="35">
        <v>0</v>
      </c>
      <c r="O52" s="35">
        <v>0</v>
      </c>
      <c r="P52" s="35">
        <v>0</v>
      </c>
    </row>
    <row r="53" spans="1:16" x14ac:dyDescent="0.3">
      <c r="A53" s="11" t="s">
        <v>1109</v>
      </c>
      <c r="B53" s="11" t="s">
        <v>824</v>
      </c>
      <c r="C53" s="23">
        <v>0</v>
      </c>
      <c r="D53" s="23">
        <v>0</v>
      </c>
      <c r="E53" s="23">
        <v>0</v>
      </c>
      <c r="F53" s="23">
        <v>0</v>
      </c>
      <c r="G53" s="23">
        <v>0</v>
      </c>
      <c r="H53" s="35">
        <v>0</v>
      </c>
      <c r="I53" s="35">
        <v>0</v>
      </c>
      <c r="J53" s="35">
        <v>0</v>
      </c>
      <c r="K53" s="35">
        <v>0</v>
      </c>
      <c r="L53" s="35">
        <v>0</v>
      </c>
      <c r="M53" s="35">
        <v>0</v>
      </c>
      <c r="N53" s="35">
        <v>0</v>
      </c>
      <c r="O53" s="35">
        <v>0</v>
      </c>
      <c r="P53" s="35">
        <v>0</v>
      </c>
    </row>
    <row r="54" spans="1:16" x14ac:dyDescent="0.3">
      <c r="A54" s="11" t="s">
        <v>1108</v>
      </c>
      <c r="B54" s="11" t="s">
        <v>822</v>
      </c>
      <c r="C54" s="23">
        <v>0</v>
      </c>
      <c r="D54" s="23">
        <v>0</v>
      </c>
      <c r="E54" s="23">
        <v>0</v>
      </c>
      <c r="F54" s="23">
        <v>0</v>
      </c>
      <c r="G54" s="23">
        <v>0</v>
      </c>
      <c r="H54" s="35">
        <v>0</v>
      </c>
      <c r="I54" s="35">
        <v>0</v>
      </c>
      <c r="J54" s="35">
        <v>0</v>
      </c>
      <c r="K54" s="35">
        <v>0</v>
      </c>
      <c r="L54" s="35">
        <v>0</v>
      </c>
      <c r="M54" s="35">
        <v>0</v>
      </c>
      <c r="N54" s="35">
        <v>0</v>
      </c>
      <c r="O54" s="35">
        <v>0</v>
      </c>
      <c r="P54" s="35">
        <v>0</v>
      </c>
    </row>
    <row r="55" spans="1:16" x14ac:dyDescent="0.3">
      <c r="A55" s="11" t="s">
        <v>1107</v>
      </c>
      <c r="B55" s="11" t="s">
        <v>820</v>
      </c>
      <c r="C55" s="23">
        <v>0</v>
      </c>
      <c r="D55" s="23">
        <v>0</v>
      </c>
      <c r="E55" s="23">
        <v>0</v>
      </c>
      <c r="F55" s="23">
        <v>0</v>
      </c>
      <c r="G55" s="23">
        <v>0</v>
      </c>
      <c r="H55" s="35">
        <v>0</v>
      </c>
      <c r="I55" s="35">
        <v>0</v>
      </c>
      <c r="J55" s="35">
        <v>0</v>
      </c>
      <c r="K55" s="35">
        <v>0</v>
      </c>
      <c r="L55" s="35">
        <v>0</v>
      </c>
      <c r="M55" s="35">
        <v>0</v>
      </c>
      <c r="N55" s="35">
        <v>0</v>
      </c>
      <c r="O55" s="35">
        <v>0</v>
      </c>
      <c r="P55" s="35">
        <v>0</v>
      </c>
    </row>
    <row r="56" spans="1:16" x14ac:dyDescent="0.3">
      <c r="A56" s="11" t="s">
        <v>1106</v>
      </c>
      <c r="B56" s="11" t="s">
        <v>818</v>
      </c>
      <c r="C56" s="23">
        <v>0</v>
      </c>
      <c r="D56" s="23">
        <v>0</v>
      </c>
      <c r="E56" s="23">
        <v>0</v>
      </c>
      <c r="F56" s="23">
        <v>0</v>
      </c>
      <c r="G56" s="23">
        <v>0</v>
      </c>
      <c r="H56" s="35">
        <v>0</v>
      </c>
      <c r="I56" s="35">
        <v>0</v>
      </c>
      <c r="J56" s="35">
        <v>0</v>
      </c>
      <c r="K56" s="35">
        <v>0</v>
      </c>
      <c r="L56" s="35">
        <v>0</v>
      </c>
      <c r="M56" s="35">
        <v>0</v>
      </c>
      <c r="N56" s="35">
        <v>0</v>
      </c>
      <c r="O56" s="35">
        <v>0</v>
      </c>
      <c r="P56" s="35">
        <v>0</v>
      </c>
    </row>
    <row r="57" spans="1:16" x14ac:dyDescent="0.3">
      <c r="A57" s="11" t="s">
        <v>1105</v>
      </c>
      <c r="B57" s="11" t="s">
        <v>816</v>
      </c>
      <c r="C57" s="23">
        <v>0</v>
      </c>
      <c r="D57" s="23">
        <v>0</v>
      </c>
      <c r="E57" s="23">
        <v>0</v>
      </c>
      <c r="F57" s="23">
        <v>0</v>
      </c>
      <c r="G57" s="23">
        <v>0</v>
      </c>
      <c r="H57" s="35">
        <v>0</v>
      </c>
      <c r="I57" s="35">
        <v>0</v>
      </c>
      <c r="J57" s="35">
        <v>0</v>
      </c>
      <c r="K57" s="35">
        <v>0</v>
      </c>
      <c r="L57" s="35">
        <v>0</v>
      </c>
      <c r="M57" s="35">
        <v>0</v>
      </c>
      <c r="N57" s="35">
        <v>0</v>
      </c>
      <c r="O57" s="35">
        <v>0</v>
      </c>
      <c r="P57" s="35">
        <v>0</v>
      </c>
    </row>
    <row r="58" spans="1:16" x14ac:dyDescent="0.3">
      <c r="A58" s="11" t="s">
        <v>1104</v>
      </c>
      <c r="B58" s="11" t="s">
        <v>814</v>
      </c>
      <c r="C58" s="23">
        <v>0</v>
      </c>
      <c r="D58" s="23">
        <v>0</v>
      </c>
      <c r="E58" s="23">
        <v>0</v>
      </c>
      <c r="F58" s="23">
        <v>0</v>
      </c>
      <c r="G58" s="23">
        <v>0</v>
      </c>
      <c r="H58" s="35">
        <v>0</v>
      </c>
      <c r="I58" s="35">
        <v>0</v>
      </c>
      <c r="J58" s="35">
        <v>0</v>
      </c>
      <c r="K58" s="35">
        <v>0</v>
      </c>
      <c r="L58" s="35">
        <v>0</v>
      </c>
      <c r="M58" s="35">
        <v>0</v>
      </c>
      <c r="N58" s="35">
        <v>0</v>
      </c>
      <c r="O58" s="35">
        <v>0</v>
      </c>
      <c r="P58" s="35">
        <v>0</v>
      </c>
    </row>
    <row r="59" spans="1:16" x14ac:dyDescent="0.3">
      <c r="A59" s="11" t="s">
        <v>1103</v>
      </c>
      <c r="B59" s="11" t="s">
        <v>812</v>
      </c>
      <c r="C59" s="23">
        <v>0</v>
      </c>
      <c r="D59" s="23">
        <v>0</v>
      </c>
      <c r="E59" s="23">
        <v>0</v>
      </c>
      <c r="F59" s="23">
        <v>0</v>
      </c>
      <c r="G59" s="23">
        <v>0</v>
      </c>
      <c r="H59" s="35">
        <v>0</v>
      </c>
      <c r="I59" s="35">
        <v>0</v>
      </c>
      <c r="J59" s="35">
        <v>0</v>
      </c>
      <c r="K59" s="35">
        <v>0</v>
      </c>
      <c r="L59" s="35">
        <v>0</v>
      </c>
      <c r="M59" s="35">
        <v>0</v>
      </c>
      <c r="N59" s="35">
        <v>0</v>
      </c>
      <c r="O59" s="35">
        <v>0</v>
      </c>
      <c r="P59" s="35">
        <v>0</v>
      </c>
    </row>
    <row r="60" spans="1:16" x14ac:dyDescent="0.3">
      <c r="A60" s="11" t="s">
        <v>1102</v>
      </c>
      <c r="B60" s="11" t="s">
        <v>810</v>
      </c>
      <c r="C60" s="23">
        <v>0</v>
      </c>
      <c r="D60" s="23">
        <v>0</v>
      </c>
      <c r="E60" s="23">
        <v>0</v>
      </c>
      <c r="F60" s="23">
        <v>0</v>
      </c>
      <c r="G60" s="23">
        <v>0</v>
      </c>
      <c r="H60" s="35">
        <v>0</v>
      </c>
      <c r="I60" s="35">
        <v>0</v>
      </c>
      <c r="J60" s="35">
        <v>0</v>
      </c>
      <c r="K60" s="35">
        <v>0</v>
      </c>
      <c r="L60" s="35">
        <v>0</v>
      </c>
      <c r="M60" s="35">
        <v>0</v>
      </c>
      <c r="N60" s="35">
        <v>0</v>
      </c>
      <c r="O60" s="35">
        <v>0</v>
      </c>
      <c r="P60" s="35">
        <v>0</v>
      </c>
    </row>
    <row r="61" spans="1:16" x14ac:dyDescent="0.3">
      <c r="A61" s="11" t="s">
        <v>1101</v>
      </c>
      <c r="B61" s="11" t="s">
        <v>808</v>
      </c>
      <c r="C61" s="23">
        <v>0</v>
      </c>
      <c r="D61" s="23">
        <v>0</v>
      </c>
      <c r="E61" s="23">
        <v>0</v>
      </c>
      <c r="F61" s="23">
        <v>0</v>
      </c>
      <c r="G61" s="23">
        <v>0</v>
      </c>
      <c r="H61" s="35">
        <v>0</v>
      </c>
      <c r="I61" s="35">
        <v>0</v>
      </c>
      <c r="J61" s="35">
        <v>0</v>
      </c>
      <c r="K61" s="35">
        <v>0</v>
      </c>
      <c r="L61" s="35">
        <v>0</v>
      </c>
      <c r="M61" s="35">
        <v>0</v>
      </c>
      <c r="N61" s="35">
        <v>0</v>
      </c>
      <c r="O61" s="35">
        <v>0</v>
      </c>
      <c r="P61" s="35">
        <v>0</v>
      </c>
    </row>
    <row r="62" spans="1:16" x14ac:dyDescent="0.3">
      <c r="A62" s="11" t="s">
        <v>1100</v>
      </c>
      <c r="B62" s="11" t="s">
        <v>806</v>
      </c>
      <c r="C62" s="23">
        <v>0</v>
      </c>
      <c r="D62" s="23">
        <v>0</v>
      </c>
      <c r="E62" s="23">
        <v>0</v>
      </c>
      <c r="F62" s="23">
        <v>0</v>
      </c>
      <c r="G62" s="23">
        <v>0</v>
      </c>
      <c r="H62" s="35">
        <v>0</v>
      </c>
      <c r="I62" s="35">
        <v>0</v>
      </c>
      <c r="J62" s="35">
        <v>0</v>
      </c>
      <c r="K62" s="35">
        <v>0</v>
      </c>
      <c r="L62" s="35">
        <v>0</v>
      </c>
      <c r="M62" s="35">
        <v>0</v>
      </c>
      <c r="N62" s="35">
        <v>0</v>
      </c>
      <c r="O62" s="35">
        <v>0</v>
      </c>
      <c r="P62" s="35">
        <v>0</v>
      </c>
    </row>
    <row r="63" spans="1:16" x14ac:dyDescent="0.3">
      <c r="A63" s="11" t="s">
        <v>1099</v>
      </c>
      <c r="B63" s="11" t="s">
        <v>804</v>
      </c>
      <c r="C63" s="23">
        <v>0</v>
      </c>
      <c r="D63" s="23">
        <v>0</v>
      </c>
      <c r="E63" s="23">
        <v>0</v>
      </c>
      <c r="F63" s="23">
        <v>0</v>
      </c>
      <c r="G63" s="23">
        <v>0</v>
      </c>
      <c r="H63" s="35">
        <v>0</v>
      </c>
      <c r="I63" s="35">
        <v>0</v>
      </c>
      <c r="J63" s="35">
        <v>0</v>
      </c>
      <c r="K63" s="35">
        <v>0</v>
      </c>
      <c r="L63" s="35">
        <v>0</v>
      </c>
      <c r="M63" s="35">
        <v>0</v>
      </c>
      <c r="N63" s="35">
        <v>0</v>
      </c>
      <c r="O63" s="35">
        <v>0</v>
      </c>
      <c r="P63" s="35">
        <v>0</v>
      </c>
    </row>
    <row r="64" spans="1:16" x14ac:dyDescent="0.3">
      <c r="A64" s="11" t="s">
        <v>1098</v>
      </c>
      <c r="B64" s="11" t="s">
        <v>802</v>
      </c>
      <c r="C64" s="23">
        <v>0</v>
      </c>
      <c r="D64" s="23">
        <v>0</v>
      </c>
      <c r="E64" s="23">
        <v>0</v>
      </c>
      <c r="F64" s="23">
        <v>0</v>
      </c>
      <c r="G64" s="23">
        <v>0</v>
      </c>
      <c r="H64" s="35">
        <v>0</v>
      </c>
      <c r="I64" s="35">
        <v>0</v>
      </c>
      <c r="J64" s="35">
        <v>0</v>
      </c>
      <c r="K64" s="35">
        <v>0</v>
      </c>
      <c r="L64" s="35">
        <v>0</v>
      </c>
      <c r="M64" s="35">
        <v>0</v>
      </c>
      <c r="N64" s="35">
        <v>0</v>
      </c>
      <c r="O64" s="35">
        <v>0</v>
      </c>
      <c r="P64" s="35">
        <v>0</v>
      </c>
    </row>
    <row r="65" spans="1:16" x14ac:dyDescent="0.3">
      <c r="A65" s="11" t="s">
        <v>1097</v>
      </c>
      <c r="B65" s="11" t="s">
        <v>800</v>
      </c>
      <c r="C65" s="23">
        <v>0</v>
      </c>
      <c r="D65" s="23">
        <v>0</v>
      </c>
      <c r="E65" s="23">
        <v>0</v>
      </c>
      <c r="F65" s="23">
        <v>0</v>
      </c>
      <c r="G65" s="23">
        <v>0</v>
      </c>
      <c r="H65" s="35">
        <v>0</v>
      </c>
      <c r="I65" s="35">
        <v>0</v>
      </c>
      <c r="J65" s="35">
        <v>0</v>
      </c>
      <c r="K65" s="35">
        <v>0</v>
      </c>
      <c r="L65" s="35">
        <v>0</v>
      </c>
      <c r="M65" s="35">
        <v>0</v>
      </c>
      <c r="N65" s="35">
        <v>0</v>
      </c>
      <c r="O65" s="35">
        <v>0</v>
      </c>
      <c r="P65" s="35">
        <v>0</v>
      </c>
    </row>
    <row r="66" spans="1:16" x14ac:dyDescent="0.3">
      <c r="A66" s="11" t="s">
        <v>1096</v>
      </c>
      <c r="B66" s="11" t="s">
        <v>798</v>
      </c>
      <c r="C66" s="23">
        <v>0</v>
      </c>
      <c r="D66" s="23">
        <v>0</v>
      </c>
      <c r="E66" s="23">
        <v>0</v>
      </c>
      <c r="F66" s="23">
        <v>0</v>
      </c>
      <c r="G66" s="23">
        <v>0</v>
      </c>
      <c r="H66" s="35">
        <v>0</v>
      </c>
      <c r="I66" s="35">
        <v>0</v>
      </c>
      <c r="J66" s="35">
        <v>0</v>
      </c>
      <c r="K66" s="35">
        <v>0</v>
      </c>
      <c r="L66" s="35">
        <v>0</v>
      </c>
      <c r="M66" s="35">
        <v>0</v>
      </c>
      <c r="N66" s="35">
        <v>0</v>
      </c>
      <c r="O66" s="35">
        <v>0</v>
      </c>
      <c r="P66" s="35">
        <v>0</v>
      </c>
    </row>
    <row r="67" spans="1:16" x14ac:dyDescent="0.3">
      <c r="A67" s="11" t="s">
        <v>1095</v>
      </c>
      <c r="B67" s="11" t="s">
        <v>796</v>
      </c>
      <c r="C67" s="23">
        <v>2413</v>
      </c>
      <c r="D67" s="23">
        <v>2339.404</v>
      </c>
      <c r="E67" s="23">
        <v>2455</v>
      </c>
      <c r="F67" s="23">
        <v>2481</v>
      </c>
      <c r="G67" s="23">
        <v>2519</v>
      </c>
      <c r="H67" s="23">
        <v>2545</v>
      </c>
      <c r="I67" s="23">
        <v>2571.9176000000002</v>
      </c>
      <c r="J67" s="23">
        <v>2610.0929999999998</v>
      </c>
      <c r="K67" s="23">
        <v>2644.804459</v>
      </c>
      <c r="L67" s="23">
        <v>2678.8585130000001</v>
      </c>
      <c r="M67" s="23">
        <v>2693.0958019999998</v>
      </c>
      <c r="N67" s="23">
        <v>2718.9933689999998</v>
      </c>
      <c r="O67" s="23">
        <v>2729.9624509999999</v>
      </c>
      <c r="P67" s="23">
        <v>2729.96245</v>
      </c>
    </row>
    <row r="68" spans="1:16" x14ac:dyDescent="0.3">
      <c r="A68" s="11" t="s">
        <v>1094</v>
      </c>
      <c r="B68" s="11" t="s">
        <v>794</v>
      </c>
      <c r="C68" s="31">
        <v>1838</v>
      </c>
      <c r="D68" s="31">
        <v>1762.4788000000001</v>
      </c>
      <c r="E68" s="31">
        <v>1879</v>
      </c>
      <c r="F68" s="31">
        <v>1894</v>
      </c>
      <c r="G68" s="31">
        <v>1926</v>
      </c>
      <c r="H68" s="23">
        <v>1952</v>
      </c>
      <c r="I68" s="23">
        <v>1981.7897</v>
      </c>
      <c r="J68" s="23">
        <v>2011.047</v>
      </c>
      <c r="K68" s="23">
        <v>2037.5585120000001</v>
      </c>
      <c r="L68" s="23">
        <v>2062.657784</v>
      </c>
      <c r="M68" s="23">
        <v>2070.530765</v>
      </c>
      <c r="N68" s="23">
        <v>2074.403832</v>
      </c>
      <c r="O68" s="23">
        <v>2079.2832039999998</v>
      </c>
      <c r="P68" s="23">
        <v>2079.2832036</v>
      </c>
    </row>
    <row r="69" spans="1:16" x14ac:dyDescent="0.3">
      <c r="A69" s="11" t="s">
        <v>1093</v>
      </c>
      <c r="B69" s="11" t="s">
        <v>792</v>
      </c>
      <c r="C69" s="23">
        <v>0</v>
      </c>
      <c r="D69" s="23">
        <v>0</v>
      </c>
      <c r="E69" s="23">
        <v>0</v>
      </c>
      <c r="F69" s="23">
        <v>0</v>
      </c>
      <c r="G69" s="23">
        <v>0</v>
      </c>
      <c r="H69" s="23">
        <v>0</v>
      </c>
      <c r="I69" s="23">
        <v>0</v>
      </c>
      <c r="J69" s="23">
        <v>0</v>
      </c>
      <c r="K69" s="23">
        <v>0</v>
      </c>
      <c r="L69" s="23">
        <v>0</v>
      </c>
      <c r="M69" s="23">
        <v>0</v>
      </c>
      <c r="N69" s="23">
        <v>0</v>
      </c>
      <c r="O69" s="23">
        <v>0</v>
      </c>
      <c r="P69" s="23">
        <v>0</v>
      </c>
    </row>
    <row r="70" spans="1:16" x14ac:dyDescent="0.3">
      <c r="A70" s="11" t="s">
        <v>1092</v>
      </c>
      <c r="B70" s="11" t="s">
        <v>1091</v>
      </c>
      <c r="C70" s="23">
        <v>0</v>
      </c>
      <c r="D70" s="23">
        <v>0</v>
      </c>
      <c r="E70" s="23">
        <v>0</v>
      </c>
      <c r="F70" s="23">
        <v>0</v>
      </c>
      <c r="G70" s="23">
        <v>0</v>
      </c>
      <c r="H70" s="23">
        <v>0</v>
      </c>
      <c r="I70" s="23">
        <v>0</v>
      </c>
      <c r="J70" s="23">
        <v>0</v>
      </c>
      <c r="K70" s="23">
        <v>0</v>
      </c>
      <c r="L70" s="23">
        <v>0</v>
      </c>
      <c r="M70" s="23">
        <v>0</v>
      </c>
      <c r="N70" s="23">
        <v>0</v>
      </c>
      <c r="O70" s="23">
        <v>0</v>
      </c>
      <c r="P70" s="23">
        <v>0</v>
      </c>
    </row>
    <row r="71" spans="1:16" x14ac:dyDescent="0.3">
      <c r="A71" s="11" t="s">
        <v>1090</v>
      </c>
      <c r="B71" s="11" t="s">
        <v>1089</v>
      </c>
      <c r="C71" s="23">
        <v>0</v>
      </c>
      <c r="D71" s="23">
        <v>0</v>
      </c>
      <c r="E71" s="23">
        <v>0</v>
      </c>
      <c r="F71" s="23">
        <v>0</v>
      </c>
      <c r="G71" s="23">
        <v>0</v>
      </c>
      <c r="H71" s="23">
        <v>0</v>
      </c>
      <c r="I71" s="23">
        <v>0</v>
      </c>
      <c r="J71" s="23">
        <v>0</v>
      </c>
      <c r="K71" s="23">
        <v>0</v>
      </c>
      <c r="L71" s="23">
        <v>0</v>
      </c>
      <c r="M71" s="23">
        <v>0</v>
      </c>
      <c r="N71" s="23">
        <v>0</v>
      </c>
      <c r="O71" s="23">
        <v>0</v>
      </c>
      <c r="P71" s="23">
        <v>0</v>
      </c>
    </row>
    <row r="72" spans="1:16" x14ac:dyDescent="0.3">
      <c r="A72" s="11" t="s">
        <v>1088</v>
      </c>
      <c r="B72" s="11" t="s">
        <v>53</v>
      </c>
      <c r="C72" s="31">
        <v>576</v>
      </c>
      <c r="D72" s="31">
        <v>576.92520000000002</v>
      </c>
      <c r="E72" s="31">
        <v>576</v>
      </c>
      <c r="F72" s="31">
        <v>587</v>
      </c>
      <c r="G72" s="31">
        <v>593</v>
      </c>
      <c r="H72" s="23">
        <v>594</v>
      </c>
      <c r="I72" s="23">
        <v>590.12789999999995</v>
      </c>
      <c r="J72" s="23">
        <v>599.04600000000005</v>
      </c>
      <c r="K72" s="23">
        <v>607.245947</v>
      </c>
      <c r="L72" s="23">
        <v>616.20072900000002</v>
      </c>
      <c r="M72" s="23">
        <v>622.56503699999996</v>
      </c>
      <c r="N72" s="23">
        <v>644.58953699999995</v>
      </c>
      <c r="O72" s="23">
        <v>650.67924700000003</v>
      </c>
      <c r="P72" s="23">
        <v>650.67924677554299</v>
      </c>
    </row>
    <row r="73" spans="1:16" x14ac:dyDescent="0.3">
      <c r="A73" s="11" t="s">
        <v>1087</v>
      </c>
      <c r="B73" s="11" t="s">
        <v>789</v>
      </c>
      <c r="C73" s="23">
        <v>22899</v>
      </c>
      <c r="D73" s="23">
        <v>23199.417300000001</v>
      </c>
      <c r="E73" s="23">
        <v>23590</v>
      </c>
      <c r="F73" s="23">
        <v>24053</v>
      </c>
      <c r="G73" s="23">
        <v>24514</v>
      </c>
      <c r="H73" s="23">
        <v>24925</v>
      </c>
      <c r="I73" s="23">
        <v>23801.496800000001</v>
      </c>
      <c r="J73" s="23">
        <v>24198.866699999999</v>
      </c>
      <c r="K73" s="23">
        <v>24610.401011000002</v>
      </c>
      <c r="L73" s="23">
        <v>25034.135248999999</v>
      </c>
      <c r="M73" s="23">
        <v>25513.872289999999</v>
      </c>
      <c r="N73" s="23">
        <v>25946.998392000001</v>
      </c>
      <c r="O73" s="23">
        <v>25214.674068</v>
      </c>
      <c r="P73" s="23">
        <v>25697.870164</v>
      </c>
    </row>
    <row r="74" spans="1:16" x14ac:dyDescent="0.3">
      <c r="A74" s="11" t="s">
        <v>1086</v>
      </c>
      <c r="B74" s="11" t="s">
        <v>787</v>
      </c>
      <c r="C74" s="23">
        <v>124</v>
      </c>
      <c r="D74" s="23">
        <v>123.80329999999999</v>
      </c>
      <c r="E74" s="23">
        <v>124</v>
      </c>
      <c r="F74" s="23">
        <v>124</v>
      </c>
      <c r="G74" s="23">
        <v>123</v>
      </c>
      <c r="H74" s="23">
        <v>123</v>
      </c>
      <c r="I74" s="23">
        <v>125.38939999999999</v>
      </c>
      <c r="J74" s="23">
        <v>124.2928</v>
      </c>
      <c r="K74" s="23">
        <v>120.00661599999999</v>
      </c>
      <c r="L74" s="23">
        <v>116.073797</v>
      </c>
      <c r="M74" s="23">
        <v>116.073797</v>
      </c>
      <c r="N74" s="23">
        <v>108.973067</v>
      </c>
      <c r="O74" s="23">
        <v>103.191023</v>
      </c>
      <c r="P74" s="23">
        <v>103.19102312</v>
      </c>
    </row>
    <row r="75" spans="1:16" x14ac:dyDescent="0.3">
      <c r="A75" s="11" t="s">
        <v>1085</v>
      </c>
      <c r="B75" s="11" t="s">
        <v>785</v>
      </c>
      <c r="C75" s="23">
        <v>124</v>
      </c>
      <c r="D75" s="23">
        <v>123.80329999999999</v>
      </c>
      <c r="E75" s="23">
        <v>124</v>
      </c>
      <c r="F75" s="23">
        <v>124</v>
      </c>
      <c r="G75" s="23">
        <v>123</v>
      </c>
      <c r="H75" s="23">
        <v>123</v>
      </c>
      <c r="I75" s="23">
        <v>125.38939999999999</v>
      </c>
      <c r="J75" s="23">
        <v>124.2928</v>
      </c>
      <c r="K75" s="23">
        <v>120.00661599999999</v>
      </c>
      <c r="L75" s="23">
        <v>116.073797</v>
      </c>
      <c r="M75" s="23">
        <v>116.073797</v>
      </c>
      <c r="N75" s="23">
        <v>108.973067</v>
      </c>
      <c r="O75" s="23">
        <v>103.191023</v>
      </c>
      <c r="P75" s="23">
        <v>103.19102312</v>
      </c>
    </row>
    <row r="76" spans="1:16" x14ac:dyDescent="0.3">
      <c r="A76" s="11" t="s">
        <v>1084</v>
      </c>
      <c r="B76" s="11" t="s">
        <v>783</v>
      </c>
      <c r="C76" s="23">
        <v>0</v>
      </c>
      <c r="D76" s="23">
        <v>0</v>
      </c>
      <c r="E76" s="23">
        <v>0</v>
      </c>
      <c r="F76" s="23">
        <v>0</v>
      </c>
      <c r="G76" s="23">
        <v>0</v>
      </c>
      <c r="H76" s="23">
        <v>0</v>
      </c>
      <c r="I76" s="23">
        <v>0</v>
      </c>
      <c r="J76" s="23">
        <v>0</v>
      </c>
      <c r="K76" s="23">
        <v>0</v>
      </c>
      <c r="L76" s="23">
        <v>0</v>
      </c>
      <c r="M76" s="23">
        <v>0</v>
      </c>
      <c r="N76" s="23">
        <v>0</v>
      </c>
      <c r="O76" s="23">
        <v>0</v>
      </c>
      <c r="P76" s="23">
        <v>0</v>
      </c>
    </row>
    <row r="77" spans="1:16" x14ac:dyDescent="0.3">
      <c r="A77" s="11" t="s">
        <v>1083</v>
      </c>
      <c r="B77" s="11" t="s">
        <v>781</v>
      </c>
      <c r="C77" s="23">
        <v>0</v>
      </c>
      <c r="D77" s="23">
        <v>0</v>
      </c>
      <c r="E77" s="23">
        <v>0</v>
      </c>
      <c r="F77" s="23">
        <v>0</v>
      </c>
      <c r="G77" s="23">
        <v>0</v>
      </c>
      <c r="H77" s="23">
        <v>123</v>
      </c>
      <c r="I77" s="23">
        <v>125.38939999999999</v>
      </c>
      <c r="J77" s="23">
        <v>0</v>
      </c>
      <c r="K77" s="23">
        <v>0</v>
      </c>
      <c r="L77" s="23">
        <v>0</v>
      </c>
      <c r="M77" s="23">
        <v>0</v>
      </c>
      <c r="N77" s="23">
        <v>0</v>
      </c>
      <c r="O77" s="23">
        <v>0</v>
      </c>
      <c r="P77" s="23">
        <v>0</v>
      </c>
    </row>
    <row r="78" spans="1:16" x14ac:dyDescent="0.3">
      <c r="A78" s="11" t="s">
        <v>1082</v>
      </c>
      <c r="B78" s="11" t="s">
        <v>779</v>
      </c>
      <c r="C78" s="23">
        <v>0</v>
      </c>
      <c r="D78" s="23">
        <v>0</v>
      </c>
      <c r="E78" s="23">
        <v>0</v>
      </c>
      <c r="F78" s="23">
        <v>0</v>
      </c>
      <c r="G78" s="23">
        <v>0</v>
      </c>
      <c r="H78" s="23">
        <v>0</v>
      </c>
      <c r="I78" s="23">
        <v>0</v>
      </c>
      <c r="J78" s="23">
        <v>0</v>
      </c>
      <c r="K78" s="23">
        <v>0</v>
      </c>
      <c r="L78" s="23">
        <v>0</v>
      </c>
      <c r="M78" s="23">
        <v>0</v>
      </c>
      <c r="N78" s="23">
        <v>0</v>
      </c>
      <c r="O78" s="23">
        <v>0</v>
      </c>
      <c r="P78" s="23">
        <v>0</v>
      </c>
    </row>
    <row r="79" spans="1:16" x14ac:dyDescent="0.3">
      <c r="A79" s="11" t="s">
        <v>1081</v>
      </c>
      <c r="B79" s="11" t="s">
        <v>777</v>
      </c>
      <c r="C79" s="23">
        <v>0</v>
      </c>
      <c r="D79" s="23">
        <v>0</v>
      </c>
      <c r="E79" s="23">
        <v>0</v>
      </c>
      <c r="F79" s="23">
        <v>0</v>
      </c>
      <c r="G79" s="23">
        <v>0</v>
      </c>
      <c r="H79" s="23">
        <v>0</v>
      </c>
      <c r="I79" s="23">
        <v>0</v>
      </c>
      <c r="J79" s="23">
        <v>0</v>
      </c>
      <c r="K79" s="23">
        <v>0</v>
      </c>
      <c r="L79" s="23">
        <v>0</v>
      </c>
      <c r="M79" s="23">
        <v>0</v>
      </c>
      <c r="N79" s="23">
        <v>0</v>
      </c>
      <c r="O79" s="23">
        <v>0</v>
      </c>
      <c r="P79" s="23">
        <v>0</v>
      </c>
    </row>
    <row r="80" spans="1:16" x14ac:dyDescent="0.3">
      <c r="A80" s="11" t="s">
        <v>1080</v>
      </c>
      <c r="B80" s="11" t="s">
        <v>775</v>
      </c>
      <c r="C80" s="23">
        <v>1774</v>
      </c>
      <c r="D80" s="23">
        <v>1855.0551</v>
      </c>
      <c r="E80" s="23">
        <v>1792</v>
      </c>
      <c r="F80" s="23">
        <v>1820</v>
      </c>
      <c r="G80" s="23">
        <v>1833</v>
      </c>
      <c r="H80" s="23">
        <v>1800</v>
      </c>
      <c r="I80" s="23">
        <v>1853.2286999999999</v>
      </c>
      <c r="J80" s="23">
        <v>1887.5139999999999</v>
      </c>
      <c r="K80" s="23">
        <v>1945.052195</v>
      </c>
      <c r="L80" s="23">
        <v>1902.2341449999999</v>
      </c>
      <c r="M80" s="23">
        <v>1900.6983640000001</v>
      </c>
      <c r="N80" s="23">
        <v>1937.024367</v>
      </c>
      <c r="O80" s="23">
        <v>2018.95678</v>
      </c>
      <c r="P80" s="23">
        <v>2018.95677981425</v>
      </c>
    </row>
    <row r="81" spans="1:16" x14ac:dyDescent="0.3">
      <c r="A81" s="11" t="s">
        <v>1079</v>
      </c>
      <c r="B81" s="11" t="s">
        <v>760</v>
      </c>
      <c r="C81" s="23">
        <v>2278</v>
      </c>
      <c r="D81" s="23">
        <v>2307.5614</v>
      </c>
      <c r="E81" s="23">
        <v>2347</v>
      </c>
      <c r="F81" s="23">
        <v>2393</v>
      </c>
      <c r="G81" s="23">
        <v>2439</v>
      </c>
      <c r="H81" s="23">
        <v>2492</v>
      </c>
      <c r="I81" s="23">
        <v>2380.1496999999999</v>
      </c>
      <c r="J81" s="23">
        <v>2407.4573999999998</v>
      </c>
      <c r="K81" s="23">
        <v>2449.0394394999998</v>
      </c>
      <c r="L81" s="23">
        <v>2491.8061452000002</v>
      </c>
      <c r="M81" s="23">
        <v>2539.779849</v>
      </c>
      <c r="N81" s="23">
        <v>2583.8025324999999</v>
      </c>
      <c r="O81" s="23">
        <v>2511.1483045</v>
      </c>
      <c r="P81" s="23">
        <v>2559.4679140879998</v>
      </c>
    </row>
    <row r="82" spans="1:16" x14ac:dyDescent="0.3">
      <c r="A82" s="11" t="s">
        <v>1078</v>
      </c>
      <c r="B82" s="11" t="s">
        <v>772</v>
      </c>
      <c r="C82" s="23">
        <v>0</v>
      </c>
      <c r="D82" s="23">
        <v>0</v>
      </c>
      <c r="E82" s="23">
        <v>0</v>
      </c>
      <c r="F82" s="23">
        <v>0</v>
      </c>
      <c r="G82" s="23">
        <v>0</v>
      </c>
      <c r="H82" s="23">
        <v>0</v>
      </c>
      <c r="I82" s="23">
        <v>0</v>
      </c>
      <c r="J82" s="23">
        <v>0</v>
      </c>
      <c r="K82" s="23">
        <v>0</v>
      </c>
      <c r="L82" s="23">
        <v>0</v>
      </c>
      <c r="M82" s="23">
        <v>0</v>
      </c>
      <c r="N82" s="23">
        <v>0</v>
      </c>
      <c r="O82" s="23">
        <v>0</v>
      </c>
      <c r="P82" s="23">
        <v>0</v>
      </c>
    </row>
    <row r="83" spans="1:16" x14ac:dyDescent="0.3">
      <c r="A83" s="11" t="s">
        <v>1077</v>
      </c>
      <c r="B83" s="11" t="s">
        <v>770</v>
      </c>
      <c r="C83" s="23">
        <v>0</v>
      </c>
      <c r="D83" s="23">
        <v>0</v>
      </c>
      <c r="E83" s="23">
        <v>0</v>
      </c>
      <c r="F83" s="23">
        <v>0</v>
      </c>
      <c r="G83" s="23">
        <v>0</v>
      </c>
      <c r="H83" s="23">
        <v>0</v>
      </c>
      <c r="I83" s="23">
        <v>0</v>
      </c>
      <c r="J83" s="23">
        <v>0</v>
      </c>
      <c r="K83" s="23">
        <v>0</v>
      </c>
      <c r="L83" s="23">
        <v>0</v>
      </c>
      <c r="M83" s="23">
        <v>0</v>
      </c>
      <c r="N83" s="23">
        <v>0</v>
      </c>
      <c r="O83" s="23">
        <v>0</v>
      </c>
      <c r="P83" s="23">
        <v>0</v>
      </c>
    </row>
    <row r="84" spans="1:16" x14ac:dyDescent="0.3">
      <c r="A84" s="11" t="s">
        <v>1076</v>
      </c>
      <c r="B84" s="11" t="s">
        <v>768</v>
      </c>
      <c r="C84" s="23">
        <v>0</v>
      </c>
      <c r="D84" s="23">
        <v>0</v>
      </c>
      <c r="E84" s="23">
        <v>0</v>
      </c>
      <c r="F84" s="23">
        <v>0</v>
      </c>
      <c r="G84" s="23">
        <v>0</v>
      </c>
      <c r="H84" s="23">
        <v>0</v>
      </c>
      <c r="I84" s="23">
        <v>0</v>
      </c>
      <c r="J84" s="23">
        <v>0</v>
      </c>
      <c r="K84" s="23">
        <v>0</v>
      </c>
      <c r="L84" s="23">
        <v>0</v>
      </c>
      <c r="M84" s="23">
        <v>0</v>
      </c>
      <c r="N84" s="23">
        <v>0</v>
      </c>
      <c r="O84" s="23">
        <v>0</v>
      </c>
      <c r="P84" s="23">
        <v>0</v>
      </c>
    </row>
    <row r="85" spans="1:16" x14ac:dyDescent="0.3">
      <c r="A85" s="11" t="s">
        <v>1075</v>
      </c>
      <c r="B85" s="11" t="s">
        <v>766</v>
      </c>
      <c r="C85" s="23">
        <v>22776</v>
      </c>
      <c r="D85" s="23">
        <v>23075.614000000001</v>
      </c>
      <c r="E85" s="23">
        <v>23466</v>
      </c>
      <c r="F85" s="23">
        <v>23929</v>
      </c>
      <c r="G85" s="23">
        <v>24391</v>
      </c>
      <c r="H85" s="23">
        <v>24802</v>
      </c>
      <c r="I85" s="23">
        <v>23676.107400000001</v>
      </c>
      <c r="J85" s="23">
        <v>24074.574000000001</v>
      </c>
      <c r="K85" s="23">
        <v>24490.394394999999</v>
      </c>
      <c r="L85" s="23">
        <v>24918.061452000002</v>
      </c>
      <c r="M85" s="23">
        <v>25397.798490000001</v>
      </c>
      <c r="N85" s="23">
        <v>25838.025324999999</v>
      </c>
      <c r="O85" s="23">
        <v>25111.483045000001</v>
      </c>
      <c r="P85" s="23">
        <v>25594.679140880002</v>
      </c>
    </row>
    <row r="86" spans="1:16" x14ac:dyDescent="0.3">
      <c r="A86" s="11" t="s">
        <v>1074</v>
      </c>
      <c r="B86" s="11" t="s">
        <v>764</v>
      </c>
      <c r="C86" s="23">
        <v>0</v>
      </c>
      <c r="D86" s="23">
        <v>0</v>
      </c>
      <c r="E86" s="23">
        <v>0</v>
      </c>
      <c r="F86" s="23">
        <v>0</v>
      </c>
      <c r="G86" s="23">
        <v>0</v>
      </c>
      <c r="H86" s="23">
        <v>0</v>
      </c>
      <c r="I86" s="23">
        <v>0</v>
      </c>
      <c r="J86" s="23">
        <v>0</v>
      </c>
      <c r="K86" s="23">
        <v>0</v>
      </c>
      <c r="L86" s="23">
        <v>0</v>
      </c>
      <c r="M86" s="23">
        <v>0</v>
      </c>
      <c r="N86" s="23">
        <v>0</v>
      </c>
      <c r="O86" s="23">
        <v>0</v>
      </c>
      <c r="P86" s="23">
        <v>0</v>
      </c>
    </row>
    <row r="87" spans="1:16" x14ac:dyDescent="0.3">
      <c r="A87" s="11" t="s">
        <v>1073</v>
      </c>
      <c r="B87" s="11" t="s">
        <v>762</v>
      </c>
      <c r="C87" s="31">
        <v>2176</v>
      </c>
      <c r="D87" s="31">
        <v>2175.634</v>
      </c>
      <c r="E87" s="31">
        <v>1779</v>
      </c>
      <c r="F87" s="31">
        <v>1773</v>
      </c>
      <c r="G87" s="31">
        <v>1704</v>
      </c>
      <c r="H87" s="23">
        <v>1874</v>
      </c>
      <c r="I87" s="23">
        <v>1948.4159999999999</v>
      </c>
      <c r="J87" s="23">
        <v>1948.3394000000001</v>
      </c>
      <c r="K87" s="23">
        <v>1970.239464</v>
      </c>
      <c r="L87" s="23">
        <v>1796.248351</v>
      </c>
      <c r="M87" s="23">
        <v>1940.555648</v>
      </c>
      <c r="N87" s="23">
        <v>1701.0291580000001</v>
      </c>
      <c r="O87" s="23">
        <v>1863.3436630000001</v>
      </c>
      <c r="P87" s="23">
        <v>1863.3436631059999</v>
      </c>
    </row>
    <row r="88" spans="1:16" x14ac:dyDescent="0.3">
      <c r="A88" s="11" t="s">
        <v>1072</v>
      </c>
      <c r="B88" s="11" t="s">
        <v>760</v>
      </c>
      <c r="C88" s="23">
        <v>5694</v>
      </c>
      <c r="D88" s="23">
        <v>5768.9035000000003</v>
      </c>
      <c r="E88" s="23">
        <v>5866</v>
      </c>
      <c r="F88" s="23">
        <v>5982</v>
      </c>
      <c r="G88" s="23">
        <v>6098</v>
      </c>
      <c r="H88" s="23">
        <v>6200</v>
      </c>
      <c r="I88" s="23">
        <v>5919.0267999999996</v>
      </c>
      <c r="J88" s="23">
        <v>6018.6435000000001</v>
      </c>
      <c r="K88" s="23">
        <v>6122.5985987499998</v>
      </c>
      <c r="L88" s="23">
        <v>6229.5153630000004</v>
      </c>
      <c r="M88" s="23">
        <v>6349.4496230000004</v>
      </c>
      <c r="N88" s="23">
        <v>6459.5063312499997</v>
      </c>
      <c r="O88" s="23">
        <v>6277.8707612500002</v>
      </c>
      <c r="P88" s="23">
        <v>6398.6697852200004</v>
      </c>
    </row>
    <row r="89" spans="1:16" x14ac:dyDescent="0.3">
      <c r="A89" s="11" t="s">
        <v>1071</v>
      </c>
      <c r="B89" s="11" t="s">
        <v>758</v>
      </c>
      <c r="C89" s="23">
        <v>0</v>
      </c>
      <c r="D89" s="23">
        <v>0</v>
      </c>
      <c r="E89" s="23">
        <v>0</v>
      </c>
      <c r="F89" s="23">
        <v>0</v>
      </c>
      <c r="G89" s="23">
        <v>0</v>
      </c>
      <c r="H89" s="23">
        <v>0</v>
      </c>
      <c r="I89" s="23">
        <v>0</v>
      </c>
      <c r="J89" s="23">
        <v>0</v>
      </c>
      <c r="K89" s="23">
        <v>0</v>
      </c>
      <c r="L89" s="23">
        <v>0</v>
      </c>
      <c r="M89" s="23">
        <v>0</v>
      </c>
      <c r="N89" s="23">
        <v>0</v>
      </c>
      <c r="O89" s="23">
        <v>0</v>
      </c>
      <c r="P89" s="23">
        <v>0</v>
      </c>
    </row>
    <row r="90" spans="1:16" x14ac:dyDescent="0.3">
      <c r="A90" s="11" t="s">
        <v>1070</v>
      </c>
      <c r="B90" s="11" t="s">
        <v>756</v>
      </c>
      <c r="C90" s="23">
        <v>0</v>
      </c>
      <c r="D90" s="23">
        <v>0</v>
      </c>
      <c r="E90" s="23">
        <v>0</v>
      </c>
      <c r="F90" s="23">
        <v>0</v>
      </c>
      <c r="G90" s="23">
        <v>0</v>
      </c>
      <c r="H90" s="23">
        <v>0</v>
      </c>
      <c r="I90" s="23">
        <v>0</v>
      </c>
      <c r="J90" s="23">
        <v>0</v>
      </c>
      <c r="K90" s="23">
        <v>0</v>
      </c>
      <c r="L90" s="23">
        <v>0</v>
      </c>
      <c r="M90" s="23">
        <v>0</v>
      </c>
      <c r="N90" s="23">
        <v>0</v>
      </c>
      <c r="O90" s="23">
        <v>0</v>
      </c>
      <c r="P90" s="23">
        <v>0</v>
      </c>
    </row>
    <row r="91" spans="1:16" x14ac:dyDescent="0.3">
      <c r="A91" s="11" t="s">
        <v>1069</v>
      </c>
      <c r="B91" s="11" t="s">
        <v>754</v>
      </c>
      <c r="C91" s="31">
        <v>22776</v>
      </c>
      <c r="D91" s="31">
        <v>23075.614000000001</v>
      </c>
      <c r="E91" s="31">
        <v>23466</v>
      </c>
      <c r="F91" s="31">
        <v>23929</v>
      </c>
      <c r="G91" s="31">
        <v>24391</v>
      </c>
      <c r="H91" s="23">
        <v>24802</v>
      </c>
      <c r="I91" s="23">
        <v>23676.107400000001</v>
      </c>
      <c r="J91" s="23">
        <v>24074.574000000001</v>
      </c>
      <c r="K91" s="23">
        <v>24490.394394999999</v>
      </c>
      <c r="L91" s="23">
        <v>24918.061452000002</v>
      </c>
      <c r="M91" s="23">
        <v>25397.798490000001</v>
      </c>
      <c r="N91" s="23">
        <v>25838.025324999999</v>
      </c>
      <c r="O91" s="23">
        <v>25111.483045000001</v>
      </c>
      <c r="P91" s="23">
        <v>25594.679140880002</v>
      </c>
    </row>
    <row r="92" spans="1:16" x14ac:dyDescent="0.3">
      <c r="A92" s="11" t="s">
        <v>1068</v>
      </c>
      <c r="B92" s="11" t="s">
        <v>750</v>
      </c>
      <c r="C92" s="23">
        <v>0</v>
      </c>
      <c r="D92" s="23">
        <v>0</v>
      </c>
      <c r="E92" s="23">
        <v>0</v>
      </c>
      <c r="F92" s="23">
        <v>0</v>
      </c>
      <c r="G92" s="23">
        <v>0</v>
      </c>
      <c r="H92" s="23">
        <v>0</v>
      </c>
      <c r="I92" s="23">
        <v>0</v>
      </c>
      <c r="J92" s="23">
        <v>0</v>
      </c>
      <c r="K92" s="23">
        <v>0</v>
      </c>
      <c r="L92" s="23">
        <v>0</v>
      </c>
      <c r="M92" s="23">
        <v>0</v>
      </c>
      <c r="N92" s="23">
        <v>0</v>
      </c>
      <c r="O92" s="23">
        <v>0</v>
      </c>
      <c r="P92" s="23">
        <v>0</v>
      </c>
    </row>
    <row r="93" spans="1:16" x14ac:dyDescent="0.3">
      <c r="A93" s="11" t="s">
        <v>1067</v>
      </c>
      <c r="B93" s="11" t="s">
        <v>748</v>
      </c>
      <c r="C93" s="23">
        <v>0</v>
      </c>
      <c r="D93" s="23">
        <v>0</v>
      </c>
      <c r="E93" s="23">
        <v>0</v>
      </c>
      <c r="F93" s="23">
        <v>0</v>
      </c>
      <c r="G93" s="23">
        <v>0</v>
      </c>
      <c r="H93" s="23">
        <v>0</v>
      </c>
      <c r="I93" s="23">
        <v>0</v>
      </c>
      <c r="J93" s="23">
        <v>0</v>
      </c>
      <c r="K93" s="23">
        <v>0</v>
      </c>
      <c r="L93" s="23">
        <v>0</v>
      </c>
      <c r="M93" s="23">
        <v>0</v>
      </c>
      <c r="N93" s="23">
        <v>0</v>
      </c>
      <c r="O93" s="23">
        <v>0</v>
      </c>
      <c r="P93" s="23">
        <v>0</v>
      </c>
    </row>
    <row r="94" spans="1:16" x14ac:dyDescent="0.3">
      <c r="A94" s="11" t="s">
        <v>1066</v>
      </c>
      <c r="B94" s="11" t="s">
        <v>746</v>
      </c>
      <c r="C94" s="23">
        <v>0</v>
      </c>
      <c r="D94" s="23">
        <v>0</v>
      </c>
      <c r="E94" s="23">
        <v>0</v>
      </c>
      <c r="F94" s="23">
        <v>0</v>
      </c>
      <c r="G94" s="23">
        <v>0</v>
      </c>
      <c r="H94" s="23">
        <v>0</v>
      </c>
      <c r="I94" s="23">
        <v>0</v>
      </c>
      <c r="J94" s="23">
        <v>0</v>
      </c>
      <c r="K94" s="23">
        <v>0</v>
      </c>
      <c r="L94" s="23">
        <v>0</v>
      </c>
      <c r="M94" s="23">
        <v>0</v>
      </c>
      <c r="N94" s="23">
        <v>0</v>
      </c>
      <c r="O94" s="23">
        <v>0</v>
      </c>
      <c r="P94" s="23">
        <v>0</v>
      </c>
    </row>
    <row r="95" spans="1:16" x14ac:dyDescent="0.3">
      <c r="A95" s="11" t="s">
        <v>1065</v>
      </c>
      <c r="B95" s="11" t="s">
        <v>744</v>
      </c>
      <c r="C95" s="23">
        <v>0</v>
      </c>
      <c r="D95" s="23">
        <v>0</v>
      </c>
      <c r="E95" s="23">
        <v>0</v>
      </c>
      <c r="F95" s="23">
        <v>0</v>
      </c>
      <c r="G95" s="23">
        <v>0</v>
      </c>
      <c r="H95" s="23">
        <v>0</v>
      </c>
      <c r="I95" s="23">
        <v>0</v>
      </c>
      <c r="J95" s="23">
        <v>0</v>
      </c>
      <c r="K95" s="23">
        <v>0</v>
      </c>
      <c r="L95" s="23">
        <v>0</v>
      </c>
      <c r="M95" s="23">
        <v>0</v>
      </c>
      <c r="N95" s="23">
        <v>0</v>
      </c>
      <c r="O95" s="23">
        <v>0</v>
      </c>
      <c r="P95" s="23">
        <v>0</v>
      </c>
    </row>
    <row r="96" spans="1:16" x14ac:dyDescent="0.3">
      <c r="A96" s="11" t="s">
        <v>1064</v>
      </c>
      <c r="B96" s="11" t="s">
        <v>742</v>
      </c>
      <c r="C96" s="23">
        <v>0</v>
      </c>
      <c r="D96" s="23">
        <v>0</v>
      </c>
      <c r="E96" s="23">
        <v>0</v>
      </c>
      <c r="F96" s="23">
        <v>0</v>
      </c>
      <c r="G96" s="23">
        <v>0</v>
      </c>
      <c r="H96" s="23">
        <v>0</v>
      </c>
      <c r="I96" s="23">
        <v>0</v>
      </c>
      <c r="J96" s="23">
        <v>0</v>
      </c>
      <c r="K96" s="23">
        <v>0</v>
      </c>
      <c r="L96" s="23">
        <v>0</v>
      </c>
      <c r="M96" s="23">
        <v>0</v>
      </c>
      <c r="N96" s="23">
        <v>0</v>
      </c>
      <c r="O96" s="23">
        <v>0</v>
      </c>
      <c r="P96" s="23">
        <v>0</v>
      </c>
    </row>
    <row r="97" spans="1:16" x14ac:dyDescent="0.3">
      <c r="A97" s="11" t="s">
        <v>1063</v>
      </c>
      <c r="B97" s="11" t="s">
        <v>740</v>
      </c>
      <c r="C97" s="23">
        <v>0</v>
      </c>
      <c r="D97" s="23">
        <v>0</v>
      </c>
      <c r="E97" s="23">
        <v>0</v>
      </c>
      <c r="F97" s="23">
        <v>0</v>
      </c>
      <c r="G97" s="23">
        <v>0</v>
      </c>
      <c r="H97" s="23">
        <v>0</v>
      </c>
      <c r="I97" s="23">
        <v>0</v>
      </c>
      <c r="J97" s="23">
        <v>0</v>
      </c>
      <c r="K97" s="23">
        <v>0</v>
      </c>
      <c r="L97" s="23">
        <v>0</v>
      </c>
      <c r="M97" s="23">
        <v>0</v>
      </c>
      <c r="N97" s="23">
        <v>0</v>
      </c>
      <c r="O97" s="23">
        <v>0</v>
      </c>
      <c r="P97" s="23">
        <v>0</v>
      </c>
    </row>
    <row r="98" spans="1:16" x14ac:dyDescent="0.3">
      <c r="A98" s="11" t="s">
        <v>1062</v>
      </c>
      <c r="B98" s="11" t="s">
        <v>738</v>
      </c>
      <c r="C98" s="23"/>
      <c r="D98" s="23">
        <v>0</v>
      </c>
      <c r="E98" s="23"/>
      <c r="F98" s="23"/>
      <c r="G98" s="23"/>
      <c r="H98" s="23">
        <v>0</v>
      </c>
      <c r="I98" s="23">
        <v>0</v>
      </c>
      <c r="J98" s="23">
        <v>0</v>
      </c>
      <c r="K98" s="23">
        <v>0</v>
      </c>
      <c r="L98" s="23">
        <v>0</v>
      </c>
      <c r="M98" s="23">
        <v>0</v>
      </c>
      <c r="N98" s="23">
        <v>0</v>
      </c>
      <c r="O98" s="23">
        <v>0</v>
      </c>
      <c r="P98" s="23">
        <v>0</v>
      </c>
    </row>
    <row r="99" spans="1:16" x14ac:dyDescent="0.3">
      <c r="A99" s="11" t="s">
        <v>1061</v>
      </c>
      <c r="B99" s="11" t="s">
        <v>736</v>
      </c>
      <c r="C99" s="23">
        <v>0</v>
      </c>
      <c r="D99" s="23">
        <v>0</v>
      </c>
      <c r="E99" s="23">
        <v>0</v>
      </c>
      <c r="F99" s="23">
        <v>0</v>
      </c>
      <c r="G99" s="23">
        <v>0</v>
      </c>
      <c r="H99" s="23">
        <v>0</v>
      </c>
      <c r="I99" s="23">
        <v>0</v>
      </c>
      <c r="J99" s="23">
        <v>0</v>
      </c>
      <c r="K99" s="23">
        <v>0</v>
      </c>
      <c r="L99" s="23">
        <v>0</v>
      </c>
      <c r="M99" s="23">
        <v>0</v>
      </c>
      <c r="N99" s="23">
        <v>0</v>
      </c>
      <c r="O99" s="23">
        <v>0</v>
      </c>
      <c r="P99" s="23">
        <v>0</v>
      </c>
    </row>
    <row r="100" spans="1:16" x14ac:dyDescent="0.3">
      <c r="A100" s="11" t="s">
        <v>1060</v>
      </c>
      <c r="B100" s="11" t="s">
        <v>734</v>
      </c>
      <c r="C100" s="23">
        <v>0</v>
      </c>
      <c r="D100" s="23">
        <v>0</v>
      </c>
      <c r="E100" s="23">
        <v>0</v>
      </c>
      <c r="F100" s="23">
        <v>0</v>
      </c>
      <c r="G100" s="23">
        <v>0</v>
      </c>
      <c r="H100" s="23">
        <v>0</v>
      </c>
      <c r="I100" s="23">
        <v>0</v>
      </c>
      <c r="J100" s="23">
        <v>0</v>
      </c>
      <c r="K100" s="23">
        <v>0</v>
      </c>
      <c r="L100" s="23">
        <v>0</v>
      </c>
      <c r="M100" s="23">
        <v>0</v>
      </c>
      <c r="N100" s="23">
        <v>0</v>
      </c>
      <c r="O100" s="23">
        <v>0</v>
      </c>
      <c r="P100" s="23">
        <v>0</v>
      </c>
    </row>
    <row r="101" spans="1:16" x14ac:dyDescent="0.3">
      <c r="A101" s="11" t="s">
        <v>1059</v>
      </c>
      <c r="B101" s="11" t="s">
        <v>732</v>
      </c>
      <c r="C101" s="23">
        <v>0</v>
      </c>
      <c r="D101" s="23">
        <v>0</v>
      </c>
      <c r="E101" s="23">
        <v>0</v>
      </c>
      <c r="F101" s="23">
        <v>0</v>
      </c>
      <c r="G101" s="23">
        <v>0</v>
      </c>
      <c r="H101" s="23">
        <v>0</v>
      </c>
      <c r="I101" s="23">
        <v>0</v>
      </c>
      <c r="J101" s="23">
        <v>0</v>
      </c>
      <c r="K101" s="23">
        <v>0</v>
      </c>
      <c r="L101" s="23">
        <v>0</v>
      </c>
      <c r="M101" s="23">
        <v>0</v>
      </c>
      <c r="N101" s="23">
        <v>0</v>
      </c>
      <c r="O101" s="23">
        <v>0</v>
      </c>
      <c r="P101" s="23">
        <v>0</v>
      </c>
    </row>
    <row r="102" spans="1:16" x14ac:dyDescent="0.3">
      <c r="A102" s="11" t="s">
        <v>1058</v>
      </c>
      <c r="B102" s="11" t="s">
        <v>730</v>
      </c>
      <c r="C102" s="23">
        <v>0</v>
      </c>
      <c r="D102" s="23">
        <v>0</v>
      </c>
      <c r="E102" s="23">
        <v>0</v>
      </c>
      <c r="F102" s="23">
        <v>0</v>
      </c>
      <c r="G102" s="23">
        <v>0</v>
      </c>
      <c r="H102" s="23">
        <v>0</v>
      </c>
      <c r="I102" s="23">
        <v>0</v>
      </c>
      <c r="J102" s="23">
        <v>0</v>
      </c>
      <c r="K102" s="23">
        <v>0</v>
      </c>
      <c r="L102" s="23">
        <v>0</v>
      </c>
      <c r="M102" s="23">
        <v>0</v>
      </c>
      <c r="N102" s="23">
        <v>0</v>
      </c>
      <c r="O102" s="23">
        <v>0</v>
      </c>
      <c r="P102" s="23">
        <v>0</v>
      </c>
    </row>
    <row r="103" spans="1:16" x14ac:dyDescent="0.3">
      <c r="A103" s="11" t="s">
        <v>1057</v>
      </c>
      <c r="B103" s="11" t="s">
        <v>728</v>
      </c>
      <c r="C103" s="23">
        <v>0</v>
      </c>
      <c r="D103" s="23">
        <v>0</v>
      </c>
      <c r="E103" s="23">
        <v>0</v>
      </c>
      <c r="F103" s="23">
        <v>0</v>
      </c>
      <c r="G103" s="23">
        <v>0</v>
      </c>
      <c r="H103" s="23">
        <v>0</v>
      </c>
      <c r="I103" s="23">
        <v>0</v>
      </c>
      <c r="J103" s="23">
        <v>0</v>
      </c>
      <c r="K103" s="23">
        <v>0</v>
      </c>
      <c r="L103" s="23">
        <v>0</v>
      </c>
      <c r="M103" s="23">
        <v>0</v>
      </c>
      <c r="N103" s="23">
        <v>0</v>
      </c>
      <c r="O103" s="23">
        <v>0</v>
      </c>
      <c r="P103" s="23">
        <v>0</v>
      </c>
    </row>
    <row r="104" spans="1:16" x14ac:dyDescent="0.3">
      <c r="A104" s="11" t="s">
        <v>1056</v>
      </c>
      <c r="B104" s="11" t="s">
        <v>726</v>
      </c>
      <c r="C104" s="23">
        <v>0</v>
      </c>
      <c r="D104" s="23">
        <v>0</v>
      </c>
      <c r="E104" s="23">
        <v>0</v>
      </c>
      <c r="F104" s="23">
        <v>0</v>
      </c>
      <c r="G104" s="23">
        <v>0</v>
      </c>
      <c r="H104" s="23">
        <v>0</v>
      </c>
      <c r="I104" s="23">
        <v>0</v>
      </c>
      <c r="J104" s="23">
        <v>0</v>
      </c>
      <c r="K104" s="23">
        <v>0</v>
      </c>
      <c r="L104" s="23">
        <v>0</v>
      </c>
      <c r="M104" s="23">
        <v>0</v>
      </c>
      <c r="N104" s="23">
        <v>0</v>
      </c>
      <c r="O104" s="23">
        <v>0</v>
      </c>
      <c r="P104" s="23">
        <v>0</v>
      </c>
    </row>
    <row r="105" spans="1:16" x14ac:dyDescent="0.3">
      <c r="A105" s="11" t="s">
        <v>1055</v>
      </c>
      <c r="B105" s="11" t="s">
        <v>724</v>
      </c>
      <c r="C105" s="31">
        <v>44</v>
      </c>
      <c r="D105" s="31">
        <v>44.381700000000002</v>
      </c>
      <c r="E105" s="31">
        <v>43</v>
      </c>
      <c r="F105" s="31">
        <v>47</v>
      </c>
      <c r="G105" s="31">
        <v>47</v>
      </c>
      <c r="H105" s="23">
        <v>48</v>
      </c>
      <c r="I105" s="23">
        <v>52.056100000000001</v>
      </c>
      <c r="J105" s="23">
        <v>4.6588000000000003</v>
      </c>
      <c r="K105" s="23">
        <v>4.9806530000000002</v>
      </c>
      <c r="L105" s="23">
        <v>4.8905900000000004</v>
      </c>
      <c r="M105" s="23">
        <v>4.9934190000000003</v>
      </c>
      <c r="N105" s="23">
        <v>5.1753830000000001</v>
      </c>
      <c r="O105" s="23">
        <v>2.5757400000000001</v>
      </c>
      <c r="P105" s="23">
        <v>2.5757396251000002</v>
      </c>
    </row>
    <row r="106" spans="1:16" x14ac:dyDescent="0.3">
      <c r="A106" s="11" t="s">
        <v>1054</v>
      </c>
      <c r="B106" s="11" t="s">
        <v>722</v>
      </c>
      <c r="C106" s="31">
        <v>44</v>
      </c>
      <c r="D106" s="31">
        <v>44.381700000000002</v>
      </c>
      <c r="E106" s="31">
        <v>43</v>
      </c>
      <c r="F106" s="31">
        <v>47</v>
      </c>
      <c r="G106" s="31">
        <v>47</v>
      </c>
      <c r="H106" s="23">
        <v>48</v>
      </c>
      <c r="I106" s="23">
        <v>52.056100000000001</v>
      </c>
      <c r="J106" s="23">
        <v>4.6588000000000003</v>
      </c>
      <c r="K106" s="23">
        <v>4.9806530000000002</v>
      </c>
      <c r="L106" s="23">
        <v>4.8905900000000004</v>
      </c>
      <c r="M106" s="23">
        <v>4.9934190000000003</v>
      </c>
      <c r="N106" s="23">
        <v>5.1753830000000001</v>
      </c>
      <c r="O106" s="23">
        <v>2.5757400000000001</v>
      </c>
      <c r="P106" s="23">
        <v>2.5757396251000002</v>
      </c>
    </row>
    <row r="107" spans="1:16" x14ac:dyDescent="0.3">
      <c r="A107" s="11" t="s">
        <v>1053</v>
      </c>
      <c r="B107" s="11" t="s">
        <v>720</v>
      </c>
      <c r="C107" s="31">
        <v>44</v>
      </c>
      <c r="D107" s="31">
        <v>44.381700000000002</v>
      </c>
      <c r="E107" s="31">
        <v>43</v>
      </c>
      <c r="F107" s="31">
        <v>47</v>
      </c>
      <c r="G107" s="31">
        <v>47</v>
      </c>
      <c r="H107" s="23">
        <v>48</v>
      </c>
      <c r="I107" s="23">
        <v>52.056100000000001</v>
      </c>
      <c r="J107" s="23">
        <v>4.6588000000000003</v>
      </c>
      <c r="K107" s="23">
        <v>4.9806530000000002</v>
      </c>
      <c r="L107" s="35">
        <v>4.8905900000000004</v>
      </c>
      <c r="M107" s="23">
        <v>4.9934190000000003</v>
      </c>
      <c r="N107" s="35">
        <v>5.1753830000000001</v>
      </c>
      <c r="O107" s="35">
        <v>2.5757400000000001</v>
      </c>
      <c r="P107" s="35">
        <v>2.5757396251000002</v>
      </c>
    </row>
    <row r="108" spans="1:16" x14ac:dyDescent="0.3">
      <c r="A108" s="11" t="s">
        <v>1052</v>
      </c>
      <c r="B108" s="11" t="s">
        <v>718</v>
      </c>
      <c r="C108" s="31">
        <v>1636</v>
      </c>
      <c r="D108" s="31">
        <v>1635.6703</v>
      </c>
      <c r="E108" s="31">
        <v>1674</v>
      </c>
      <c r="F108" s="31">
        <v>1669</v>
      </c>
      <c r="G108" s="31">
        <v>1678</v>
      </c>
      <c r="H108" s="35">
        <v>1663</v>
      </c>
      <c r="I108" s="35">
        <v>1685.8605</v>
      </c>
      <c r="J108" s="35">
        <v>1694.2190000000001</v>
      </c>
      <c r="K108" s="35">
        <v>1695.5828593179999</v>
      </c>
      <c r="L108" s="23">
        <v>1717.7342970780001</v>
      </c>
      <c r="M108" s="35">
        <v>1735.107929</v>
      </c>
      <c r="N108" s="23">
        <v>1735.3193809720999</v>
      </c>
      <c r="O108" s="23">
        <v>1748.4943824761001</v>
      </c>
      <c r="P108" s="23">
        <v>1755.15</v>
      </c>
    </row>
    <row r="109" spans="1:16" x14ac:dyDescent="0.3">
      <c r="A109" s="11" t="s">
        <v>1051</v>
      </c>
      <c r="B109" s="11" t="s">
        <v>716</v>
      </c>
      <c r="C109" s="23">
        <v>0</v>
      </c>
      <c r="D109" s="23">
        <v>0</v>
      </c>
      <c r="E109" s="23">
        <v>0</v>
      </c>
      <c r="F109" s="23">
        <v>0</v>
      </c>
      <c r="G109" s="23">
        <v>0</v>
      </c>
      <c r="H109" s="23">
        <v>0</v>
      </c>
      <c r="I109" s="23">
        <v>0</v>
      </c>
      <c r="J109" s="23">
        <v>0</v>
      </c>
      <c r="K109" s="23">
        <v>0</v>
      </c>
      <c r="L109" s="23">
        <v>0</v>
      </c>
      <c r="M109" s="23">
        <v>0</v>
      </c>
      <c r="N109" s="23">
        <v>0</v>
      </c>
      <c r="O109" s="23">
        <v>0</v>
      </c>
      <c r="P109" s="23">
        <v>0</v>
      </c>
    </row>
    <row r="110" spans="1:16" x14ac:dyDescent="0.3">
      <c r="A110" s="11" t="s">
        <v>1050</v>
      </c>
      <c r="B110" s="11" t="s">
        <v>714</v>
      </c>
      <c r="C110" s="23">
        <v>0</v>
      </c>
      <c r="D110" s="23">
        <v>0</v>
      </c>
      <c r="E110" s="23">
        <v>0</v>
      </c>
      <c r="F110" s="23">
        <v>0</v>
      </c>
      <c r="G110" s="23">
        <v>0</v>
      </c>
      <c r="H110" s="23">
        <v>0</v>
      </c>
      <c r="I110" s="23">
        <v>0</v>
      </c>
      <c r="J110" s="23">
        <v>0</v>
      </c>
      <c r="K110" s="23">
        <v>0</v>
      </c>
      <c r="L110" s="23">
        <v>0</v>
      </c>
      <c r="M110" s="23">
        <v>0</v>
      </c>
      <c r="N110" s="23">
        <v>0</v>
      </c>
      <c r="O110" s="23">
        <v>0</v>
      </c>
      <c r="P110" s="23">
        <v>0</v>
      </c>
    </row>
    <row r="111" spans="1:16" x14ac:dyDescent="0.3">
      <c r="A111" s="11" t="s">
        <v>1049</v>
      </c>
      <c r="B111" s="11" t="s">
        <v>712</v>
      </c>
      <c r="C111" s="23">
        <v>0</v>
      </c>
      <c r="D111" s="23">
        <v>0</v>
      </c>
      <c r="E111" s="23">
        <v>0</v>
      </c>
      <c r="F111" s="23">
        <v>0</v>
      </c>
      <c r="G111" s="23">
        <v>0</v>
      </c>
      <c r="H111" s="23">
        <v>0</v>
      </c>
      <c r="I111" s="23">
        <v>0</v>
      </c>
      <c r="J111" s="23">
        <v>0</v>
      </c>
      <c r="K111" s="23">
        <v>0</v>
      </c>
      <c r="L111" s="23">
        <v>0</v>
      </c>
      <c r="M111" s="23">
        <v>0</v>
      </c>
      <c r="N111" s="23">
        <v>0</v>
      </c>
      <c r="O111" s="23">
        <v>0</v>
      </c>
      <c r="P111" s="23">
        <v>0</v>
      </c>
    </row>
    <row r="112" spans="1:16" x14ac:dyDescent="0.3">
      <c r="A112" s="11" t="s">
        <v>1048</v>
      </c>
      <c r="B112" s="11" t="s">
        <v>710</v>
      </c>
      <c r="C112" s="23">
        <v>0</v>
      </c>
      <c r="D112" s="23">
        <v>0</v>
      </c>
      <c r="E112" s="23">
        <v>0</v>
      </c>
      <c r="F112" s="23">
        <v>0</v>
      </c>
      <c r="G112" s="23">
        <v>0</v>
      </c>
      <c r="H112" s="23">
        <v>0</v>
      </c>
      <c r="I112" s="23">
        <v>0</v>
      </c>
      <c r="J112" s="23">
        <v>0</v>
      </c>
      <c r="K112" s="23">
        <v>0</v>
      </c>
      <c r="L112" s="23">
        <v>0</v>
      </c>
      <c r="M112" s="23">
        <v>0</v>
      </c>
      <c r="N112" s="23">
        <v>0</v>
      </c>
      <c r="O112" s="23">
        <v>0</v>
      </c>
      <c r="P112" s="23">
        <v>0</v>
      </c>
    </row>
    <row r="113" spans="1:16" x14ac:dyDescent="0.3">
      <c r="A113" s="11" t="s">
        <v>1047</v>
      </c>
      <c r="B113" s="11" t="s">
        <v>708</v>
      </c>
      <c r="C113" s="31">
        <v>44</v>
      </c>
      <c r="D113" s="31">
        <v>44.381700000000002</v>
      </c>
      <c r="E113" s="31">
        <v>43</v>
      </c>
      <c r="F113" s="31">
        <v>47</v>
      </c>
      <c r="G113" s="31">
        <v>47</v>
      </c>
      <c r="H113" s="23">
        <v>48</v>
      </c>
      <c r="I113" s="23">
        <v>52.056100000000001</v>
      </c>
      <c r="J113" s="23">
        <v>4.6588000000000003</v>
      </c>
      <c r="K113" s="23">
        <v>4.9806530000000002</v>
      </c>
      <c r="L113" s="23">
        <v>4.8905900000000004</v>
      </c>
      <c r="M113" s="23">
        <v>4.9934190000000003</v>
      </c>
      <c r="N113" s="23">
        <v>5.1753830000000001</v>
      </c>
      <c r="O113" s="23">
        <v>2.5757400000000001</v>
      </c>
      <c r="P113" s="23">
        <v>2.5757396251000002</v>
      </c>
    </row>
    <row r="114" spans="1:16" x14ac:dyDescent="0.3">
      <c r="A114" s="11" t="s">
        <v>1046</v>
      </c>
      <c r="B114" s="11" t="s">
        <v>706</v>
      </c>
      <c r="C114" s="23">
        <v>0</v>
      </c>
      <c r="D114" s="23">
        <v>0</v>
      </c>
      <c r="E114" s="23">
        <v>0</v>
      </c>
      <c r="F114" s="23">
        <v>0</v>
      </c>
      <c r="G114" s="23">
        <v>0</v>
      </c>
      <c r="H114" s="23">
        <v>0</v>
      </c>
      <c r="I114" s="23">
        <v>0</v>
      </c>
      <c r="J114" s="23">
        <v>0</v>
      </c>
      <c r="K114" s="23">
        <v>0</v>
      </c>
      <c r="L114" s="23">
        <v>0</v>
      </c>
      <c r="M114" s="23">
        <v>0</v>
      </c>
      <c r="N114" s="23">
        <v>0</v>
      </c>
      <c r="O114" s="23">
        <v>0</v>
      </c>
      <c r="P114" s="23">
        <v>0</v>
      </c>
    </row>
    <row r="115" spans="1:16" x14ac:dyDescent="0.3">
      <c r="A115" s="11" t="s">
        <v>1045</v>
      </c>
      <c r="B115" s="11" t="s">
        <v>704</v>
      </c>
      <c r="C115" s="31">
        <v>44</v>
      </c>
      <c r="D115" s="31">
        <v>44.381700000000002</v>
      </c>
      <c r="E115" s="31">
        <v>43</v>
      </c>
      <c r="F115" s="31">
        <v>47</v>
      </c>
      <c r="G115" s="31">
        <v>47</v>
      </c>
      <c r="H115" s="23">
        <v>48</v>
      </c>
      <c r="I115" s="23">
        <v>52.056100000000001</v>
      </c>
      <c r="J115" s="23">
        <v>4.6588000000000003</v>
      </c>
      <c r="K115" s="23">
        <v>4.9806530000000002</v>
      </c>
      <c r="L115" s="35">
        <v>4.8905900000000004</v>
      </c>
      <c r="M115" s="23">
        <v>4.9934190000000003</v>
      </c>
      <c r="N115" s="35">
        <v>5.1753830000000001</v>
      </c>
      <c r="O115" s="35">
        <v>2.5757400000000001</v>
      </c>
      <c r="P115" s="35">
        <v>2.5757396251000002</v>
      </c>
    </row>
    <row r="116" spans="1:16" x14ac:dyDescent="0.3">
      <c r="A116" s="11" t="s">
        <v>1044</v>
      </c>
      <c r="B116" s="11" t="s">
        <v>702</v>
      </c>
      <c r="C116" s="31">
        <v>1636</v>
      </c>
      <c r="D116" s="31">
        <v>1635.6703</v>
      </c>
      <c r="E116" s="31">
        <v>1674</v>
      </c>
      <c r="F116" s="31">
        <v>1669</v>
      </c>
      <c r="G116" s="31">
        <v>1678</v>
      </c>
      <c r="H116" s="35">
        <v>1663</v>
      </c>
      <c r="I116" s="35">
        <v>1685.8605</v>
      </c>
      <c r="J116" s="35">
        <v>1694.2190000000001</v>
      </c>
      <c r="K116" s="35">
        <v>1695.5828593179999</v>
      </c>
      <c r="L116" s="23">
        <v>1717.7342970780001</v>
      </c>
      <c r="M116" s="35">
        <v>1735.107929</v>
      </c>
      <c r="N116" s="23">
        <v>1735.3193809720999</v>
      </c>
      <c r="O116" s="23">
        <v>1748.4943824761001</v>
      </c>
      <c r="P116" s="23">
        <v>1755.1504800299399</v>
      </c>
    </row>
    <row r="117" spans="1:16" x14ac:dyDescent="0.3">
      <c r="A117" s="11" t="s">
        <v>1043</v>
      </c>
      <c r="B117" s="11" t="s">
        <v>700</v>
      </c>
      <c r="C117" s="31">
        <v>44</v>
      </c>
      <c r="D117" s="31">
        <v>44.381700000000002</v>
      </c>
      <c r="E117" s="31">
        <v>43</v>
      </c>
      <c r="F117" s="31">
        <v>47</v>
      </c>
      <c r="G117" s="31">
        <v>47</v>
      </c>
      <c r="H117" s="23">
        <v>48</v>
      </c>
      <c r="I117" s="23">
        <v>52.056100000000001</v>
      </c>
      <c r="J117" s="23">
        <v>4.6588000000000003</v>
      </c>
      <c r="K117" s="23">
        <v>4.9806530000000002</v>
      </c>
      <c r="L117" s="23">
        <v>4.8905900000000004</v>
      </c>
      <c r="M117" s="23">
        <v>4.9934190000000003</v>
      </c>
      <c r="N117" s="23">
        <v>5.1753830000000001</v>
      </c>
      <c r="O117" s="23">
        <v>2.5757400000000001</v>
      </c>
      <c r="P117" s="23">
        <v>2.5757396251000002</v>
      </c>
    </row>
    <row r="118" spans="1:16" x14ac:dyDescent="0.3">
      <c r="A118" s="11" t="s">
        <v>1042</v>
      </c>
      <c r="B118" s="11" t="s">
        <v>698</v>
      </c>
      <c r="C118" s="31">
        <v>22776</v>
      </c>
      <c r="D118" s="31">
        <v>23075.614000000001</v>
      </c>
      <c r="E118" s="31">
        <v>23466</v>
      </c>
      <c r="F118" s="31">
        <v>23929</v>
      </c>
      <c r="G118" s="31">
        <v>24391</v>
      </c>
      <c r="H118" s="23">
        <v>24802</v>
      </c>
      <c r="I118" s="23">
        <v>23676.107400000001</v>
      </c>
      <c r="J118" s="23">
        <v>24074.574000000001</v>
      </c>
      <c r="K118" s="23">
        <v>24490.394394999999</v>
      </c>
      <c r="L118" s="23">
        <v>24918.061452000002</v>
      </c>
      <c r="M118" s="23">
        <v>25397.798490000001</v>
      </c>
      <c r="N118" s="23">
        <v>25838.025324999999</v>
      </c>
      <c r="O118" s="23">
        <v>25111.483045000001</v>
      </c>
      <c r="P118" s="23">
        <v>25594.679140880002</v>
      </c>
    </row>
    <row r="119" spans="1:16" x14ac:dyDescent="0.3">
      <c r="A119" s="11" t="s">
        <v>1041</v>
      </c>
      <c r="B119" s="11" t="s">
        <v>1040</v>
      </c>
      <c r="C119" s="31">
        <v>7164</v>
      </c>
      <c r="D119" s="31">
        <v>7167.1148000000003</v>
      </c>
      <c r="E119" s="31">
        <v>7370</v>
      </c>
      <c r="F119" s="31">
        <v>7377</v>
      </c>
      <c r="G119" s="31">
        <v>7498</v>
      </c>
      <c r="H119" s="23">
        <v>7545</v>
      </c>
      <c r="I119" s="23">
        <v>7564.0302000000001</v>
      </c>
      <c r="J119" s="23">
        <v>7540.4628000000002</v>
      </c>
      <c r="K119" s="23">
        <v>7551.8205898998003</v>
      </c>
      <c r="L119" s="23">
        <v>7644.0484456309996</v>
      </c>
      <c r="M119" s="23">
        <v>7760.2074419999999</v>
      </c>
      <c r="N119" s="23">
        <v>7737.7467480391997</v>
      </c>
      <c r="O119" s="23">
        <v>7760.8998545724999</v>
      </c>
      <c r="P119" s="23">
        <v>7831.0208579999999</v>
      </c>
    </row>
    <row r="120" spans="1:16" x14ac:dyDescent="0.3">
      <c r="A120" s="11" t="s">
        <v>1039</v>
      </c>
      <c r="B120" s="11" t="s">
        <v>1038</v>
      </c>
      <c r="C120" s="31">
        <v>3980</v>
      </c>
      <c r="D120" s="31">
        <v>3981.7303999999999</v>
      </c>
      <c r="E120" s="31">
        <v>4095</v>
      </c>
      <c r="F120" s="31">
        <v>4098</v>
      </c>
      <c r="G120" s="31">
        <v>4165</v>
      </c>
      <c r="H120" s="23">
        <v>4192</v>
      </c>
      <c r="I120" s="23">
        <v>4202.2389999999996</v>
      </c>
      <c r="J120" s="23">
        <v>4189.1459999999997</v>
      </c>
      <c r="K120" s="23">
        <v>4195.4558832777002</v>
      </c>
      <c r="L120" s="23">
        <v>4246.6935809059996</v>
      </c>
      <c r="M120" s="23">
        <v>4311.2263569999996</v>
      </c>
      <c r="N120" s="23">
        <v>4298.7481933550998</v>
      </c>
      <c r="O120" s="23">
        <v>4311.6110303180003</v>
      </c>
      <c r="P120" s="23">
        <v>4350.5671430000002</v>
      </c>
    </row>
    <row r="121" spans="1:16" x14ac:dyDescent="0.3">
      <c r="A121" s="11" t="s">
        <v>1037</v>
      </c>
      <c r="B121" s="11" t="s">
        <v>1036</v>
      </c>
      <c r="C121" s="23">
        <v>0</v>
      </c>
      <c r="D121" s="23">
        <v>0</v>
      </c>
      <c r="E121" s="23">
        <v>0</v>
      </c>
      <c r="F121" s="23">
        <v>0</v>
      </c>
      <c r="G121" s="23">
        <v>0</v>
      </c>
      <c r="H121" s="23">
        <v>0</v>
      </c>
      <c r="I121" s="23">
        <v>0</v>
      </c>
      <c r="J121" s="23">
        <v>0</v>
      </c>
      <c r="K121" s="23">
        <v>0</v>
      </c>
      <c r="L121" s="23">
        <v>0</v>
      </c>
      <c r="M121" s="23">
        <v>0</v>
      </c>
      <c r="N121" s="23">
        <v>0</v>
      </c>
      <c r="O121" s="23">
        <v>0</v>
      </c>
      <c r="P121" s="23">
        <v>0</v>
      </c>
    </row>
    <row r="122" spans="1:16" x14ac:dyDescent="0.3">
      <c r="A122" s="11" t="s">
        <v>1035</v>
      </c>
      <c r="B122" s="11" t="s">
        <v>1034</v>
      </c>
      <c r="C122" s="23">
        <v>0</v>
      </c>
      <c r="D122" s="23">
        <v>0.1106</v>
      </c>
      <c r="E122" s="23">
        <v>0</v>
      </c>
      <c r="F122" s="23">
        <v>0</v>
      </c>
      <c r="G122" s="23">
        <v>0</v>
      </c>
      <c r="H122" s="23">
        <v>0</v>
      </c>
      <c r="I122" s="23">
        <v>0.41099999999999998</v>
      </c>
      <c r="J122" s="23">
        <v>0.48430000000000001</v>
      </c>
      <c r="K122" s="23">
        <v>0.42321035470000001</v>
      </c>
      <c r="L122" s="23">
        <v>0.434947998</v>
      </c>
      <c r="M122" s="23">
        <v>0.58818132199999995</v>
      </c>
      <c r="N122" s="23">
        <v>0.44557877959999997</v>
      </c>
      <c r="O122" s="23">
        <v>0.54691896920000005</v>
      </c>
      <c r="P122" s="23">
        <v>0.59052000000000004</v>
      </c>
    </row>
    <row r="123" spans="1:16" x14ac:dyDescent="0.3">
      <c r="A123" s="11" t="s">
        <v>1033</v>
      </c>
      <c r="B123" s="11" t="s">
        <v>1032</v>
      </c>
      <c r="C123" s="31">
        <v>11632</v>
      </c>
      <c r="D123" s="31">
        <v>11926.658100000001</v>
      </c>
      <c r="E123" s="31">
        <v>12001</v>
      </c>
      <c r="F123" s="31">
        <v>12454</v>
      </c>
      <c r="G123" s="31">
        <v>12728</v>
      </c>
      <c r="H123" s="35">
        <v>13065</v>
      </c>
      <c r="I123" s="35">
        <v>11909.4272</v>
      </c>
      <c r="J123" s="35">
        <v>12344.4809</v>
      </c>
      <c r="K123" s="35">
        <v>12742.694711467801</v>
      </c>
      <c r="L123" s="35">
        <v>13026.884477465001</v>
      </c>
      <c r="M123" s="35">
        <v>13325.77651</v>
      </c>
      <c r="N123" s="35">
        <v>13801.1463151515</v>
      </c>
      <c r="O123" s="35">
        <v>13038.4252411404</v>
      </c>
      <c r="P123" s="35">
        <v>13412.50061988</v>
      </c>
    </row>
    <row r="124" spans="1:16" x14ac:dyDescent="0.3">
      <c r="A124" s="11" t="s">
        <v>1031</v>
      </c>
      <c r="B124" s="11" t="s">
        <v>686</v>
      </c>
      <c r="C124" s="23">
        <v>0</v>
      </c>
      <c r="D124" s="23">
        <v>0</v>
      </c>
      <c r="E124" s="23">
        <v>0</v>
      </c>
      <c r="F124" s="23">
        <v>0</v>
      </c>
      <c r="G124" s="23">
        <v>0</v>
      </c>
      <c r="H124" s="23">
        <v>0</v>
      </c>
      <c r="I124" s="23">
        <v>0</v>
      </c>
      <c r="J124" s="23">
        <v>0</v>
      </c>
      <c r="K124" s="23">
        <v>0</v>
      </c>
      <c r="L124" s="23">
        <v>0</v>
      </c>
      <c r="M124" s="23">
        <v>0</v>
      </c>
      <c r="N124" s="23">
        <v>0</v>
      </c>
      <c r="O124" s="23">
        <v>0</v>
      </c>
      <c r="P124" s="23">
        <v>0</v>
      </c>
    </row>
    <row r="125" spans="1:16" x14ac:dyDescent="0.3">
      <c r="A125" s="11" t="s">
        <v>1030</v>
      </c>
      <c r="B125" s="11" t="s">
        <v>684</v>
      </c>
      <c r="C125" s="23">
        <v>22776</v>
      </c>
      <c r="D125" s="23">
        <v>23075.614000000001</v>
      </c>
      <c r="E125" s="23">
        <v>23466</v>
      </c>
      <c r="F125" s="23">
        <v>23929</v>
      </c>
      <c r="G125" s="23">
        <v>24391</v>
      </c>
      <c r="H125" s="23">
        <v>24802</v>
      </c>
      <c r="I125" s="23">
        <v>23676.107400000001</v>
      </c>
      <c r="J125" s="23">
        <v>24074.574000000001</v>
      </c>
      <c r="K125" s="23">
        <v>24490.394394999999</v>
      </c>
      <c r="L125" s="23">
        <v>24918.061452000002</v>
      </c>
      <c r="M125" s="23">
        <v>25397.798490000001</v>
      </c>
      <c r="N125" s="23">
        <v>25838.025324999999</v>
      </c>
      <c r="O125" s="23">
        <v>25111.483045000001</v>
      </c>
      <c r="P125" s="23">
        <v>25594.679140880002</v>
      </c>
    </row>
    <row r="126" spans="1:16" x14ac:dyDescent="0.3">
      <c r="A126" s="11" t="s">
        <v>1029</v>
      </c>
      <c r="B126" s="11" t="s">
        <v>682</v>
      </c>
      <c r="C126" s="31">
        <v>44</v>
      </c>
      <c r="D126" s="31">
        <v>44.381700000000002</v>
      </c>
      <c r="E126" s="31">
        <v>43</v>
      </c>
      <c r="F126" s="31">
        <v>47</v>
      </c>
      <c r="G126" s="31">
        <v>47</v>
      </c>
      <c r="H126" s="23">
        <v>48</v>
      </c>
      <c r="I126" s="23">
        <v>52.056100000000001</v>
      </c>
      <c r="J126" s="23">
        <v>4.6588000000000003</v>
      </c>
      <c r="K126" s="23">
        <v>4.9806530000000002</v>
      </c>
      <c r="L126" s="23">
        <v>4.8905900000000004</v>
      </c>
      <c r="M126" s="23">
        <v>4.9934190000000003</v>
      </c>
      <c r="N126" s="23">
        <v>5.1753830000000001</v>
      </c>
      <c r="O126" s="23">
        <v>2.5757400000000001</v>
      </c>
      <c r="P126" s="23">
        <v>2.5757396251000002</v>
      </c>
    </row>
    <row r="127" spans="1:16" x14ac:dyDescent="0.3">
      <c r="A127" s="11" t="s">
        <v>1028</v>
      </c>
      <c r="B127" s="11" t="s">
        <v>680</v>
      </c>
      <c r="C127" s="31">
        <v>22820</v>
      </c>
      <c r="D127" s="31">
        <v>23119.995599999998</v>
      </c>
      <c r="E127" s="31">
        <v>23509</v>
      </c>
      <c r="F127" s="31">
        <v>23976</v>
      </c>
      <c r="G127" s="31">
        <v>24438</v>
      </c>
      <c r="H127" s="23">
        <v>24850</v>
      </c>
      <c r="I127" s="23">
        <v>23728.163499999999</v>
      </c>
      <c r="J127" s="23">
        <v>24079.232800000002</v>
      </c>
      <c r="K127" s="23">
        <v>24495.375048000002</v>
      </c>
      <c r="L127" s="23">
        <v>24922.952042000001</v>
      </c>
      <c r="M127" s="23">
        <v>25402.79191</v>
      </c>
      <c r="N127" s="23">
        <v>25843.200708</v>
      </c>
      <c r="O127" s="23">
        <v>25114.058785000001</v>
      </c>
      <c r="P127" s="23">
        <v>25597.254880505101</v>
      </c>
    </row>
    <row r="128" spans="1:16" x14ac:dyDescent="0.3">
      <c r="A128" s="11" t="s">
        <v>1027</v>
      </c>
      <c r="B128" s="11" t="s">
        <v>676</v>
      </c>
      <c r="C128" s="31">
        <v>159195</v>
      </c>
      <c r="D128" s="31">
        <v>159269.2175</v>
      </c>
      <c r="E128" s="31">
        <v>163788</v>
      </c>
      <c r="F128" s="31">
        <v>163930</v>
      </c>
      <c r="G128" s="31">
        <v>166615</v>
      </c>
      <c r="H128" s="23">
        <v>167670</v>
      </c>
      <c r="I128" s="23">
        <v>168089.56020000001</v>
      </c>
      <c r="J128" s="23">
        <v>167565.83919999999</v>
      </c>
      <c r="K128" s="23">
        <v>167818.2353311</v>
      </c>
      <c r="L128" s="23">
        <v>169867.74323630001</v>
      </c>
      <c r="M128" s="23">
        <v>172449.05427319999</v>
      </c>
      <c r="N128" s="23">
        <v>171949.04904780001</v>
      </c>
      <c r="O128" s="23">
        <v>172464.44121270001</v>
      </c>
      <c r="P128" s="23">
        <v>174022.68573607999</v>
      </c>
    </row>
    <row r="129" spans="1:16" x14ac:dyDescent="0.3">
      <c r="A129" s="11" t="s">
        <v>1026</v>
      </c>
      <c r="B129" s="11" t="s">
        <v>674</v>
      </c>
      <c r="C129" s="31">
        <v>8190</v>
      </c>
      <c r="D129" s="31">
        <v>8190.0068000000001</v>
      </c>
      <c r="E129" s="31">
        <v>9411</v>
      </c>
      <c r="F129" s="31">
        <v>9409</v>
      </c>
      <c r="G129" s="31">
        <v>11069</v>
      </c>
      <c r="H129" s="23">
        <v>11638</v>
      </c>
      <c r="I129" s="23">
        <v>10071.817999999999</v>
      </c>
      <c r="J129" s="23">
        <v>10168.5414</v>
      </c>
      <c r="K129" s="23">
        <v>10197.8794963</v>
      </c>
      <c r="L129" s="23">
        <v>10297.8695498</v>
      </c>
      <c r="M129" s="23">
        <v>11311.762269999999</v>
      </c>
      <c r="N129" s="23">
        <v>10662.7606911</v>
      </c>
      <c r="O129" s="23">
        <v>9868.9594472000008</v>
      </c>
      <c r="P129" s="23">
        <v>9184.0403124999993</v>
      </c>
    </row>
    <row r="130" spans="1:16" x14ac:dyDescent="0.3">
      <c r="A130" s="11" t="s">
        <v>1025</v>
      </c>
      <c r="B130" s="11" t="s">
        <v>672</v>
      </c>
      <c r="C130" s="31">
        <v>137151</v>
      </c>
      <c r="D130" s="31">
        <v>137225.2671</v>
      </c>
      <c r="E130" s="31">
        <v>140367</v>
      </c>
      <c r="F130" s="31">
        <v>140383</v>
      </c>
      <c r="G130" s="31">
        <v>141299</v>
      </c>
      <c r="H130" s="23">
        <v>141681</v>
      </c>
      <c r="I130" s="23">
        <v>143543.16250000001</v>
      </c>
      <c r="J130" s="23">
        <v>142804.26199999999</v>
      </c>
      <c r="K130" s="23">
        <v>142913.5416541</v>
      </c>
      <c r="L130" s="23">
        <v>144716.4940455</v>
      </c>
      <c r="M130" s="23">
        <v>146211.52255590001</v>
      </c>
      <c r="N130" s="23">
        <v>146241.66554280001</v>
      </c>
      <c r="O130" s="23">
        <v>147434.42844419999</v>
      </c>
      <c r="P130" s="23">
        <v>149569.32500000001</v>
      </c>
    </row>
    <row r="131" spans="1:16" x14ac:dyDescent="0.3">
      <c r="A131" s="11" t="s">
        <v>1024</v>
      </c>
      <c r="B131" s="11" t="s">
        <v>290</v>
      </c>
      <c r="C131" s="31">
        <v>13854</v>
      </c>
      <c r="D131" s="31">
        <v>13853.943600000001</v>
      </c>
      <c r="E131" s="31">
        <v>14010</v>
      </c>
      <c r="F131" s="31">
        <v>14138</v>
      </c>
      <c r="G131" s="31">
        <v>14247</v>
      </c>
      <c r="H131" s="23">
        <v>14351</v>
      </c>
      <c r="I131" s="23">
        <v>14474.5797</v>
      </c>
      <c r="J131" s="23">
        <v>14593.0358</v>
      </c>
      <c r="K131" s="23">
        <v>14706.814180699999</v>
      </c>
      <c r="L131" s="23">
        <v>14853.379641</v>
      </c>
      <c r="M131" s="23">
        <v>14925.769447299999</v>
      </c>
      <c r="N131" s="23">
        <v>15044.6228139</v>
      </c>
      <c r="O131" s="23">
        <v>15161.0533213</v>
      </c>
      <c r="P131" s="23">
        <v>15269.3204235796</v>
      </c>
    </row>
    <row r="132" spans="1:16" x14ac:dyDescent="0.3">
      <c r="A132" s="11" t="s">
        <v>1023</v>
      </c>
      <c r="B132" s="11" t="s">
        <v>669</v>
      </c>
      <c r="C132" s="23">
        <v>0</v>
      </c>
      <c r="D132" s="23"/>
      <c r="E132" s="23">
        <v>0</v>
      </c>
      <c r="F132" s="23">
        <v>0</v>
      </c>
      <c r="G132" s="23">
        <v>0</v>
      </c>
      <c r="H132" s="23">
        <v>0</v>
      </c>
      <c r="I132" s="23">
        <v>0</v>
      </c>
      <c r="J132" s="23">
        <v>0</v>
      </c>
      <c r="K132" s="23"/>
      <c r="L132" s="23"/>
      <c r="M132" s="23"/>
      <c r="N132" s="23"/>
      <c r="O132" s="23"/>
      <c r="P132" s="23"/>
    </row>
    <row r="133" spans="1:16" x14ac:dyDescent="0.3">
      <c r="A133" s="11" t="s">
        <v>1022</v>
      </c>
      <c r="B133" s="11" t="s">
        <v>667</v>
      </c>
      <c r="C133" s="31">
        <v>12736</v>
      </c>
      <c r="D133" s="31">
        <v>12741.537399999999</v>
      </c>
      <c r="E133" s="31">
        <v>13103</v>
      </c>
      <c r="F133" s="31">
        <v>13114</v>
      </c>
      <c r="G133" s="31">
        <v>13329</v>
      </c>
      <c r="H133" s="23">
        <v>13414</v>
      </c>
      <c r="I133" s="23">
        <v>13447.1648</v>
      </c>
      <c r="J133" s="23">
        <v>13405.42</v>
      </c>
      <c r="K133" s="23">
        <v>13425.4588265</v>
      </c>
      <c r="L133" s="23">
        <v>13589.4194589</v>
      </c>
      <c r="M133" s="23">
        <v>13795.924341899999</v>
      </c>
      <c r="N133" s="23">
        <v>13755.923923799999</v>
      </c>
      <c r="O133" s="23">
        <v>13797.155296999999</v>
      </c>
      <c r="P133" s="23">
        <v>13921.814858886401</v>
      </c>
    </row>
    <row r="134" spans="1:16" x14ac:dyDescent="0.3">
      <c r="A134" s="11" t="s">
        <v>1021</v>
      </c>
      <c r="B134" s="11" t="s">
        <v>665</v>
      </c>
      <c r="C134" s="31">
        <v>655</v>
      </c>
      <c r="D134" s="31">
        <v>655.20050000000003</v>
      </c>
      <c r="E134" s="31">
        <v>753</v>
      </c>
      <c r="F134" s="31">
        <v>753</v>
      </c>
      <c r="G134" s="31">
        <v>886</v>
      </c>
      <c r="H134" s="23">
        <v>931</v>
      </c>
      <c r="I134" s="23">
        <v>805.74540000000002</v>
      </c>
      <c r="J134" s="23">
        <v>813.48329999999999</v>
      </c>
      <c r="K134" s="23">
        <v>815.83035970000003</v>
      </c>
      <c r="L134" s="23">
        <v>823.829564</v>
      </c>
      <c r="M134" s="23">
        <v>904.94098159999999</v>
      </c>
      <c r="N134" s="23">
        <v>853.02085529999999</v>
      </c>
      <c r="O134" s="23">
        <v>789.51675580000006</v>
      </c>
      <c r="P134" s="23">
        <v>734.72322499999996</v>
      </c>
    </row>
    <row r="135" spans="1:16" x14ac:dyDescent="0.3">
      <c r="A135" s="11" t="s">
        <v>1020</v>
      </c>
      <c r="B135" s="11" t="s">
        <v>663</v>
      </c>
      <c r="C135" s="31">
        <v>582</v>
      </c>
      <c r="D135" s="31">
        <v>582.19209999999998</v>
      </c>
      <c r="E135" s="31">
        <v>680</v>
      </c>
      <c r="F135" s="31">
        <v>668</v>
      </c>
      <c r="G135" s="31">
        <v>764</v>
      </c>
      <c r="H135" s="23">
        <v>832</v>
      </c>
      <c r="I135" s="23">
        <v>707.52779999999996</v>
      </c>
      <c r="J135" s="23">
        <v>722.82629999999995</v>
      </c>
      <c r="K135" s="23">
        <v>739.87241759999995</v>
      </c>
      <c r="L135" s="23">
        <v>747.7716514</v>
      </c>
      <c r="M135" s="23">
        <v>846.6933937</v>
      </c>
      <c r="N135" s="23">
        <v>791.15900039999997</v>
      </c>
      <c r="O135" s="23">
        <v>734.71628669999996</v>
      </c>
      <c r="P135" s="23">
        <v>687.10972644270998</v>
      </c>
    </row>
    <row r="136" spans="1:16" x14ac:dyDescent="0.3">
      <c r="A136" s="11" t="s">
        <v>1019</v>
      </c>
      <c r="B136" s="11" t="s">
        <v>661</v>
      </c>
      <c r="C136" s="31">
        <v>6</v>
      </c>
      <c r="D136" s="31">
        <v>5.5857000000000001</v>
      </c>
      <c r="E136" s="31">
        <v>5</v>
      </c>
      <c r="F136" s="31">
        <v>5</v>
      </c>
      <c r="G136" s="31">
        <v>5</v>
      </c>
      <c r="H136" s="31">
        <v>5</v>
      </c>
      <c r="I136" s="31">
        <v>4.5747999999999998</v>
      </c>
      <c r="J136" s="31">
        <v>3.7726000000000002</v>
      </c>
      <c r="K136" s="31">
        <v>3.6667922000000002</v>
      </c>
      <c r="L136" s="31">
        <v>3.5180904000000002</v>
      </c>
      <c r="M136" s="31">
        <v>2.7499456000000002</v>
      </c>
      <c r="N136" s="31">
        <v>2.7276943</v>
      </c>
      <c r="O136" s="31">
        <v>2.5305091000000002</v>
      </c>
      <c r="P136" s="31">
        <v>2.1431473636757201</v>
      </c>
    </row>
    <row r="137" spans="1:16" x14ac:dyDescent="0.3">
      <c r="A137" s="11" t="s">
        <v>1018</v>
      </c>
      <c r="B137" s="11" t="s">
        <v>659</v>
      </c>
      <c r="C137" s="23">
        <v>0</v>
      </c>
      <c r="D137" s="23">
        <v>0.18</v>
      </c>
      <c r="E137" s="23">
        <v>0</v>
      </c>
      <c r="F137" s="23">
        <v>0</v>
      </c>
      <c r="G137" s="23">
        <v>0</v>
      </c>
      <c r="H137" s="23">
        <v>0</v>
      </c>
      <c r="I137" s="23">
        <v>0.15939999999999999</v>
      </c>
      <c r="J137" s="23">
        <v>0.15310000000000001</v>
      </c>
      <c r="K137" s="23">
        <v>0.1551082</v>
      </c>
      <c r="L137" s="23">
        <v>0.14671039999999999</v>
      </c>
      <c r="M137" s="23">
        <v>0.13658870000000001</v>
      </c>
      <c r="N137" s="23">
        <v>0.13685810000000001</v>
      </c>
      <c r="O137" s="23">
        <v>0.13771600000000001</v>
      </c>
      <c r="P137" s="23">
        <v>0.13771596464239999</v>
      </c>
    </row>
    <row r="138" spans="1:16" x14ac:dyDescent="0.3">
      <c r="A138" s="11" t="s">
        <v>1017</v>
      </c>
      <c r="B138" s="11" t="s">
        <v>657</v>
      </c>
      <c r="C138" s="31">
        <v>55</v>
      </c>
      <c r="D138" s="31">
        <v>54.938499999999998</v>
      </c>
      <c r="E138" s="31">
        <v>50</v>
      </c>
      <c r="F138" s="31">
        <v>51</v>
      </c>
      <c r="G138" s="31">
        <v>76</v>
      </c>
      <c r="H138" s="23">
        <v>64</v>
      </c>
      <c r="I138" s="23">
        <v>62.386200000000002</v>
      </c>
      <c r="J138" s="23">
        <v>52.085599999999999</v>
      </c>
      <c r="K138" s="23">
        <v>52.690800899999999</v>
      </c>
      <c r="L138" s="23">
        <v>49.438735100000002</v>
      </c>
      <c r="M138" s="23">
        <v>45.631380800000002</v>
      </c>
      <c r="N138" s="23">
        <v>48.758379400000003</v>
      </c>
      <c r="O138" s="23">
        <v>40.110262400000003</v>
      </c>
      <c r="P138" s="23">
        <v>34.224922974696703</v>
      </c>
    </row>
    <row r="139" spans="1:16" x14ac:dyDescent="0.3">
      <c r="A139" s="11" t="s">
        <v>1016</v>
      </c>
      <c r="B139" s="11" t="s">
        <v>655</v>
      </c>
      <c r="C139" s="23">
        <v>0</v>
      </c>
      <c r="D139" s="23">
        <v>1.6400000000000001E-2</v>
      </c>
      <c r="E139" s="23">
        <v>0</v>
      </c>
      <c r="F139" s="23">
        <v>0</v>
      </c>
      <c r="G139" s="23">
        <v>0</v>
      </c>
      <c r="H139" s="23">
        <v>0</v>
      </c>
      <c r="I139" s="23">
        <v>1.72E-2</v>
      </c>
      <c r="J139" s="23">
        <v>1.15E-2</v>
      </c>
      <c r="K139" s="23">
        <v>1.13621E-2</v>
      </c>
      <c r="L139" s="23">
        <v>1.1095600000000001E-2</v>
      </c>
      <c r="M139" s="23">
        <v>1.12468E-2</v>
      </c>
      <c r="N139" s="23">
        <v>1.11609E-2</v>
      </c>
      <c r="O139" s="23">
        <v>1.10782E-2</v>
      </c>
      <c r="P139" s="23">
        <v>1.1078194317260001E-2</v>
      </c>
    </row>
    <row r="140" spans="1:16" x14ac:dyDescent="0.3">
      <c r="A140" s="11" t="s">
        <v>1015</v>
      </c>
      <c r="B140" s="11" t="s">
        <v>653</v>
      </c>
      <c r="C140" s="23">
        <v>0</v>
      </c>
      <c r="D140" s="23">
        <v>3.7000000000000002E-3</v>
      </c>
      <c r="E140" s="23">
        <v>0</v>
      </c>
      <c r="F140" s="23">
        <v>0</v>
      </c>
      <c r="G140" s="23">
        <v>0</v>
      </c>
      <c r="H140" s="23">
        <v>0</v>
      </c>
      <c r="I140" s="23">
        <v>3.0000000000000001E-3</v>
      </c>
      <c r="J140" s="23">
        <v>3.3999999999999998E-3</v>
      </c>
      <c r="K140" s="23">
        <v>3.2417000000000001E-3</v>
      </c>
      <c r="L140" s="23">
        <v>2.6199000000000001E-3</v>
      </c>
      <c r="M140" s="23">
        <v>2.6348000000000001E-3</v>
      </c>
      <c r="N140" s="23">
        <v>2.7428999999999999E-3</v>
      </c>
      <c r="O140" s="23">
        <v>2.6107000000000001E-3</v>
      </c>
      <c r="P140" s="23">
        <v>2.7816379126949999E-3</v>
      </c>
    </row>
    <row r="141" spans="1:16" x14ac:dyDescent="0.3">
      <c r="A141" s="11" t="s">
        <v>1014</v>
      </c>
      <c r="B141" s="11" t="s">
        <v>651</v>
      </c>
      <c r="C141" s="31">
        <v>4</v>
      </c>
      <c r="D141" s="31">
        <v>3.9268000000000001</v>
      </c>
      <c r="E141" s="31">
        <v>9</v>
      </c>
      <c r="F141" s="31">
        <v>21</v>
      </c>
      <c r="G141" s="31">
        <v>33</v>
      </c>
      <c r="H141" s="31">
        <v>23</v>
      </c>
      <c r="I141" s="31">
        <v>25.2928</v>
      </c>
      <c r="J141" s="31">
        <v>29.688400000000001</v>
      </c>
      <c r="K141" s="31">
        <v>14.664964299999999</v>
      </c>
      <c r="L141" s="31">
        <v>19.122065800000001</v>
      </c>
      <c r="M141" s="31">
        <v>6.0614331000000004</v>
      </c>
      <c r="N141" s="31">
        <v>1.1170055999999999</v>
      </c>
      <c r="O141" s="31">
        <v>3.8222540999999999</v>
      </c>
      <c r="P141" s="31">
        <v>3.8222540760000001</v>
      </c>
    </row>
    <row r="142" spans="1:16" x14ac:dyDescent="0.3">
      <c r="A142" s="11" t="s">
        <v>1013</v>
      </c>
      <c r="B142" s="11" t="s">
        <v>649</v>
      </c>
      <c r="C142" s="23">
        <v>0</v>
      </c>
      <c r="D142" s="23">
        <v>6.9999999999999999E-4</v>
      </c>
      <c r="E142" s="23">
        <v>0</v>
      </c>
      <c r="F142" s="23">
        <v>0</v>
      </c>
      <c r="G142" s="23">
        <v>0</v>
      </c>
      <c r="H142" s="23">
        <v>0</v>
      </c>
      <c r="I142" s="23">
        <v>4.0000000000000002E-4</v>
      </c>
      <c r="J142" s="23">
        <v>4.0000000000000002E-4</v>
      </c>
      <c r="K142" s="23">
        <v>4.2930000000000003E-4</v>
      </c>
      <c r="L142" s="23">
        <v>4.192E-4</v>
      </c>
      <c r="M142" s="23">
        <v>4.2489999999999997E-4</v>
      </c>
      <c r="N142" s="23">
        <v>4.217E-4</v>
      </c>
      <c r="O142" s="23">
        <v>4.1849999999999998E-4</v>
      </c>
      <c r="P142" s="23">
        <v>4.185491539261E-4</v>
      </c>
    </row>
    <row r="143" spans="1:16" x14ac:dyDescent="0.3">
      <c r="A143" s="11" t="s">
        <v>1012</v>
      </c>
      <c r="B143" s="11" t="s">
        <v>647</v>
      </c>
      <c r="C143" s="31">
        <v>8</v>
      </c>
      <c r="D143" s="31">
        <v>8.0687999999999995</v>
      </c>
      <c r="E143" s="31">
        <v>8</v>
      </c>
      <c r="F143" s="31">
        <v>7</v>
      </c>
      <c r="G143" s="31">
        <v>7</v>
      </c>
      <c r="H143" s="23">
        <v>7</v>
      </c>
      <c r="I143" s="23">
        <v>5.7016</v>
      </c>
      <c r="J143" s="23">
        <v>4.8689999999999998</v>
      </c>
      <c r="K143" s="23">
        <v>4.6126379999999996</v>
      </c>
      <c r="L143" s="23">
        <v>3.7851406999999999</v>
      </c>
      <c r="M143" s="23">
        <v>3.6347252000000001</v>
      </c>
      <c r="N143" s="23">
        <v>8.9558619999999998</v>
      </c>
      <c r="O143" s="23">
        <v>7.8694134</v>
      </c>
      <c r="P143" s="23">
        <v>6.8369171136000002</v>
      </c>
    </row>
    <row r="144" spans="1:16" x14ac:dyDescent="0.3">
      <c r="A144" s="11" t="s">
        <v>1011</v>
      </c>
      <c r="B144" s="11" t="s">
        <v>643</v>
      </c>
      <c r="C144" s="23">
        <v>0</v>
      </c>
      <c r="D144" s="23">
        <v>0.18099999999999999</v>
      </c>
      <c r="E144" s="23">
        <v>0</v>
      </c>
      <c r="F144" s="23">
        <v>0</v>
      </c>
      <c r="G144" s="23">
        <v>0</v>
      </c>
      <c r="H144" s="23">
        <v>0</v>
      </c>
      <c r="I144" s="23">
        <v>8.1600000000000006E-2</v>
      </c>
      <c r="J144" s="23">
        <v>7.2900000000000006E-2</v>
      </c>
      <c r="K144" s="23">
        <v>6.3276299999999994E-2</v>
      </c>
      <c r="L144" s="23">
        <v>3.3035599999999998E-2</v>
      </c>
      <c r="M144" s="23">
        <v>1.9207999999999999E-2</v>
      </c>
      <c r="N144" s="23">
        <v>0.15173010000000001</v>
      </c>
      <c r="O144" s="23">
        <v>4.0266000000000003E-2</v>
      </c>
      <c r="P144" s="23">
        <v>0.15832190339999999</v>
      </c>
    </row>
    <row r="145" spans="1:16" x14ac:dyDescent="0.3">
      <c r="A145" s="11" t="s">
        <v>1010</v>
      </c>
      <c r="B145" s="11" t="s">
        <v>641</v>
      </c>
      <c r="C145" s="23">
        <v>0</v>
      </c>
      <c r="D145" s="23">
        <v>0</v>
      </c>
      <c r="E145" s="23">
        <v>0</v>
      </c>
      <c r="F145" s="23">
        <v>0</v>
      </c>
      <c r="G145" s="23">
        <v>0</v>
      </c>
      <c r="H145" s="23">
        <v>0</v>
      </c>
      <c r="I145" s="23">
        <v>0</v>
      </c>
      <c r="J145" s="23">
        <v>0</v>
      </c>
      <c r="K145" s="23">
        <v>0</v>
      </c>
      <c r="L145" s="23">
        <v>0</v>
      </c>
      <c r="M145" s="23">
        <v>0</v>
      </c>
      <c r="N145" s="23">
        <v>0</v>
      </c>
      <c r="O145" s="23">
        <v>0</v>
      </c>
      <c r="P145" s="23">
        <v>0</v>
      </c>
    </row>
    <row r="146" spans="1:16" x14ac:dyDescent="0.3">
      <c r="A146" s="11" t="s">
        <v>1009</v>
      </c>
      <c r="B146" s="11" t="s">
        <v>639</v>
      </c>
      <c r="C146" s="23">
        <v>0</v>
      </c>
      <c r="D146" s="23">
        <v>0.10680000000000001</v>
      </c>
      <c r="E146" s="23">
        <v>0</v>
      </c>
      <c r="F146" s="23">
        <v>0</v>
      </c>
      <c r="G146" s="23">
        <v>0</v>
      </c>
      <c r="H146" s="23">
        <v>0</v>
      </c>
      <c r="I146" s="23">
        <v>5.0000000000000001E-4</v>
      </c>
      <c r="J146" s="23">
        <v>0</v>
      </c>
      <c r="K146" s="23">
        <v>8.9329000000000006E-2</v>
      </c>
      <c r="L146" s="23">
        <v>0</v>
      </c>
      <c r="M146" s="23">
        <v>0</v>
      </c>
      <c r="N146" s="23">
        <v>0</v>
      </c>
      <c r="O146" s="23">
        <v>0</v>
      </c>
      <c r="P146" s="23">
        <v>0</v>
      </c>
    </row>
    <row r="147" spans="1:16" x14ac:dyDescent="0.3">
      <c r="A147" s="11" t="s">
        <v>1008</v>
      </c>
      <c r="B147" s="11" t="s">
        <v>637</v>
      </c>
      <c r="C147" s="31">
        <v>10972</v>
      </c>
      <c r="D147" s="31">
        <v>10978.0214</v>
      </c>
      <c r="E147" s="31">
        <v>11229</v>
      </c>
      <c r="F147" s="31">
        <v>11231</v>
      </c>
      <c r="G147" s="31">
        <v>11304</v>
      </c>
      <c r="H147" s="23">
        <v>11334</v>
      </c>
      <c r="I147" s="23">
        <v>11483.453</v>
      </c>
      <c r="J147" s="23">
        <v>11424.341</v>
      </c>
      <c r="K147" s="23">
        <v>11433.083332300001</v>
      </c>
      <c r="L147" s="35">
        <v>11577.319523599999</v>
      </c>
      <c r="M147" s="23">
        <v>11696.9218045</v>
      </c>
      <c r="N147" s="35">
        <v>11699.3332434</v>
      </c>
      <c r="O147" s="35">
        <v>11794.754275499999</v>
      </c>
      <c r="P147" s="35">
        <v>11965.546</v>
      </c>
    </row>
    <row r="148" spans="1:16" x14ac:dyDescent="0.3">
      <c r="A148" s="11" t="s">
        <v>1007</v>
      </c>
      <c r="B148" s="11" t="s">
        <v>635</v>
      </c>
      <c r="C148" s="31">
        <v>0</v>
      </c>
      <c r="D148" s="31">
        <v>0.24329999999999999</v>
      </c>
      <c r="E148" s="31">
        <v>1</v>
      </c>
      <c r="F148" s="31">
        <v>2</v>
      </c>
      <c r="G148" s="31">
        <v>2</v>
      </c>
      <c r="H148" s="35">
        <v>2</v>
      </c>
      <c r="I148" s="35">
        <v>1.5597000000000001</v>
      </c>
      <c r="J148" s="35">
        <v>0.1321</v>
      </c>
      <c r="K148" s="35">
        <v>0.56339819999999996</v>
      </c>
      <c r="L148" s="35">
        <v>0.46176660000000003</v>
      </c>
      <c r="M148" s="35">
        <v>0.4721398</v>
      </c>
      <c r="N148" s="35">
        <v>0.52724930000000003</v>
      </c>
      <c r="O148" s="35">
        <v>0.26173239999999998</v>
      </c>
      <c r="P148" s="35">
        <v>0.13448180800000001</v>
      </c>
    </row>
    <row r="149" spans="1:16" x14ac:dyDescent="0.3">
      <c r="A149" s="11" t="s">
        <v>1006</v>
      </c>
      <c r="B149" s="11" t="s">
        <v>633</v>
      </c>
      <c r="C149" s="31">
        <v>17</v>
      </c>
      <c r="D149" s="31">
        <v>17.444800000000001</v>
      </c>
      <c r="E149" s="31">
        <v>20</v>
      </c>
      <c r="F149" s="31">
        <v>23</v>
      </c>
      <c r="G149" s="31">
        <v>27</v>
      </c>
      <c r="H149" s="35">
        <v>33</v>
      </c>
      <c r="I149" s="35">
        <v>33.866799999999998</v>
      </c>
      <c r="J149" s="35">
        <v>35.222900000000003</v>
      </c>
      <c r="K149" s="35">
        <v>32.675536299999997</v>
      </c>
      <c r="L149" s="35">
        <v>36.595970000000001</v>
      </c>
      <c r="M149" s="35">
        <v>40.171294699999997</v>
      </c>
      <c r="N149" s="35">
        <v>37.100842299999996</v>
      </c>
      <c r="O149" s="35">
        <v>38.993352299999998</v>
      </c>
      <c r="P149" s="35">
        <v>35.609931088000003</v>
      </c>
    </row>
    <row r="150" spans="1:16" x14ac:dyDescent="0.3">
      <c r="A150" s="11" t="s">
        <v>1005</v>
      </c>
      <c r="B150" s="11" t="s">
        <v>631</v>
      </c>
      <c r="C150" s="35">
        <v>0</v>
      </c>
      <c r="D150" s="35">
        <v>0</v>
      </c>
      <c r="E150" s="35">
        <v>0.03</v>
      </c>
      <c r="F150" s="35">
        <v>1.2E-2</v>
      </c>
      <c r="G150" s="35">
        <v>4.8999999999999998E-3</v>
      </c>
      <c r="H150" s="35">
        <v>0</v>
      </c>
      <c r="I150" s="35">
        <v>0</v>
      </c>
      <c r="J150" s="35">
        <v>0</v>
      </c>
      <c r="K150" s="35">
        <v>7.5471999999999996E-3</v>
      </c>
      <c r="L150" s="35">
        <v>0</v>
      </c>
      <c r="M150" s="35">
        <v>1.0969E-2</v>
      </c>
      <c r="N150" s="35">
        <v>0</v>
      </c>
      <c r="O150" s="35">
        <v>0</v>
      </c>
      <c r="P150" s="35">
        <v>0</v>
      </c>
    </row>
    <row r="151" spans="1:16" x14ac:dyDescent="0.3">
      <c r="A151" s="11" t="s">
        <v>1004</v>
      </c>
      <c r="B151" s="11" t="s">
        <v>629</v>
      </c>
      <c r="C151" s="31">
        <v>8</v>
      </c>
      <c r="D151" s="31">
        <v>8.0295000000000005</v>
      </c>
      <c r="E151" s="31">
        <v>8</v>
      </c>
      <c r="F151" s="31">
        <v>8</v>
      </c>
      <c r="G151" s="31">
        <v>8</v>
      </c>
      <c r="H151" s="35">
        <v>8</v>
      </c>
      <c r="I151" s="35">
        <v>7.7035</v>
      </c>
      <c r="J151" s="35">
        <v>7.7572000000000001</v>
      </c>
      <c r="K151" s="35">
        <v>7.8178146000000002</v>
      </c>
      <c r="L151" s="35">
        <v>7.8826665</v>
      </c>
      <c r="M151" s="35">
        <v>7.9371178000000002</v>
      </c>
      <c r="N151" s="35">
        <v>7.9967269999999999</v>
      </c>
      <c r="O151" s="35">
        <v>8.0451359999999994</v>
      </c>
      <c r="P151" s="35">
        <v>8.0977714547664004</v>
      </c>
    </row>
    <row r="152" spans="1:16" x14ac:dyDescent="0.3">
      <c r="A152" s="11" t="s">
        <v>1003</v>
      </c>
      <c r="B152" s="11" t="s">
        <v>627</v>
      </c>
      <c r="C152" s="31">
        <v>7412</v>
      </c>
      <c r="D152" s="31">
        <v>7411.5128000000004</v>
      </c>
      <c r="E152" s="31">
        <v>7815</v>
      </c>
      <c r="F152" s="31">
        <v>7738</v>
      </c>
      <c r="G152" s="31">
        <v>7740</v>
      </c>
      <c r="H152" s="35">
        <v>7776</v>
      </c>
      <c r="I152" s="35">
        <v>7855.7411000000002</v>
      </c>
      <c r="J152" s="35">
        <v>7824.7349000000004</v>
      </c>
      <c r="K152" s="35">
        <v>7569.8548252000001</v>
      </c>
      <c r="L152" s="35">
        <v>7695.7513050999996</v>
      </c>
      <c r="M152" s="35">
        <v>7750.1224608000002</v>
      </c>
      <c r="N152" s="35">
        <v>7680.9451282</v>
      </c>
      <c r="O152" s="35">
        <v>7728.5998624000003</v>
      </c>
      <c r="P152" s="35">
        <v>7662.0033100051596</v>
      </c>
    </row>
    <row r="153" spans="1:16" x14ac:dyDescent="0.3">
      <c r="A153" s="11" t="s">
        <v>1002</v>
      </c>
      <c r="B153" s="11" t="s">
        <v>1001</v>
      </c>
      <c r="C153" s="23">
        <v>0</v>
      </c>
      <c r="D153" s="23"/>
      <c r="E153" s="23">
        <v>0</v>
      </c>
      <c r="F153" s="23">
        <v>0</v>
      </c>
      <c r="G153" s="23">
        <v>0</v>
      </c>
      <c r="H153" s="35"/>
      <c r="I153" s="35"/>
      <c r="J153" s="35"/>
      <c r="K153" s="35"/>
      <c r="L153" s="35"/>
      <c r="M153" s="35"/>
      <c r="N153" s="35"/>
      <c r="O153" s="35"/>
      <c r="P153" s="35"/>
    </row>
    <row r="154" spans="1:16" x14ac:dyDescent="0.3">
      <c r="A154" s="11" t="s">
        <v>1000</v>
      </c>
      <c r="B154" s="11" t="s">
        <v>623</v>
      </c>
      <c r="C154" s="31">
        <v>2578</v>
      </c>
      <c r="D154" s="31">
        <v>2577.8939999999998</v>
      </c>
      <c r="E154" s="31">
        <v>2414</v>
      </c>
      <c r="F154" s="31">
        <v>2440</v>
      </c>
      <c r="G154" s="31">
        <v>2500</v>
      </c>
      <c r="H154" s="35">
        <v>2495</v>
      </c>
      <c r="I154" s="35">
        <v>2550.7163</v>
      </c>
      <c r="J154" s="35">
        <v>2584.6006000000002</v>
      </c>
      <c r="K154" s="35">
        <v>2805.7702300000001</v>
      </c>
      <c r="L154" s="35">
        <v>2820.2345525000001</v>
      </c>
      <c r="M154" s="35">
        <v>2856.4916874999999</v>
      </c>
      <c r="N154" s="35">
        <v>2932.7563243999998</v>
      </c>
      <c r="O154" s="35">
        <v>2927.2212828000002</v>
      </c>
      <c r="P154" s="35">
        <v>3172.32826851564</v>
      </c>
    </row>
    <row r="155" spans="1:16" x14ac:dyDescent="0.3">
      <c r="A155" s="11" t="s">
        <v>999</v>
      </c>
      <c r="B155" s="11" t="s">
        <v>998</v>
      </c>
      <c r="C155" s="31">
        <v>94</v>
      </c>
      <c r="D155" s="31">
        <v>94.329700000000003</v>
      </c>
      <c r="E155" s="31">
        <v>91</v>
      </c>
      <c r="F155" s="31">
        <v>103</v>
      </c>
      <c r="G155" s="31">
        <v>104</v>
      </c>
      <c r="H155" s="35">
        <v>103</v>
      </c>
      <c r="I155" s="35">
        <v>105.2933</v>
      </c>
      <c r="J155" s="35">
        <v>104.07599999999999</v>
      </c>
      <c r="K155" s="35">
        <v>104.29036360000001</v>
      </c>
      <c r="L155" s="35">
        <v>101.2500735</v>
      </c>
      <c r="M155" s="35">
        <v>101.25019159999999</v>
      </c>
      <c r="N155" s="35">
        <v>99.394318100000007</v>
      </c>
      <c r="O155" s="35">
        <v>107.984696</v>
      </c>
      <c r="P155" s="35">
        <v>104.89123515999999</v>
      </c>
    </row>
    <row r="156" spans="1:16" x14ac:dyDescent="0.3">
      <c r="A156" s="11" t="s">
        <v>997</v>
      </c>
      <c r="B156" s="11" t="s">
        <v>996</v>
      </c>
      <c r="C156" s="23"/>
      <c r="D156" s="23"/>
      <c r="E156" s="23"/>
      <c r="F156" s="23"/>
      <c r="G156" s="23"/>
      <c r="H156" s="35"/>
      <c r="I156" s="35"/>
      <c r="J156" s="35"/>
      <c r="K156" s="35"/>
      <c r="L156" s="35"/>
      <c r="M156" s="35"/>
      <c r="N156" s="35"/>
      <c r="O156" s="35"/>
      <c r="P156" s="35"/>
    </row>
    <row r="157" spans="1:16" x14ac:dyDescent="0.3">
      <c r="A157" s="11" t="s">
        <v>995</v>
      </c>
      <c r="B157" s="11" t="s">
        <v>619</v>
      </c>
      <c r="C157" s="31">
        <v>13</v>
      </c>
      <c r="D157" s="31">
        <v>12.668200000000001</v>
      </c>
      <c r="E157" s="31">
        <v>12</v>
      </c>
      <c r="F157" s="31">
        <v>12</v>
      </c>
      <c r="G157" s="31">
        <v>11</v>
      </c>
      <c r="H157" s="23">
        <v>11</v>
      </c>
      <c r="I157" s="23">
        <v>10.5497</v>
      </c>
      <c r="J157" s="23">
        <v>9.3785000000000007</v>
      </c>
      <c r="K157" s="23">
        <v>9.0957995999999994</v>
      </c>
      <c r="L157" s="23">
        <v>8.3540167000000007</v>
      </c>
      <c r="M157" s="23">
        <v>8.1135541999999994</v>
      </c>
      <c r="N157" s="23">
        <v>9.0685327000000004</v>
      </c>
      <c r="O157" s="23">
        <v>9.7268182000000003</v>
      </c>
      <c r="P157" s="23">
        <v>9.7268182085439996</v>
      </c>
    </row>
    <row r="158" spans="1:16" x14ac:dyDescent="0.3">
      <c r="A158" s="11" t="s">
        <v>994</v>
      </c>
      <c r="B158" s="11" t="s">
        <v>617</v>
      </c>
      <c r="C158" s="31">
        <v>559</v>
      </c>
      <c r="D158" s="31">
        <v>565.3098</v>
      </c>
      <c r="E158" s="31">
        <v>622</v>
      </c>
      <c r="F158" s="31">
        <v>659</v>
      </c>
      <c r="G158" s="31">
        <v>672</v>
      </c>
      <c r="H158" s="23">
        <v>646</v>
      </c>
      <c r="I158" s="23">
        <v>651.14260000000002</v>
      </c>
      <c r="J158" s="23">
        <v>573.02869999999996</v>
      </c>
      <c r="K158" s="23">
        <v>615.11630779999996</v>
      </c>
      <c r="L158" s="23">
        <v>626.90645219999999</v>
      </c>
      <c r="M158" s="23">
        <v>644.29887540000004</v>
      </c>
      <c r="N158" s="23">
        <v>655.20278299999995</v>
      </c>
      <c r="O158" s="23">
        <v>688.43561939999995</v>
      </c>
      <c r="P158" s="23">
        <v>691.47928304041</v>
      </c>
    </row>
    <row r="159" spans="1:16" x14ac:dyDescent="0.3">
      <c r="A159" s="11" t="s">
        <v>993</v>
      </c>
      <c r="B159" s="11" t="s">
        <v>615</v>
      </c>
      <c r="C159" s="31">
        <v>195</v>
      </c>
      <c r="D159" s="31">
        <v>195.25989999999999</v>
      </c>
      <c r="E159" s="31">
        <v>170</v>
      </c>
      <c r="F159" s="31">
        <v>167</v>
      </c>
      <c r="G159" s="31">
        <v>161</v>
      </c>
      <c r="H159" s="23">
        <v>177</v>
      </c>
      <c r="I159" s="23">
        <v>172.42859999999999</v>
      </c>
      <c r="J159" s="23">
        <v>185.60910000000001</v>
      </c>
      <c r="K159" s="23">
        <v>176.53273530000001</v>
      </c>
      <c r="L159" s="23">
        <v>174.9377355</v>
      </c>
      <c r="M159" s="23">
        <v>152.14420519999999</v>
      </c>
      <c r="N159" s="23">
        <v>141.7218215</v>
      </c>
      <c r="O159" s="23">
        <v>151.74521139999999</v>
      </c>
      <c r="P159" s="23">
        <v>151.74521138279999</v>
      </c>
    </row>
    <row r="160" spans="1:16" x14ac:dyDescent="0.3">
      <c r="A160" s="11" t="s">
        <v>992</v>
      </c>
      <c r="B160" s="11" t="s">
        <v>613</v>
      </c>
      <c r="C160" s="31">
        <v>84</v>
      </c>
      <c r="D160" s="31">
        <v>84.1768</v>
      </c>
      <c r="E160" s="31">
        <v>62</v>
      </c>
      <c r="F160" s="31">
        <v>62</v>
      </c>
      <c r="G160" s="31">
        <v>58</v>
      </c>
      <c r="H160" s="23">
        <v>58</v>
      </c>
      <c r="I160" s="23">
        <v>69.901300000000006</v>
      </c>
      <c r="J160" s="23">
        <v>75.553600000000003</v>
      </c>
      <c r="K160" s="23">
        <v>88.986636500000003</v>
      </c>
      <c r="L160" s="23">
        <v>79.281111300000006</v>
      </c>
      <c r="M160" s="23">
        <v>109.4312496</v>
      </c>
      <c r="N160" s="23">
        <v>108.945769</v>
      </c>
      <c r="O160" s="23">
        <v>106.25063419999999</v>
      </c>
      <c r="P160" s="23">
        <v>106.250634232</v>
      </c>
    </row>
    <row r="161" spans="1:16" x14ac:dyDescent="0.3">
      <c r="A161" s="11" t="s">
        <v>991</v>
      </c>
      <c r="B161" s="11" t="s">
        <v>990</v>
      </c>
      <c r="C161" s="23"/>
      <c r="D161" s="23"/>
      <c r="E161" s="23"/>
      <c r="F161" s="23"/>
      <c r="G161" s="23"/>
      <c r="H161" s="23"/>
      <c r="I161" s="23"/>
      <c r="J161" s="23"/>
      <c r="K161" s="23"/>
      <c r="L161" s="23"/>
      <c r="M161" s="23"/>
      <c r="N161" s="23">
        <v>0</v>
      </c>
      <c r="O161" s="23"/>
      <c r="P161" s="23"/>
    </row>
    <row r="162" spans="1:16" x14ac:dyDescent="0.3">
      <c r="A162" s="11" t="s">
        <v>989</v>
      </c>
      <c r="B162" s="11" t="s">
        <v>609</v>
      </c>
      <c r="C162" s="31">
        <v>11</v>
      </c>
      <c r="D162" s="31">
        <v>11.1526</v>
      </c>
      <c r="E162" s="31">
        <v>14</v>
      </c>
      <c r="F162" s="31">
        <v>17</v>
      </c>
      <c r="G162" s="31">
        <v>21</v>
      </c>
      <c r="H162" s="23">
        <v>26</v>
      </c>
      <c r="I162" s="23">
        <v>24.5505</v>
      </c>
      <c r="J162" s="23">
        <v>24.247399999999999</v>
      </c>
      <c r="K162" s="23">
        <v>22.372138100000001</v>
      </c>
      <c r="L162" s="23">
        <v>25.663873500000001</v>
      </c>
      <c r="M162" s="23">
        <v>26.478058799999999</v>
      </c>
      <c r="N162" s="23">
        <v>25.673747800000001</v>
      </c>
      <c r="O162" s="23">
        <v>27.4899305</v>
      </c>
      <c r="P162" s="23">
        <v>23.279137159697299</v>
      </c>
    </row>
    <row r="163" spans="1:16" x14ac:dyDescent="0.3">
      <c r="A163" s="11" t="s">
        <v>988</v>
      </c>
      <c r="B163" s="11" t="s">
        <v>987</v>
      </c>
      <c r="C163" s="23"/>
      <c r="D163" s="23"/>
      <c r="E163" s="23"/>
      <c r="F163" s="23"/>
      <c r="G163" s="23"/>
      <c r="H163" s="23"/>
      <c r="I163" s="23"/>
      <c r="J163" s="23"/>
      <c r="K163" s="23"/>
      <c r="L163" s="23"/>
      <c r="M163" s="23"/>
      <c r="N163" s="23">
        <v>0</v>
      </c>
      <c r="O163" s="23"/>
      <c r="P163" s="23"/>
    </row>
    <row r="164" spans="1:16" x14ac:dyDescent="0.3">
      <c r="A164" s="11" t="s">
        <v>986</v>
      </c>
      <c r="B164" s="11" t="s">
        <v>627</v>
      </c>
      <c r="C164" s="23"/>
      <c r="D164" s="23"/>
      <c r="E164" s="23"/>
      <c r="F164" s="23"/>
      <c r="G164" s="23"/>
      <c r="H164" s="23"/>
      <c r="I164" s="23"/>
      <c r="J164" s="23"/>
      <c r="K164" s="23"/>
      <c r="L164" s="23"/>
      <c r="M164" s="23"/>
      <c r="N164" s="23"/>
      <c r="O164" s="23"/>
      <c r="P164" s="23"/>
    </row>
    <row r="165" spans="1:16" x14ac:dyDescent="0.3">
      <c r="A165" s="11" t="s">
        <v>985</v>
      </c>
      <c r="B165" s="11" t="s">
        <v>603</v>
      </c>
      <c r="C165" s="23"/>
      <c r="D165" s="23"/>
      <c r="E165" s="23"/>
      <c r="F165" s="23"/>
      <c r="G165" s="23"/>
      <c r="H165" s="23"/>
      <c r="I165" s="23"/>
      <c r="J165" s="23"/>
      <c r="K165" s="23"/>
      <c r="L165" s="23"/>
      <c r="M165" s="23"/>
      <c r="N165" s="23">
        <v>0</v>
      </c>
      <c r="O165" s="23"/>
      <c r="P165" s="23"/>
    </row>
    <row r="166" spans="1:16" x14ac:dyDescent="0.3">
      <c r="A166" s="11" t="s">
        <v>984</v>
      </c>
      <c r="B166" s="11" t="s">
        <v>667</v>
      </c>
      <c r="C166" s="31">
        <v>1108.32</v>
      </c>
      <c r="D166" s="31">
        <v>1108.3154999999999</v>
      </c>
      <c r="E166" s="31">
        <v>1120.8</v>
      </c>
      <c r="F166" s="31">
        <v>1131.03</v>
      </c>
      <c r="G166" s="31">
        <v>1139.78</v>
      </c>
      <c r="H166" s="35">
        <v>1148.05</v>
      </c>
      <c r="I166" s="35">
        <v>1157.9664</v>
      </c>
      <c r="J166" s="35">
        <v>1167.4429</v>
      </c>
      <c r="K166" s="35">
        <v>1176.5451344999999</v>
      </c>
      <c r="L166" s="35">
        <v>1188.2703713000001</v>
      </c>
      <c r="M166" s="35">
        <v>1194.0615558</v>
      </c>
      <c r="N166" s="35">
        <v>1203.5698250999999</v>
      </c>
      <c r="O166" s="35">
        <v>1212.8842657</v>
      </c>
      <c r="P166" s="35">
        <v>1221.5456338863701</v>
      </c>
    </row>
    <row r="167" spans="1:16" x14ac:dyDescent="0.3">
      <c r="A167" s="11" t="s">
        <v>983</v>
      </c>
      <c r="B167" s="11" t="s">
        <v>982</v>
      </c>
      <c r="C167" s="23"/>
      <c r="D167" s="23"/>
      <c r="E167" s="23"/>
      <c r="F167" s="23"/>
      <c r="G167" s="23"/>
      <c r="H167" s="23"/>
      <c r="I167" s="23"/>
      <c r="J167" s="23"/>
      <c r="K167" s="23"/>
      <c r="L167" s="23"/>
      <c r="M167" s="23"/>
      <c r="N167" s="23">
        <v>0</v>
      </c>
      <c r="O167" s="23"/>
      <c r="P167" s="23"/>
    </row>
    <row r="168" spans="1:16" x14ac:dyDescent="0.3">
      <c r="A168" s="11" t="s">
        <v>981</v>
      </c>
      <c r="B168" s="11" t="s">
        <v>597</v>
      </c>
      <c r="C168" s="31">
        <v>1108.32</v>
      </c>
      <c r="D168" s="31">
        <v>1108.3154999999999</v>
      </c>
      <c r="E168" s="31">
        <v>1120.8</v>
      </c>
      <c r="F168" s="31">
        <v>1131.03</v>
      </c>
      <c r="G168" s="31">
        <v>1139.78</v>
      </c>
      <c r="H168" s="35">
        <v>1148.05</v>
      </c>
      <c r="I168" s="35">
        <v>1157.9664</v>
      </c>
      <c r="J168" s="35">
        <v>1167.4429</v>
      </c>
      <c r="K168" s="35">
        <v>1176.5451344999999</v>
      </c>
      <c r="L168" s="35">
        <v>1188.2703713000001</v>
      </c>
      <c r="M168" s="35">
        <v>1194.0615558</v>
      </c>
      <c r="N168" s="35">
        <v>1203.5698250999999</v>
      </c>
      <c r="O168" s="35">
        <v>1212.8842657</v>
      </c>
      <c r="P168" s="35">
        <v>1221.5456338863701</v>
      </c>
    </row>
    <row r="169" spans="1:16" x14ac:dyDescent="0.3">
      <c r="A169" s="11" t="s">
        <v>980</v>
      </c>
      <c r="B169" s="11" t="s">
        <v>979</v>
      </c>
      <c r="C169" s="23"/>
      <c r="D169" s="23"/>
      <c r="E169" s="23"/>
      <c r="F169" s="23"/>
      <c r="G169" s="23"/>
      <c r="H169" s="23"/>
      <c r="I169" s="23"/>
      <c r="J169" s="23"/>
      <c r="K169" s="23"/>
      <c r="L169" s="23"/>
      <c r="M169" s="23"/>
      <c r="N169" s="23">
        <v>0</v>
      </c>
      <c r="O169" s="23"/>
      <c r="P169" s="23"/>
    </row>
    <row r="170" spans="1:16" x14ac:dyDescent="0.3">
      <c r="A170" s="11" t="s">
        <v>978</v>
      </c>
      <c r="B170" s="11" t="s">
        <v>977</v>
      </c>
      <c r="C170" s="31">
        <v>85.93</v>
      </c>
      <c r="D170" s="31">
        <v>86.367400000000004</v>
      </c>
      <c r="E170" s="31">
        <v>86.46</v>
      </c>
      <c r="F170" s="31">
        <v>85.77</v>
      </c>
      <c r="G170" s="31">
        <v>85.93</v>
      </c>
      <c r="H170" s="35">
        <v>85.82</v>
      </c>
      <c r="I170" s="35">
        <v>85.752099999999999</v>
      </c>
      <c r="J170" s="35">
        <v>86.213700000000003</v>
      </c>
      <c r="K170" s="35">
        <v>85.881450000000001</v>
      </c>
      <c r="L170" s="35">
        <v>85.811319999999995</v>
      </c>
      <c r="M170" s="35">
        <v>85.800749999999994</v>
      </c>
      <c r="N170" s="35">
        <v>85.598190000000002</v>
      </c>
      <c r="O170" s="35">
        <v>85.486859999999993</v>
      </c>
      <c r="P170" s="35">
        <v>85.486859999999993</v>
      </c>
    </row>
    <row r="171" spans="1:16" x14ac:dyDescent="0.3">
      <c r="A171" s="11" t="s">
        <v>976</v>
      </c>
      <c r="B171" s="11" t="s">
        <v>57</v>
      </c>
      <c r="C171" s="31">
        <v>66.599999999999994</v>
      </c>
      <c r="D171" s="31">
        <v>70.876999999999995</v>
      </c>
      <c r="E171" s="31">
        <v>68.84</v>
      </c>
      <c r="F171" s="31">
        <v>67.48</v>
      </c>
      <c r="G171" s="31">
        <v>68.180000000000007</v>
      </c>
      <c r="H171" s="35">
        <v>68.3</v>
      </c>
      <c r="I171" s="35">
        <v>67.888000000000005</v>
      </c>
      <c r="J171" s="35">
        <v>68.647400000000005</v>
      </c>
      <c r="K171" s="35">
        <v>68.773179999999996</v>
      </c>
      <c r="L171" s="35">
        <v>68.567740000000001</v>
      </c>
      <c r="M171" s="35">
        <v>68.708259999999996</v>
      </c>
      <c r="N171" s="35">
        <v>68.317930000000004</v>
      </c>
      <c r="O171" s="35">
        <v>68.068839999999994</v>
      </c>
      <c r="P171" s="35">
        <v>68.068839999999994</v>
      </c>
    </row>
    <row r="172" spans="1:16" x14ac:dyDescent="0.3">
      <c r="A172" s="11" t="s">
        <v>975</v>
      </c>
      <c r="B172" s="11" t="s">
        <v>58</v>
      </c>
      <c r="C172" s="31">
        <v>6.5</v>
      </c>
      <c r="D172" s="31">
        <v>6.5438000000000001</v>
      </c>
      <c r="E172" s="31">
        <v>6.13</v>
      </c>
      <c r="F172" s="31">
        <v>6.08</v>
      </c>
      <c r="G172" s="31">
        <v>6.27</v>
      </c>
      <c r="H172" s="35">
        <v>6.17</v>
      </c>
      <c r="I172" s="35">
        <v>6.2180999999999997</v>
      </c>
      <c r="J172" s="35">
        <v>6.2874999999999996</v>
      </c>
      <c r="K172" s="35">
        <v>6.3913500000000001</v>
      </c>
      <c r="L172" s="35">
        <v>6.2877200000000002</v>
      </c>
      <c r="M172" s="35">
        <v>6.2483300000000002</v>
      </c>
      <c r="N172" s="35">
        <v>6.3233499999999996</v>
      </c>
      <c r="O172" s="35">
        <v>6.4207999999999998</v>
      </c>
      <c r="P172" s="35">
        <v>6.4207999999999998</v>
      </c>
    </row>
    <row r="173" spans="1:16" x14ac:dyDescent="0.3">
      <c r="A173" s="11" t="s">
        <v>974</v>
      </c>
      <c r="B173" s="11" t="s">
        <v>973</v>
      </c>
      <c r="C173" s="31">
        <v>4.2699999999999996</v>
      </c>
      <c r="D173" s="31">
        <v>4.5204000000000004</v>
      </c>
      <c r="E173" s="31">
        <v>4.3099999999999996</v>
      </c>
      <c r="F173" s="31">
        <v>4.0999999999999996</v>
      </c>
      <c r="G173" s="31">
        <v>4.05</v>
      </c>
      <c r="H173" s="35">
        <v>4.0999999999999996</v>
      </c>
      <c r="I173" s="35">
        <v>4.0033000000000003</v>
      </c>
      <c r="J173" s="35">
        <v>4.0707000000000004</v>
      </c>
      <c r="K173" s="35">
        <v>4.1136999999999997</v>
      </c>
      <c r="L173" s="35">
        <v>4.0239200000000004</v>
      </c>
      <c r="M173" s="35">
        <v>3.9839500000000001</v>
      </c>
      <c r="N173" s="35">
        <v>3.9728599999999998</v>
      </c>
      <c r="O173" s="35">
        <v>3.9547500000000002</v>
      </c>
      <c r="P173" s="35">
        <v>3.9547500000000002</v>
      </c>
    </row>
    <row r="174" spans="1:16" x14ac:dyDescent="0.3">
      <c r="A174" s="11" t="s">
        <v>972</v>
      </c>
      <c r="B174" s="11" t="s">
        <v>971</v>
      </c>
      <c r="C174" s="31">
        <v>1.43</v>
      </c>
      <c r="D174" s="31">
        <v>1.0841000000000001</v>
      </c>
      <c r="E174" s="31">
        <v>1.03</v>
      </c>
      <c r="F174" s="31">
        <v>0.9</v>
      </c>
      <c r="G174" s="31">
        <v>0.89</v>
      </c>
      <c r="H174" s="35">
        <v>0.71</v>
      </c>
      <c r="I174" s="35">
        <v>0.69789999999999996</v>
      </c>
      <c r="J174" s="35">
        <v>0.72470000000000001</v>
      </c>
      <c r="K174" s="35">
        <v>0.62146000000000001</v>
      </c>
      <c r="L174" s="35">
        <v>0.60646</v>
      </c>
      <c r="M174" s="35">
        <v>0.60472999999999999</v>
      </c>
      <c r="N174" s="35">
        <v>0.57025000000000003</v>
      </c>
      <c r="O174" s="35">
        <v>2.8826800000000001</v>
      </c>
      <c r="P174" s="35">
        <v>2.8826800000000001</v>
      </c>
    </row>
    <row r="175" spans="1:16" x14ac:dyDescent="0.3">
      <c r="A175" s="11" t="s">
        <v>970</v>
      </c>
      <c r="B175" s="11" t="s">
        <v>969</v>
      </c>
      <c r="C175" s="31">
        <v>2.5299999999999998</v>
      </c>
      <c r="D175" s="31">
        <v>2.5840999999999998</v>
      </c>
      <c r="E175" s="31">
        <v>2.4700000000000002</v>
      </c>
      <c r="F175" s="31">
        <v>2.42</v>
      </c>
      <c r="G175" s="31">
        <v>2.39</v>
      </c>
      <c r="H175" s="35">
        <v>2.4300000000000002</v>
      </c>
      <c r="I175" s="35">
        <v>2.3744000000000001</v>
      </c>
      <c r="J175" s="35">
        <v>2.4123000000000001</v>
      </c>
      <c r="K175" s="35">
        <v>2.42605</v>
      </c>
      <c r="L175" s="35">
        <v>2.3674900000000001</v>
      </c>
      <c r="M175" s="35">
        <v>2.3381799999999999</v>
      </c>
      <c r="N175" s="35">
        <v>2.3367499999999999</v>
      </c>
      <c r="O175" s="35">
        <v>0</v>
      </c>
      <c r="P175" s="35">
        <v>0</v>
      </c>
    </row>
    <row r="176" spans="1:16" x14ac:dyDescent="0.3">
      <c r="A176" s="11" t="s">
        <v>968</v>
      </c>
      <c r="B176" s="11" t="s">
        <v>967</v>
      </c>
      <c r="C176" s="31">
        <v>0.98</v>
      </c>
      <c r="D176" s="31">
        <v>0.76219999999999999</v>
      </c>
      <c r="E176" s="31">
        <v>0.76</v>
      </c>
      <c r="F176" s="31">
        <v>0.7</v>
      </c>
      <c r="G176" s="31">
        <v>0.72</v>
      </c>
      <c r="H176" s="35">
        <v>0.82</v>
      </c>
      <c r="I176" s="35">
        <v>1.3597999999999999</v>
      </c>
      <c r="J176" s="35">
        <v>0.81040000000000001</v>
      </c>
      <c r="K176" s="35">
        <v>0.78651000000000004</v>
      </c>
      <c r="L176" s="35">
        <v>0.75429000000000002</v>
      </c>
      <c r="M176" s="35">
        <v>0.76029000000000002</v>
      </c>
      <c r="N176" s="35">
        <v>0.92137000000000002</v>
      </c>
      <c r="O176" s="35">
        <v>1.0276700000000001</v>
      </c>
      <c r="P176" s="35">
        <v>1.0276700000000001</v>
      </c>
    </row>
    <row r="177" spans="1:16" x14ac:dyDescent="0.3">
      <c r="A177" s="11" t="s">
        <v>966</v>
      </c>
      <c r="B177" s="11" t="s">
        <v>965</v>
      </c>
      <c r="C177" s="31">
        <v>3.62</v>
      </c>
      <c r="D177" s="31">
        <v>0</v>
      </c>
      <c r="E177" s="31">
        <v>2.9</v>
      </c>
      <c r="F177" s="31">
        <v>4.09</v>
      </c>
      <c r="G177" s="31">
        <v>3.43</v>
      </c>
      <c r="H177" s="35">
        <v>3.29</v>
      </c>
      <c r="I177" s="35">
        <v>3.2094</v>
      </c>
      <c r="J177" s="35">
        <v>3.2606000000000002</v>
      </c>
      <c r="K177" s="35">
        <v>3.2792400000000002</v>
      </c>
      <c r="L177" s="35">
        <v>3.2000899999999999</v>
      </c>
      <c r="M177" s="35">
        <v>3.1604800000000002</v>
      </c>
      <c r="N177" s="35">
        <v>3.15855</v>
      </c>
      <c r="O177" s="35">
        <v>3.13212</v>
      </c>
      <c r="P177" s="35">
        <v>3.13212</v>
      </c>
    </row>
    <row r="178" spans="1:16" x14ac:dyDescent="0.3">
      <c r="A178" s="11" t="s">
        <v>964</v>
      </c>
      <c r="B178" s="11" t="s">
        <v>963</v>
      </c>
      <c r="C178" s="31">
        <v>5.56</v>
      </c>
      <c r="D178" s="31">
        <v>4.9318999999999997</v>
      </c>
      <c r="E178" s="31">
        <v>4.8499999999999996</v>
      </c>
      <c r="F178" s="31">
        <v>5.61</v>
      </c>
      <c r="G178" s="31">
        <v>5.52</v>
      </c>
      <c r="H178" s="35">
        <v>5.62</v>
      </c>
      <c r="I178" s="35">
        <v>5.6367000000000003</v>
      </c>
      <c r="J178" s="35">
        <v>5.0776000000000003</v>
      </c>
      <c r="K178" s="35">
        <v>5.3536900000000003</v>
      </c>
      <c r="L178" s="35">
        <v>5.4446000000000003</v>
      </c>
      <c r="M178" s="35">
        <v>5.5440699999999996</v>
      </c>
      <c r="N178" s="35">
        <v>5.6523899999999996</v>
      </c>
      <c r="O178" s="35">
        <v>5.7223199999999999</v>
      </c>
      <c r="P178" s="35">
        <v>5.7223199999999999</v>
      </c>
    </row>
    <row r="179" spans="1:16" x14ac:dyDescent="0.3">
      <c r="A179" s="11" t="s">
        <v>962</v>
      </c>
      <c r="B179" s="11" t="s">
        <v>961</v>
      </c>
      <c r="C179" s="31">
        <v>8.51</v>
      </c>
      <c r="D179" s="31">
        <v>8.7007999999999992</v>
      </c>
      <c r="E179" s="31">
        <v>8.69</v>
      </c>
      <c r="F179" s="31">
        <v>8.6199999999999992</v>
      </c>
      <c r="G179" s="31">
        <v>8.5500000000000007</v>
      </c>
      <c r="H179" s="35">
        <v>8.56</v>
      </c>
      <c r="I179" s="35">
        <v>8.6112000000000002</v>
      </c>
      <c r="J179" s="35">
        <v>8.7087000000000003</v>
      </c>
      <c r="K179" s="35">
        <v>8.7648600000000005</v>
      </c>
      <c r="L179" s="35">
        <v>8.7440899999999999</v>
      </c>
      <c r="M179" s="35">
        <v>8.6551799999999997</v>
      </c>
      <c r="N179" s="35">
        <v>8.7494200000000006</v>
      </c>
      <c r="O179" s="35">
        <v>8.7908299999999997</v>
      </c>
      <c r="P179" s="35">
        <v>8.7908299999999997</v>
      </c>
    </row>
    <row r="180" spans="1:16" x14ac:dyDescent="0.3">
      <c r="A180" s="11" t="s">
        <v>960</v>
      </c>
      <c r="B180" s="11" t="s">
        <v>959</v>
      </c>
      <c r="C180" s="31">
        <v>100</v>
      </c>
      <c r="D180" s="31">
        <v>100</v>
      </c>
      <c r="E180" s="31">
        <v>100</v>
      </c>
      <c r="F180" s="31">
        <v>100</v>
      </c>
      <c r="G180" s="31">
        <v>100</v>
      </c>
      <c r="H180" s="35">
        <v>100</v>
      </c>
      <c r="I180" s="35">
        <v>100</v>
      </c>
      <c r="J180" s="35">
        <v>100</v>
      </c>
      <c r="K180" s="35">
        <v>100</v>
      </c>
      <c r="L180" s="35">
        <v>100</v>
      </c>
      <c r="M180" s="35">
        <v>100</v>
      </c>
      <c r="N180" s="35">
        <v>100</v>
      </c>
      <c r="O180" s="35">
        <v>100.00000999999999</v>
      </c>
      <c r="P180" s="35">
        <v>100.00000999999999</v>
      </c>
    </row>
    <row r="181" spans="1:16" x14ac:dyDescent="0.3">
      <c r="A181" s="11">
        <v>10183</v>
      </c>
      <c r="B181" s="11" t="s">
        <v>595</v>
      </c>
      <c r="C181" s="31">
        <f t="shared" ref="C181:H181" si="0">C3-C182/100</f>
        <v>12.33</v>
      </c>
      <c r="D181" s="31">
        <f>D3-D182/100</f>
        <v>12.492891999999999</v>
      </c>
      <c r="E181" s="31">
        <f t="shared" si="0"/>
        <v>12.51</v>
      </c>
      <c r="F181" s="31">
        <f t="shared" si="0"/>
        <v>12.780000000000001</v>
      </c>
      <c r="G181" s="31">
        <f t="shared" si="0"/>
        <v>12.84</v>
      </c>
      <c r="H181" s="31">
        <f t="shared" si="0"/>
        <v>13.030000000000001</v>
      </c>
      <c r="I181" s="31">
        <v>12.319100000000001</v>
      </c>
      <c r="J181" s="31">
        <v>12.499599999999999</v>
      </c>
      <c r="K181" s="31">
        <v>12.6782111116</v>
      </c>
      <c r="L181" s="31">
        <v>12.762091808399999</v>
      </c>
      <c r="M181" s="31">
        <v>12.871650474099999</v>
      </c>
      <c r="N181" s="31">
        <v>13.136789780799999</v>
      </c>
      <c r="O181" s="31">
        <v>12.749018459199998</v>
      </c>
      <c r="P181" s="31">
        <v>12.849553641381299</v>
      </c>
    </row>
    <row r="182" spans="1:16" x14ac:dyDescent="0.3">
      <c r="A182" s="11" t="s">
        <v>958</v>
      </c>
      <c r="B182" s="11" t="s">
        <v>593</v>
      </c>
      <c r="C182" s="22">
        <v>200</v>
      </c>
      <c r="D182" s="22">
        <v>202.3408</v>
      </c>
      <c r="E182" s="22">
        <v>184</v>
      </c>
      <c r="F182" s="22">
        <v>185</v>
      </c>
      <c r="G182" s="22">
        <v>183</v>
      </c>
      <c r="H182" s="22">
        <v>179</v>
      </c>
      <c r="I182" s="22">
        <v>179.72980000000001</v>
      </c>
      <c r="J182" s="22">
        <v>187.04159999999999</v>
      </c>
      <c r="K182" s="22">
        <v>191.81615884000001</v>
      </c>
      <c r="L182" s="22">
        <v>190.98826915999999</v>
      </c>
      <c r="M182" s="22">
        <v>185.89562259000002</v>
      </c>
      <c r="N182" s="22">
        <v>189.27790192000001</v>
      </c>
      <c r="O182" s="22">
        <v>181.28579408000002</v>
      </c>
      <c r="P182" s="22">
        <v>185.95946356000002</v>
      </c>
    </row>
    <row r="183" spans="1:16" x14ac:dyDescent="0.3">
      <c r="A183" s="11" t="s">
        <v>957</v>
      </c>
      <c r="B183" s="11" t="s">
        <v>956</v>
      </c>
      <c r="C183" s="22">
        <v>152</v>
      </c>
      <c r="D183" s="22">
        <v>153.65129999999999</v>
      </c>
      <c r="E183" s="22">
        <v>136</v>
      </c>
      <c r="F183" s="22">
        <v>123</v>
      </c>
      <c r="G183" s="22">
        <v>123</v>
      </c>
      <c r="H183" s="22">
        <v>119</v>
      </c>
      <c r="I183" s="22">
        <v>123.2582</v>
      </c>
      <c r="J183" s="22">
        <v>131</v>
      </c>
      <c r="K183" s="22">
        <v>134</v>
      </c>
      <c r="L183" s="22">
        <v>133</v>
      </c>
      <c r="M183" s="22">
        <v>129.74836056000001</v>
      </c>
      <c r="N183" s="22">
        <v>133.17864198000001</v>
      </c>
      <c r="O183" s="22">
        <v>126.97963728000001</v>
      </c>
      <c r="P183" s="22">
        <v>131.95766716</v>
      </c>
    </row>
    <row r="184" spans="1:16" x14ac:dyDescent="0.3">
      <c r="A184" s="11" t="s">
        <v>955</v>
      </c>
      <c r="B184" s="92" t="s">
        <v>954</v>
      </c>
      <c r="C184" s="22">
        <v>150</v>
      </c>
      <c r="D184" s="22">
        <v>152</v>
      </c>
      <c r="E184" s="22">
        <v>134</v>
      </c>
      <c r="F184" s="22">
        <v>123</v>
      </c>
      <c r="G184" s="22">
        <v>122</v>
      </c>
      <c r="H184" s="22">
        <v>117</v>
      </c>
      <c r="I184" s="22">
        <v>81</v>
      </c>
      <c r="J184" s="22">
        <v>87</v>
      </c>
      <c r="K184" s="22">
        <v>88</v>
      </c>
      <c r="L184" s="22">
        <v>85</v>
      </c>
      <c r="M184" s="22">
        <v>85</v>
      </c>
      <c r="N184" s="22">
        <v>77</v>
      </c>
      <c r="O184" s="22">
        <v>74</v>
      </c>
      <c r="P184" s="22">
        <v>80</v>
      </c>
    </row>
    <row r="185" spans="1:16" x14ac:dyDescent="0.3">
      <c r="A185" s="11" t="s">
        <v>953</v>
      </c>
      <c r="B185" s="92" t="s">
        <v>952</v>
      </c>
      <c r="C185" s="22">
        <v>2</v>
      </c>
      <c r="D185" s="22">
        <v>2</v>
      </c>
      <c r="E185" s="22">
        <v>2</v>
      </c>
      <c r="F185" s="22">
        <v>1</v>
      </c>
      <c r="G185" s="22">
        <v>1</v>
      </c>
      <c r="H185" s="22">
        <v>2</v>
      </c>
      <c r="I185" s="22">
        <v>3</v>
      </c>
      <c r="J185" s="22">
        <v>3</v>
      </c>
      <c r="K185" s="22">
        <v>3</v>
      </c>
      <c r="L185" s="22">
        <v>3</v>
      </c>
      <c r="M185" s="22">
        <v>3</v>
      </c>
      <c r="N185" s="22">
        <v>3</v>
      </c>
      <c r="O185" s="22">
        <v>3</v>
      </c>
      <c r="P185" s="22">
        <v>3</v>
      </c>
    </row>
    <row r="186" spans="1:16" x14ac:dyDescent="0.3">
      <c r="A186" s="11" t="s">
        <v>951</v>
      </c>
      <c r="B186" s="92" t="s">
        <v>950</v>
      </c>
      <c r="C186" s="22">
        <v>0</v>
      </c>
      <c r="D186" s="22">
        <v>0</v>
      </c>
      <c r="E186" s="22">
        <v>0</v>
      </c>
      <c r="F186" s="22">
        <v>0</v>
      </c>
      <c r="G186" s="22">
        <v>0</v>
      </c>
      <c r="H186" s="22">
        <v>0</v>
      </c>
      <c r="I186" s="22">
        <v>39</v>
      </c>
      <c r="J186" s="22">
        <v>41</v>
      </c>
      <c r="K186" s="22">
        <v>43</v>
      </c>
      <c r="L186" s="22">
        <v>44</v>
      </c>
      <c r="M186" s="22">
        <v>42</v>
      </c>
      <c r="N186" s="22">
        <v>53</v>
      </c>
      <c r="O186" s="22">
        <v>50</v>
      </c>
      <c r="P186" s="22">
        <v>49</v>
      </c>
    </row>
    <row r="187" spans="1:16" x14ac:dyDescent="0.3">
      <c r="A187" s="11">
        <v>10207</v>
      </c>
      <c r="B187" s="92" t="s">
        <v>949</v>
      </c>
      <c r="C187" s="22">
        <v>0</v>
      </c>
      <c r="D187" s="22">
        <v>0</v>
      </c>
      <c r="E187" s="22">
        <v>0</v>
      </c>
      <c r="F187" s="22">
        <v>0</v>
      </c>
      <c r="G187" s="22">
        <v>0</v>
      </c>
      <c r="H187" s="22">
        <v>0</v>
      </c>
      <c r="I187" s="22">
        <v>33</v>
      </c>
      <c r="J187" s="22">
        <v>34</v>
      </c>
      <c r="K187" s="22">
        <v>36</v>
      </c>
      <c r="L187" s="22">
        <v>38</v>
      </c>
      <c r="M187" s="22">
        <v>36</v>
      </c>
      <c r="N187" s="22">
        <v>47</v>
      </c>
      <c r="O187" s="22">
        <v>44</v>
      </c>
      <c r="P187" s="22">
        <v>43</v>
      </c>
    </row>
    <row r="188" spans="1:16" x14ac:dyDescent="0.3">
      <c r="A188" s="11">
        <v>10208</v>
      </c>
      <c r="B188" s="92" t="s">
        <v>948</v>
      </c>
      <c r="C188" s="22">
        <v>0</v>
      </c>
      <c r="D188" s="22">
        <v>0</v>
      </c>
      <c r="E188" s="22">
        <v>0</v>
      </c>
      <c r="F188" s="22">
        <v>0</v>
      </c>
      <c r="G188" s="22">
        <v>0</v>
      </c>
      <c r="H188" s="22">
        <v>0</v>
      </c>
      <c r="I188" s="22">
        <v>6</v>
      </c>
      <c r="J188" s="22">
        <v>7</v>
      </c>
      <c r="K188" s="22">
        <v>7</v>
      </c>
      <c r="L188" s="22">
        <v>6</v>
      </c>
      <c r="M188" s="22">
        <v>6</v>
      </c>
      <c r="N188" s="22">
        <v>6</v>
      </c>
      <c r="O188" s="22">
        <v>6</v>
      </c>
      <c r="P188" s="22">
        <v>6</v>
      </c>
    </row>
    <row r="189" spans="1:16" x14ac:dyDescent="0.3">
      <c r="A189" s="11" t="s">
        <v>947</v>
      </c>
      <c r="B189" s="11" t="s">
        <v>946</v>
      </c>
      <c r="C189" s="36">
        <v>-0.10589999999999999</v>
      </c>
      <c r="D189" s="36">
        <v>-0.10580000000000001</v>
      </c>
      <c r="E189" s="36">
        <v>-9.4500000000000001E-2</v>
      </c>
      <c r="F189" s="36">
        <v>-8.4400000000000003E-2</v>
      </c>
      <c r="G189" s="36">
        <v>-8.4000000000000005E-2</v>
      </c>
      <c r="H189" s="36">
        <v>-0.08</v>
      </c>
      <c r="I189" s="36">
        <v>-8.7316000000000005E-2</v>
      </c>
      <c r="J189" s="36">
        <v>-9.1222999999999999E-2</v>
      </c>
      <c r="K189" s="36">
        <v>-9.1399999999999995E-2</v>
      </c>
      <c r="L189" s="36">
        <v>-8.9809609999999998E-2</v>
      </c>
      <c r="M189" s="36">
        <v>-8.8080800000000001E-2</v>
      </c>
      <c r="N189" s="36">
        <v>-8.8611060000000005E-2</v>
      </c>
      <c r="O189" s="36">
        <v>-8.7200079999999999E-2</v>
      </c>
      <c r="P189" s="36">
        <v>-8.9711299999999994E-2</v>
      </c>
    </row>
    <row r="190" spans="1:16" x14ac:dyDescent="0.3">
      <c r="A190" s="11" t="s">
        <v>945</v>
      </c>
      <c r="B190" s="11" t="s">
        <v>944</v>
      </c>
      <c r="C190" s="23">
        <v>2064</v>
      </c>
      <c r="D190" s="23">
        <v>2063.7631000000001</v>
      </c>
      <c r="E190" s="23">
        <v>1928</v>
      </c>
      <c r="F190" s="23">
        <v>1902</v>
      </c>
      <c r="G190" s="23">
        <v>1896</v>
      </c>
      <c r="H190" s="23">
        <v>1837</v>
      </c>
      <c r="I190" s="23">
        <v>1961.8797999999999</v>
      </c>
      <c r="J190" s="23">
        <v>2007.8235999999999</v>
      </c>
      <c r="K190" s="23">
        <v>2030.56084035</v>
      </c>
      <c r="L190" s="23">
        <v>2034.2270319100001</v>
      </c>
      <c r="M190" s="23">
        <v>1992.44236585</v>
      </c>
      <c r="N190" s="23">
        <v>1981.9852208299999</v>
      </c>
      <c r="O190" s="23">
        <v>1961.89882711</v>
      </c>
      <c r="P190" s="23">
        <v>1986.4845782100001</v>
      </c>
    </row>
    <row r="191" spans="1:16" x14ac:dyDescent="0.3">
      <c r="A191" s="11" t="s">
        <v>943</v>
      </c>
      <c r="B191" s="11" t="s">
        <v>942</v>
      </c>
      <c r="C191" s="22">
        <v>15</v>
      </c>
      <c r="D191" s="22">
        <v>15.418699999999999</v>
      </c>
      <c r="E191" s="22">
        <v>15</v>
      </c>
      <c r="F191" s="22">
        <v>29</v>
      </c>
      <c r="G191" s="22">
        <v>28</v>
      </c>
      <c r="H191" s="22">
        <v>28</v>
      </c>
      <c r="I191" s="22">
        <v>25.849</v>
      </c>
      <c r="J191" s="22">
        <v>25.977499999999999</v>
      </c>
      <c r="K191" s="22">
        <v>26.033694199999999</v>
      </c>
      <c r="L191" s="22">
        <v>24.93406259</v>
      </c>
      <c r="M191" s="22">
        <v>24.621796629999999</v>
      </c>
      <c r="N191" s="22">
        <v>23.91416366</v>
      </c>
      <c r="O191" s="22">
        <v>22.843564709999999</v>
      </c>
      <c r="P191" s="22">
        <v>22.539204309999999</v>
      </c>
    </row>
    <row r="192" spans="1:16" x14ac:dyDescent="0.3">
      <c r="A192" s="11" t="s">
        <v>941</v>
      </c>
      <c r="B192" s="11" t="s">
        <v>940</v>
      </c>
      <c r="C192" s="22">
        <v>33</v>
      </c>
      <c r="D192" s="22">
        <v>33.270899999999997</v>
      </c>
      <c r="E192" s="22">
        <v>34</v>
      </c>
      <c r="F192" s="22">
        <v>33</v>
      </c>
      <c r="G192" s="22">
        <v>32</v>
      </c>
      <c r="H192" s="22">
        <v>32</v>
      </c>
      <c r="I192" s="22">
        <v>30.622499999999999</v>
      </c>
      <c r="J192" s="22">
        <v>30.0642</v>
      </c>
      <c r="K192" s="22">
        <v>32.131050049999999</v>
      </c>
      <c r="L192" s="22">
        <v>30.881458009999999</v>
      </c>
      <c r="M192" s="22">
        <v>31.525465400000002</v>
      </c>
      <c r="N192" s="22">
        <v>32.185096280000003</v>
      </c>
      <c r="O192" s="22">
        <v>31.462592090000001</v>
      </c>
      <c r="P192" s="22">
        <v>31.462592090000001</v>
      </c>
    </row>
    <row r="193" spans="1:16" x14ac:dyDescent="0.3">
      <c r="A193" s="11" t="s">
        <v>939</v>
      </c>
      <c r="B193" s="11" t="s">
        <v>595</v>
      </c>
      <c r="C193" s="31">
        <f t="shared" ref="C193:H193" si="1">C3-C194/100</f>
        <v>11.57</v>
      </c>
      <c r="D193" s="31">
        <v>12.0008</v>
      </c>
      <c r="E193" s="31">
        <f t="shared" si="1"/>
        <v>11.75</v>
      </c>
      <c r="F193" s="31">
        <f t="shared" si="1"/>
        <v>11.96</v>
      </c>
      <c r="G193" s="31">
        <f t="shared" si="1"/>
        <v>12</v>
      </c>
      <c r="H193" s="31">
        <f t="shared" si="1"/>
        <v>12.18</v>
      </c>
      <c r="I193" s="31">
        <v>11.519399999999999</v>
      </c>
      <c r="J193" s="31">
        <v>11.657</v>
      </c>
      <c r="K193" s="31">
        <v>11.8234423207</v>
      </c>
      <c r="L193" s="31">
        <v>11.910805764199999</v>
      </c>
      <c r="M193" s="31">
        <v>12.015881194299999</v>
      </c>
      <c r="N193" s="31">
        <v>13.136789780799999</v>
      </c>
      <c r="O193" s="31">
        <v>11.840023218899999</v>
      </c>
      <c r="P193" s="31">
        <v>11.933136368781298</v>
      </c>
    </row>
    <row r="194" spans="1:16" x14ac:dyDescent="0.3">
      <c r="A194" s="11" t="s">
        <v>938</v>
      </c>
      <c r="B194" s="11" t="s">
        <v>593</v>
      </c>
      <c r="C194" s="22">
        <v>276</v>
      </c>
      <c r="D194" s="22">
        <v>279.63479999999998</v>
      </c>
      <c r="E194" s="22">
        <v>260</v>
      </c>
      <c r="F194" s="22">
        <v>267</v>
      </c>
      <c r="G194" s="22">
        <v>267</v>
      </c>
      <c r="H194" s="22">
        <v>264</v>
      </c>
      <c r="I194" s="22">
        <v>259.6995</v>
      </c>
      <c r="J194" s="22">
        <v>271.30259999999998</v>
      </c>
      <c r="K194" s="22">
        <v>277.29303792999997</v>
      </c>
      <c r="L194" s="22">
        <v>276.11687358</v>
      </c>
      <c r="M194" s="22">
        <v>271.47255057000001</v>
      </c>
      <c r="N194" s="22">
        <v>282.05339351999999</v>
      </c>
      <c r="O194" s="22">
        <v>272.18531811000003</v>
      </c>
      <c r="P194" s="22">
        <v>277.60119082</v>
      </c>
    </row>
    <row r="195" spans="1:16" x14ac:dyDescent="0.3">
      <c r="A195" s="11" t="s">
        <v>937</v>
      </c>
      <c r="B195" s="11" t="s">
        <v>936</v>
      </c>
      <c r="C195" s="22">
        <v>233</v>
      </c>
      <c r="D195" s="22">
        <v>236.2218</v>
      </c>
      <c r="E195" s="22">
        <v>217</v>
      </c>
      <c r="F195" s="22">
        <v>213</v>
      </c>
      <c r="G195" s="22">
        <v>214</v>
      </c>
      <c r="H195" s="22">
        <v>212</v>
      </c>
      <c r="I195" s="22">
        <v>210.3133</v>
      </c>
      <c r="J195" s="22">
        <v>223</v>
      </c>
      <c r="K195" s="22">
        <v>226.68594143999999</v>
      </c>
      <c r="L195" s="22">
        <v>227.37253157000001</v>
      </c>
      <c r="M195" s="22">
        <v>222.53026435999999</v>
      </c>
      <c r="N195" s="22">
        <v>233.47833935</v>
      </c>
      <c r="O195" s="22">
        <v>225.25805761000001</v>
      </c>
      <c r="P195" s="22">
        <v>230.94623071000001</v>
      </c>
    </row>
    <row r="196" spans="1:16" x14ac:dyDescent="0.3">
      <c r="A196" s="11" t="s">
        <v>935</v>
      </c>
      <c r="B196" s="11" t="s">
        <v>934</v>
      </c>
      <c r="C196" s="36">
        <v>-0.1628</v>
      </c>
      <c r="D196" s="36">
        <v>-0.16270000000000001</v>
      </c>
      <c r="E196" s="36">
        <v>-0.15110000000000001</v>
      </c>
      <c r="F196" s="36">
        <v>-0.1454</v>
      </c>
      <c r="G196" s="36">
        <v>-0.1462</v>
      </c>
      <c r="H196" s="36">
        <v>-0.14269999999999999</v>
      </c>
      <c r="I196" s="36">
        <v>-0.14898500000000001</v>
      </c>
      <c r="J196" s="36">
        <v>-0.15490300000000001</v>
      </c>
      <c r="K196" s="36">
        <v>-0.1551527</v>
      </c>
      <c r="L196" s="36">
        <v>-0.15281942000000001</v>
      </c>
      <c r="M196" s="36">
        <v>-0.1510666</v>
      </c>
      <c r="N196" s="36">
        <v>-0.15534597</v>
      </c>
      <c r="O196" s="36">
        <v>-0.15469029000000001</v>
      </c>
      <c r="P196" s="36">
        <v>-0.15700856999999999</v>
      </c>
    </row>
    <row r="197" spans="1:16" x14ac:dyDescent="0.3">
      <c r="A197" s="11" t="s">
        <v>933</v>
      </c>
      <c r="B197" s="11" t="s">
        <v>932</v>
      </c>
      <c r="C197" s="22">
        <v>3040</v>
      </c>
      <c r="D197" s="22">
        <v>3040.2217000000001</v>
      </c>
      <c r="E197" s="22">
        <v>2901</v>
      </c>
      <c r="F197" s="22">
        <v>2929</v>
      </c>
      <c r="G197" s="22">
        <v>2960</v>
      </c>
      <c r="H197" s="22">
        <v>2907</v>
      </c>
      <c r="I197" s="22">
        <v>3031.6044000000002</v>
      </c>
      <c r="J197" s="22">
        <v>3121.8051</v>
      </c>
      <c r="K197" s="22">
        <v>3147.5917281699999</v>
      </c>
      <c r="L197" s="22">
        <v>3151.1620935400001</v>
      </c>
      <c r="M197" s="22">
        <v>3116.8876031499999</v>
      </c>
      <c r="N197" s="22">
        <v>3177.89646064</v>
      </c>
      <c r="O197" s="22">
        <v>3171.77029034</v>
      </c>
      <c r="P197" s="22">
        <v>3210.34005256</v>
      </c>
    </row>
    <row r="198" spans="1:16" x14ac:dyDescent="0.3">
      <c r="A198" s="11" t="s">
        <v>931</v>
      </c>
      <c r="B198" s="11" t="s">
        <v>930</v>
      </c>
      <c r="C198" s="22">
        <v>14</v>
      </c>
      <c r="D198" s="22">
        <v>14.18</v>
      </c>
      <c r="E198" s="22">
        <v>14</v>
      </c>
      <c r="F198" s="22">
        <v>25</v>
      </c>
      <c r="G198" s="22">
        <v>24</v>
      </c>
      <c r="H198" s="22">
        <v>24</v>
      </c>
      <c r="I198" s="22">
        <v>22.653500000000001</v>
      </c>
      <c r="J198" s="22">
        <v>22.197500000000002</v>
      </c>
      <c r="K198" s="22">
        <v>22.709517420000001</v>
      </c>
      <c r="L198" s="22">
        <v>21.88922578</v>
      </c>
      <c r="M198" s="22">
        <v>21.514063490000002</v>
      </c>
      <c r="N198" s="22">
        <v>20.823443659999999</v>
      </c>
      <c r="O198" s="22">
        <v>19.83890676</v>
      </c>
      <c r="P198" s="22">
        <v>19.566606369999999</v>
      </c>
    </row>
    <row r="199" spans="1:16" x14ac:dyDescent="0.3">
      <c r="A199" s="11" t="s">
        <v>929</v>
      </c>
      <c r="B199" s="11" t="s">
        <v>928</v>
      </c>
      <c r="C199" s="22">
        <v>29</v>
      </c>
      <c r="D199" s="22">
        <v>29.233000000000001</v>
      </c>
      <c r="E199" s="22">
        <v>30</v>
      </c>
      <c r="F199" s="22">
        <v>29</v>
      </c>
      <c r="G199" s="22">
        <v>28</v>
      </c>
      <c r="H199" s="22">
        <v>28</v>
      </c>
      <c r="I199" s="22">
        <v>26.732700000000001</v>
      </c>
      <c r="J199" s="22">
        <v>26.1051</v>
      </c>
      <c r="K199" s="22">
        <v>27.897579069999999</v>
      </c>
      <c r="L199" s="22">
        <v>26.85511623</v>
      </c>
      <c r="M199" s="22">
        <v>27.428222720000001</v>
      </c>
      <c r="N199" s="22">
        <v>27.751610509999999</v>
      </c>
      <c r="O199" s="22">
        <v>27.088353739999999</v>
      </c>
      <c r="P199" s="22">
        <v>27.088353739999999</v>
      </c>
    </row>
    <row r="200" spans="1:16" x14ac:dyDescent="0.3">
      <c r="A200" s="11" t="s">
        <v>927</v>
      </c>
      <c r="B200" s="11" t="s">
        <v>585</v>
      </c>
      <c r="C200" s="31">
        <v>3183</v>
      </c>
      <c r="D200" s="31">
        <v>3222.6666</v>
      </c>
      <c r="E200" s="31">
        <v>3016</v>
      </c>
      <c r="F200" s="31">
        <v>3037</v>
      </c>
      <c r="G200" s="31">
        <v>3044</v>
      </c>
      <c r="H200" s="23">
        <v>2995</v>
      </c>
      <c r="I200" s="23">
        <v>3021.07</v>
      </c>
      <c r="J200" s="23">
        <v>3134.1788000000001</v>
      </c>
      <c r="K200" s="23">
        <v>3219.024888961445</v>
      </c>
      <c r="L200" s="23">
        <v>3244.274697326211</v>
      </c>
      <c r="M200" s="23">
        <v>3205.7523980626902</v>
      </c>
      <c r="N200" s="23">
        <v>3254.6156045058306</v>
      </c>
      <c r="O200" s="23">
        <v>3126.5353392367469</v>
      </c>
      <c r="P200" s="23">
        <v>3236.116528675102</v>
      </c>
    </row>
    <row r="201" spans="1:16" x14ac:dyDescent="0.3">
      <c r="A201" s="11" t="s">
        <v>926</v>
      </c>
      <c r="B201" s="11" t="s">
        <v>583</v>
      </c>
      <c r="C201" s="31">
        <v>2417</v>
      </c>
      <c r="D201" s="31">
        <v>2447.1918999999998</v>
      </c>
      <c r="E201" s="31">
        <v>2221</v>
      </c>
      <c r="F201" s="31">
        <v>2023</v>
      </c>
      <c r="G201" s="31">
        <v>2052</v>
      </c>
      <c r="H201" s="23">
        <v>1989</v>
      </c>
      <c r="I201" s="23">
        <v>2071.8420000000001</v>
      </c>
      <c r="J201" s="23">
        <v>2195.1125999999999</v>
      </c>
      <c r="K201" s="23">
        <v>2242.9144151094733</v>
      </c>
      <c r="L201" s="23">
        <v>2296.1490451380923</v>
      </c>
      <c r="M201" s="23">
        <v>2237.4981743523858</v>
      </c>
      <c r="N201" s="23">
        <v>2289.9941646089937</v>
      </c>
      <c r="O201" s="23">
        <v>2189.9472405446213</v>
      </c>
      <c r="P201" s="23">
        <v>2296.3627642650026</v>
      </c>
    </row>
    <row r="202" spans="1:16" x14ac:dyDescent="0.3">
      <c r="A202" s="11" t="s">
        <v>925</v>
      </c>
      <c r="B202" s="11" t="s">
        <v>581</v>
      </c>
      <c r="C202" s="31">
        <v>242</v>
      </c>
      <c r="D202" s="31">
        <v>245.5719</v>
      </c>
      <c r="E202" s="31">
        <v>245</v>
      </c>
      <c r="F202" s="31">
        <v>472</v>
      </c>
      <c r="G202" s="31">
        <v>461</v>
      </c>
      <c r="H202" s="23">
        <v>468</v>
      </c>
      <c r="I202" s="23">
        <v>434.495</v>
      </c>
      <c r="J202" s="23">
        <v>435.2937</v>
      </c>
      <c r="K202" s="23">
        <v>436.89286197934416</v>
      </c>
      <c r="L202" s="23">
        <v>423.54929418759275</v>
      </c>
      <c r="M202" s="23">
        <v>424.60055433505477</v>
      </c>
      <c r="N202" s="23">
        <v>411.20177001104457</v>
      </c>
      <c r="O202" s="23">
        <v>393.97026230162373</v>
      </c>
      <c r="P202" s="23">
        <v>392.23328683803993</v>
      </c>
    </row>
    <row r="203" spans="1:16" x14ac:dyDescent="0.3">
      <c r="A203" s="11" t="s">
        <v>924</v>
      </c>
      <c r="B203" s="11" t="s">
        <v>579</v>
      </c>
      <c r="C203" s="31">
        <v>523</v>
      </c>
      <c r="D203" s="31">
        <v>529.90290000000005</v>
      </c>
      <c r="E203" s="31">
        <v>549</v>
      </c>
      <c r="F203" s="31">
        <v>542</v>
      </c>
      <c r="G203" s="31">
        <v>530</v>
      </c>
      <c r="H203" s="23">
        <v>539</v>
      </c>
      <c r="I203" s="23">
        <v>514.73299999999995</v>
      </c>
      <c r="J203" s="23">
        <v>503.77249999999998</v>
      </c>
      <c r="K203" s="23">
        <v>539.21761187262746</v>
      </c>
      <c r="L203" s="23">
        <v>524.57635800052594</v>
      </c>
      <c r="M203" s="23">
        <v>543.65366937524959</v>
      </c>
      <c r="N203" s="23">
        <v>553.41966988579225</v>
      </c>
      <c r="O203" s="23">
        <v>542.61783639050191</v>
      </c>
      <c r="P203" s="23">
        <v>547.52047757205946</v>
      </c>
    </row>
    <row r="204" spans="1:16" x14ac:dyDescent="0.3">
      <c r="A204" s="11" t="s">
        <v>923</v>
      </c>
      <c r="B204" s="11" t="s">
        <v>577</v>
      </c>
      <c r="C204" s="31">
        <v>3700</v>
      </c>
      <c r="D204" s="31">
        <v>4000</v>
      </c>
      <c r="E204" s="31">
        <v>3800</v>
      </c>
      <c r="F204" s="31">
        <v>4300</v>
      </c>
      <c r="G204" s="31">
        <v>4400</v>
      </c>
      <c r="H204" s="23">
        <v>4700</v>
      </c>
      <c r="I204" s="23">
        <v>3500</v>
      </c>
      <c r="J204" s="23">
        <v>3900</v>
      </c>
      <c r="K204" s="23">
        <v>4300</v>
      </c>
      <c r="L204" s="23">
        <v>4500</v>
      </c>
      <c r="M204" s="23">
        <v>4700</v>
      </c>
      <c r="N204" s="23">
        <v>5200</v>
      </c>
      <c r="O204" s="23">
        <v>4400</v>
      </c>
      <c r="P204" s="23">
        <v>4700</v>
      </c>
    </row>
    <row r="205" spans="1:16" x14ac:dyDescent="0.3">
      <c r="A205" s="11" t="s">
        <v>922</v>
      </c>
      <c r="B205" s="11" t="s">
        <v>575</v>
      </c>
      <c r="C205" s="23">
        <v>30971.66</v>
      </c>
      <c r="D205" s="23">
        <v>33397.412799999998</v>
      </c>
      <c r="E205" s="23">
        <v>32123.06</v>
      </c>
      <c r="F205" s="23">
        <v>35870.61</v>
      </c>
      <c r="G205" s="23">
        <v>37033.5</v>
      </c>
      <c r="H205" s="23">
        <v>39409</v>
      </c>
      <c r="I205" s="23">
        <v>29645.135600000001</v>
      </c>
      <c r="J205" s="23">
        <v>33094.434000000001</v>
      </c>
      <c r="K205" s="23">
        <v>36309.890068900015</v>
      </c>
      <c r="L205" s="23">
        <v>37823.523780366668</v>
      </c>
      <c r="M205" s="23">
        <v>39240.878310133354</v>
      </c>
      <c r="N205" s="23">
        <v>43410.956852200005</v>
      </c>
      <c r="O205" s="23">
        <v>36819.381995633332</v>
      </c>
      <c r="P205" s="23">
        <v>39287.771601462533</v>
      </c>
    </row>
    <row r="206" spans="1:16" x14ac:dyDescent="0.3">
      <c r="A206" s="18">
        <v>10206</v>
      </c>
      <c r="B206" s="11" t="s">
        <v>921</v>
      </c>
      <c r="C206" s="23">
        <v>0</v>
      </c>
      <c r="D206" s="23">
        <v>0</v>
      </c>
      <c r="E206" s="23">
        <v>0</v>
      </c>
      <c r="F206" s="23">
        <v>0</v>
      </c>
      <c r="G206" s="23">
        <v>0</v>
      </c>
      <c r="H206" s="23">
        <v>300</v>
      </c>
      <c r="I206" s="23">
        <v>0</v>
      </c>
      <c r="J206" s="23">
        <v>0</v>
      </c>
      <c r="K206" s="23">
        <v>0</v>
      </c>
      <c r="L206" s="23">
        <v>0</v>
      </c>
      <c r="M206" s="23">
        <v>0</v>
      </c>
      <c r="N206" s="23">
        <v>0</v>
      </c>
      <c r="O206" s="23">
        <v>0</v>
      </c>
      <c r="P206" s="23">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96"/>
  <sheetViews>
    <sheetView zoomScaleNormal="100" workbookViewId="0">
      <pane xSplit="2" ySplit="2" topLeftCell="L83" activePane="bottomRight" state="frozen"/>
      <selection activeCell="I21" sqref="I21"/>
      <selection pane="topRight" activeCell="I21" sqref="I21"/>
      <selection pane="bottomLeft" activeCell="I21" sqref="I21"/>
      <selection pane="bottomRight" activeCell="L149" sqref="L149"/>
    </sheetView>
  </sheetViews>
  <sheetFormatPr baseColWidth="10" defaultColWidth="8.5546875" defaultRowHeight="14.4" x14ac:dyDescent="0.3"/>
  <cols>
    <col min="2" max="2" width="37.77734375" customWidth="1"/>
    <col min="3" max="7" width="13.5546875" style="5" customWidth="1"/>
    <col min="8" max="16" width="13.5546875" customWidth="1"/>
  </cols>
  <sheetData>
    <row r="1" spans="1:16"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t="s">
        <v>1377</v>
      </c>
      <c r="B3" s="11" t="s">
        <v>304</v>
      </c>
      <c r="C3" s="31">
        <v>12.8</v>
      </c>
      <c r="D3" s="31">
        <v>12.8</v>
      </c>
      <c r="E3" s="31">
        <v>12.9</v>
      </c>
      <c r="F3" s="31">
        <v>12.7</v>
      </c>
      <c r="G3" s="31">
        <v>13.3</v>
      </c>
      <c r="H3" s="31">
        <v>13.5</v>
      </c>
      <c r="I3" s="31">
        <v>13.7066</v>
      </c>
      <c r="J3" s="31">
        <v>14.1951692</v>
      </c>
      <c r="K3" s="31">
        <v>14.7262536</v>
      </c>
      <c r="L3" s="31">
        <v>14.8766102</v>
      </c>
      <c r="M3" s="31">
        <v>14.8951709</v>
      </c>
      <c r="N3" s="31">
        <v>15.260131100000001</v>
      </c>
      <c r="O3" s="31">
        <v>14.8850175</v>
      </c>
      <c r="P3" s="31">
        <v>14.817048440601701</v>
      </c>
    </row>
    <row r="4" spans="1:16" x14ac:dyDescent="0.3">
      <c r="A4" s="11" t="s">
        <v>1376</v>
      </c>
      <c r="B4" s="11" t="s">
        <v>917</v>
      </c>
      <c r="C4" s="31">
        <v>1.6</v>
      </c>
      <c r="D4" s="31">
        <v>1.6</v>
      </c>
      <c r="E4" s="31">
        <v>1.6</v>
      </c>
      <c r="F4" s="31">
        <v>1.6</v>
      </c>
      <c r="G4" s="31">
        <v>1.7</v>
      </c>
      <c r="H4" s="23">
        <v>1.7</v>
      </c>
      <c r="I4" s="23">
        <v>1.7133</v>
      </c>
      <c r="J4" s="23">
        <v>1.7743960999999999</v>
      </c>
      <c r="K4" s="23">
        <v>1.8407817</v>
      </c>
      <c r="L4" s="23">
        <v>1.8595763000000001</v>
      </c>
      <c r="M4" s="23">
        <v>1.8618964</v>
      </c>
      <c r="N4" s="23">
        <v>1.9075164</v>
      </c>
      <c r="O4" s="23">
        <v>1.8606271999999999</v>
      </c>
      <c r="P4" s="23">
        <v>1.8521310550752199</v>
      </c>
    </row>
    <row r="5" spans="1:16" x14ac:dyDescent="0.3">
      <c r="A5" s="11" t="s">
        <v>1375</v>
      </c>
      <c r="B5" s="11" t="s">
        <v>915</v>
      </c>
      <c r="C5" s="31">
        <v>15.8</v>
      </c>
      <c r="D5" s="31">
        <v>15.8</v>
      </c>
      <c r="E5" s="31">
        <v>16.100000000000001</v>
      </c>
      <c r="F5" s="31">
        <v>16.100000000000001</v>
      </c>
      <c r="G5" s="31">
        <v>16.399999999999999</v>
      </c>
      <c r="H5" s="31">
        <v>16.8</v>
      </c>
      <c r="I5" s="31">
        <v>17.202999999999999</v>
      </c>
      <c r="J5" s="31">
        <v>17.482686099999999</v>
      </c>
      <c r="K5" s="31">
        <v>18.246260500000002</v>
      </c>
      <c r="L5" s="31">
        <v>18.6162615</v>
      </c>
      <c r="M5" s="31">
        <v>18.734308800000001</v>
      </c>
      <c r="N5" s="31">
        <v>19.312326599999999</v>
      </c>
      <c r="O5" s="31">
        <v>19.306187999999999</v>
      </c>
      <c r="P5" s="31">
        <v>19.276842551057101</v>
      </c>
    </row>
    <row r="6" spans="1:16" x14ac:dyDescent="0.3">
      <c r="A6" s="11" t="s">
        <v>1374</v>
      </c>
      <c r="B6" s="11" t="s">
        <v>913</v>
      </c>
      <c r="C6" s="31">
        <v>1.6</v>
      </c>
      <c r="D6" s="31">
        <v>1.6</v>
      </c>
      <c r="E6" s="31">
        <v>1.6</v>
      </c>
      <c r="F6" s="31">
        <v>1.6</v>
      </c>
      <c r="G6" s="31">
        <v>1.7</v>
      </c>
      <c r="H6" s="31">
        <v>1.7</v>
      </c>
      <c r="I6" s="31">
        <v>1.7118</v>
      </c>
      <c r="J6" s="31">
        <v>1.7743580999999999</v>
      </c>
      <c r="K6" s="31">
        <v>1.8407458999999999</v>
      </c>
      <c r="L6" s="31">
        <v>1.8595051</v>
      </c>
      <c r="M6" s="31">
        <v>1.861864</v>
      </c>
      <c r="N6" s="31">
        <v>1.9074742</v>
      </c>
      <c r="O6" s="31">
        <v>1.8605862</v>
      </c>
      <c r="P6" s="31">
        <v>1.8520908692367699</v>
      </c>
    </row>
    <row r="7" spans="1:16" x14ac:dyDescent="0.3">
      <c r="A7" s="11" t="s">
        <v>1373</v>
      </c>
      <c r="B7" s="11" t="s">
        <v>911</v>
      </c>
      <c r="C7" s="31">
        <v>12.8</v>
      </c>
      <c r="D7" s="31">
        <v>12.8</v>
      </c>
      <c r="E7" s="31">
        <v>12.9</v>
      </c>
      <c r="F7" s="31">
        <v>12.7</v>
      </c>
      <c r="G7" s="31">
        <v>13.3</v>
      </c>
      <c r="H7" s="31">
        <v>13.5</v>
      </c>
      <c r="I7" s="31">
        <v>13.694699999999999</v>
      </c>
      <c r="J7" s="31">
        <v>14.194865200000001</v>
      </c>
      <c r="K7" s="31">
        <v>14.725967000000001</v>
      </c>
      <c r="L7" s="31">
        <v>14.8760406</v>
      </c>
      <c r="M7" s="31">
        <v>14.8949119</v>
      </c>
      <c r="N7" s="31">
        <v>15.259793800000001</v>
      </c>
      <c r="O7" s="31">
        <v>14.8846893</v>
      </c>
      <c r="P7" s="31">
        <v>14.8167269538942</v>
      </c>
    </row>
    <row r="8" spans="1:16" x14ac:dyDescent="0.3">
      <c r="A8" s="11" t="s">
        <v>1372</v>
      </c>
      <c r="B8" s="11" t="s">
        <v>909</v>
      </c>
      <c r="C8" s="31">
        <v>12.8</v>
      </c>
      <c r="D8" s="31">
        <v>12.8</v>
      </c>
      <c r="E8" s="31">
        <v>12.9</v>
      </c>
      <c r="F8" s="31">
        <v>12.7</v>
      </c>
      <c r="G8" s="31">
        <v>13.3</v>
      </c>
      <c r="H8" s="31">
        <v>13.5</v>
      </c>
      <c r="I8" s="31">
        <v>13.694699999999999</v>
      </c>
      <c r="J8" s="31">
        <v>14.194865200000001</v>
      </c>
      <c r="K8" s="31">
        <v>14.725967000000001</v>
      </c>
      <c r="L8" s="31">
        <v>14.8760406</v>
      </c>
      <c r="M8" s="31">
        <v>14.8949119</v>
      </c>
      <c r="N8" s="31">
        <v>15.259793800000001</v>
      </c>
      <c r="O8" s="31">
        <v>14.8846893</v>
      </c>
      <c r="P8" s="31">
        <v>14.8167269538942</v>
      </c>
    </row>
    <row r="9" spans="1:16" x14ac:dyDescent="0.3">
      <c r="A9" s="11" t="s">
        <v>1371</v>
      </c>
      <c r="B9" s="11" t="s">
        <v>907</v>
      </c>
      <c r="C9" s="31">
        <v>4.5</v>
      </c>
      <c r="D9" s="31">
        <v>4.5</v>
      </c>
      <c r="E9" s="31">
        <v>4.5</v>
      </c>
      <c r="F9" s="31">
        <v>4.5</v>
      </c>
      <c r="G9" s="31">
        <v>4.5</v>
      </c>
      <c r="H9" s="31">
        <v>4.5</v>
      </c>
      <c r="I9" s="31">
        <v>4.5</v>
      </c>
      <c r="J9" s="31">
        <v>4.5</v>
      </c>
      <c r="K9" s="31">
        <v>4.5</v>
      </c>
      <c r="L9" s="31">
        <v>4.5</v>
      </c>
      <c r="M9" s="31">
        <v>4.5</v>
      </c>
      <c r="N9" s="31">
        <v>4.5</v>
      </c>
      <c r="O9" s="31">
        <v>4.5</v>
      </c>
      <c r="P9" s="31">
        <v>4.5</v>
      </c>
    </row>
    <row r="10" spans="1:16" x14ac:dyDescent="0.3">
      <c r="A10" s="11" t="s">
        <v>1370</v>
      </c>
      <c r="B10" s="11" t="s">
        <v>905</v>
      </c>
      <c r="C10" s="31">
        <v>5.8</v>
      </c>
      <c r="D10" s="31">
        <v>5.8</v>
      </c>
      <c r="E10" s="31">
        <v>5.9</v>
      </c>
      <c r="F10" s="31">
        <v>5.7</v>
      </c>
      <c r="G10" s="31">
        <v>6.3</v>
      </c>
      <c r="H10" s="31">
        <v>6.5</v>
      </c>
      <c r="I10" s="31">
        <v>6.6947000000000001</v>
      </c>
      <c r="J10" s="31">
        <v>7.1948651999999997</v>
      </c>
      <c r="K10" s="31">
        <v>7.7259669999999998</v>
      </c>
      <c r="L10" s="31">
        <v>7.8760405999999996</v>
      </c>
      <c r="M10" s="31">
        <v>7.8949119000000003</v>
      </c>
      <c r="N10" s="31">
        <v>8.2597938000000006</v>
      </c>
      <c r="O10" s="31">
        <v>7.8846892999999998</v>
      </c>
      <c r="P10" s="31">
        <v>7.8167269538941602</v>
      </c>
    </row>
    <row r="11" spans="1:16" x14ac:dyDescent="0.3">
      <c r="A11" s="11" t="s">
        <v>1369</v>
      </c>
      <c r="B11" s="11" t="s">
        <v>903</v>
      </c>
      <c r="C11" s="31">
        <v>2.5</v>
      </c>
      <c r="D11" s="31">
        <v>2.5</v>
      </c>
      <c r="E11" s="31">
        <v>2.5</v>
      </c>
      <c r="F11" s="31">
        <v>2.5</v>
      </c>
      <c r="G11" s="31">
        <v>2.5</v>
      </c>
      <c r="H11" s="31">
        <v>2.5</v>
      </c>
      <c r="I11" s="31">
        <v>2.5</v>
      </c>
      <c r="J11" s="31">
        <v>2.5</v>
      </c>
      <c r="K11" s="31">
        <v>2.5</v>
      </c>
      <c r="L11" s="31">
        <v>2.5</v>
      </c>
      <c r="M11" s="31">
        <v>2.5</v>
      </c>
      <c r="N11" s="31">
        <v>2.5</v>
      </c>
      <c r="O11" s="31">
        <v>2.5</v>
      </c>
      <c r="P11" s="31">
        <v>2.4999999875943302</v>
      </c>
    </row>
    <row r="12" spans="1:16" x14ac:dyDescent="0.3">
      <c r="A12" s="11" t="s">
        <v>1368</v>
      </c>
      <c r="B12" s="11" t="s">
        <v>901</v>
      </c>
      <c r="C12" s="31">
        <v>0.6</v>
      </c>
      <c r="D12" s="31">
        <v>0.6</v>
      </c>
      <c r="E12" s="31">
        <v>0.6</v>
      </c>
      <c r="F12" s="31">
        <v>0.6</v>
      </c>
      <c r="G12" s="31">
        <v>0.6</v>
      </c>
      <c r="H12" s="31">
        <v>0.6</v>
      </c>
      <c r="I12" s="31">
        <v>0.58420000000000005</v>
      </c>
      <c r="J12" s="31">
        <v>0.56358410000000003</v>
      </c>
      <c r="K12" s="31">
        <v>0.54325800000000002</v>
      </c>
      <c r="L12" s="31">
        <v>0.53777750000000002</v>
      </c>
      <c r="M12" s="31">
        <v>0.53709620000000002</v>
      </c>
      <c r="N12" s="31">
        <v>0.52425350000000004</v>
      </c>
      <c r="O12" s="31">
        <v>0.53746499999999997</v>
      </c>
      <c r="P12" s="31">
        <v>0.53993031152520699</v>
      </c>
    </row>
    <row r="13" spans="1:16" x14ac:dyDescent="0.3">
      <c r="A13" s="11" t="s">
        <v>1367</v>
      </c>
      <c r="B13" s="11" t="s">
        <v>899</v>
      </c>
      <c r="C13" s="31">
        <v>1037.5899999999999</v>
      </c>
      <c r="D13" s="31">
        <v>1037.5899999999999</v>
      </c>
      <c r="E13" s="31">
        <v>1026.45</v>
      </c>
      <c r="F13" s="31">
        <v>1113.42</v>
      </c>
      <c r="G13" s="31">
        <v>984.91</v>
      </c>
      <c r="H13" s="31">
        <v>751.8</v>
      </c>
      <c r="I13" s="31">
        <v>669.42619999999999</v>
      </c>
      <c r="J13" s="31">
        <v>26315.871086700001</v>
      </c>
      <c r="K13" s="31">
        <v>27910.766669699999</v>
      </c>
      <c r="L13" s="31">
        <v>14043.3308198</v>
      </c>
      <c r="M13" s="31">
        <v>30886.6233651</v>
      </c>
      <c r="N13" s="31">
        <v>23712.563228499999</v>
      </c>
      <c r="O13" s="31">
        <v>24377.342309600001</v>
      </c>
      <c r="P13" s="31">
        <v>24884.388098571999</v>
      </c>
    </row>
    <row r="14" spans="1:16" x14ac:dyDescent="0.3">
      <c r="A14" s="11" t="s">
        <v>1366</v>
      </c>
      <c r="B14" s="11" t="s">
        <v>897</v>
      </c>
      <c r="C14" s="23"/>
      <c r="D14" s="23"/>
      <c r="E14" s="23"/>
      <c r="F14" s="23"/>
      <c r="G14" s="23"/>
      <c r="H14" s="23"/>
      <c r="I14" s="23"/>
      <c r="J14" s="23"/>
      <c r="K14" s="23"/>
      <c r="L14" s="23"/>
      <c r="M14" s="23"/>
      <c r="N14" s="23"/>
      <c r="O14" s="23"/>
      <c r="P14" s="23"/>
    </row>
    <row r="15" spans="1:16" x14ac:dyDescent="0.3">
      <c r="A15" s="11" t="s">
        <v>1365</v>
      </c>
      <c r="B15" s="11" t="s">
        <v>895</v>
      </c>
      <c r="C15" s="23"/>
      <c r="D15" s="23"/>
      <c r="E15" s="23"/>
      <c r="F15" s="23"/>
      <c r="G15" s="23"/>
      <c r="H15" s="31"/>
      <c r="I15" s="31"/>
      <c r="J15" s="31"/>
      <c r="K15" s="31"/>
      <c r="L15" s="31"/>
      <c r="M15" s="31"/>
      <c r="N15" s="31"/>
      <c r="O15" s="31"/>
      <c r="P15" s="31"/>
    </row>
    <row r="16" spans="1:16" x14ac:dyDescent="0.3">
      <c r="A16" s="11" t="s">
        <v>1364</v>
      </c>
      <c r="B16" s="11" t="s">
        <v>893</v>
      </c>
      <c r="C16" s="23">
        <v>0</v>
      </c>
      <c r="D16" s="23">
        <v>0</v>
      </c>
      <c r="E16" s="23">
        <v>0</v>
      </c>
      <c r="F16" s="23">
        <v>0</v>
      </c>
      <c r="G16" s="23">
        <v>0</v>
      </c>
      <c r="H16" s="31"/>
      <c r="I16" s="31">
        <v>0</v>
      </c>
      <c r="J16" s="31">
        <v>0</v>
      </c>
      <c r="K16" s="31"/>
      <c r="L16" s="31"/>
      <c r="M16" s="31"/>
      <c r="N16" s="31"/>
      <c r="O16" s="31"/>
      <c r="P16" s="31"/>
    </row>
    <row r="17" spans="1:16" x14ac:dyDescent="0.3">
      <c r="A17" s="11" t="s">
        <v>1363</v>
      </c>
      <c r="B17" s="11" t="s">
        <v>891</v>
      </c>
      <c r="C17" s="23">
        <v>0</v>
      </c>
      <c r="D17" s="23">
        <v>0</v>
      </c>
      <c r="E17" s="23">
        <v>0</v>
      </c>
      <c r="F17" s="23">
        <v>0</v>
      </c>
      <c r="G17" s="23">
        <v>0</v>
      </c>
      <c r="H17" s="31">
        <v>0</v>
      </c>
      <c r="I17" s="31">
        <v>0</v>
      </c>
      <c r="J17" s="31">
        <v>0</v>
      </c>
      <c r="K17" s="31">
        <v>2.9000000000000002E-6</v>
      </c>
      <c r="L17" s="31">
        <v>5.6999999999999996E-6</v>
      </c>
      <c r="M17" s="31">
        <v>2.6000000000000001E-6</v>
      </c>
      <c r="N17" s="31">
        <v>3.4000000000000001E-6</v>
      </c>
      <c r="O17" s="31">
        <v>3.3000000000000002E-6</v>
      </c>
      <c r="P17" s="31">
        <v>0</v>
      </c>
    </row>
    <row r="18" spans="1:16" x14ac:dyDescent="0.3">
      <c r="A18" s="16" t="s">
        <v>1362</v>
      </c>
      <c r="B18" s="16" t="s">
        <v>889</v>
      </c>
      <c r="C18" s="32"/>
      <c r="D18" s="32"/>
      <c r="E18" s="32"/>
      <c r="F18" s="32"/>
      <c r="G18" s="32"/>
      <c r="H18" s="32"/>
      <c r="I18" s="32"/>
      <c r="J18" s="32"/>
      <c r="K18" s="32"/>
      <c r="L18" s="32"/>
      <c r="M18" s="32"/>
      <c r="N18" s="32"/>
      <c r="O18" s="32"/>
      <c r="P18" s="32"/>
    </row>
    <row r="19" spans="1:16" x14ac:dyDescent="0.3">
      <c r="A19" s="11" t="s">
        <v>1361</v>
      </c>
      <c r="B19" s="11" t="s">
        <v>300</v>
      </c>
      <c r="C19" s="31">
        <v>4241</v>
      </c>
      <c r="D19" s="31">
        <v>4241</v>
      </c>
      <c r="E19" s="31">
        <v>4338</v>
      </c>
      <c r="F19" s="31">
        <v>4380</v>
      </c>
      <c r="G19" s="31">
        <v>4481</v>
      </c>
      <c r="H19" s="31">
        <v>4550</v>
      </c>
      <c r="I19" s="31">
        <v>4720.1513999999997</v>
      </c>
      <c r="J19" s="31">
        <v>4812.4107409999997</v>
      </c>
      <c r="K19" s="31">
        <v>4896.3907657999998</v>
      </c>
      <c r="L19" s="31">
        <v>4987.2181922</v>
      </c>
      <c r="M19" s="31">
        <v>5056.1912754000004</v>
      </c>
      <c r="N19" s="31">
        <v>5176.8141931999999</v>
      </c>
      <c r="O19" s="31">
        <v>5225.3246170000002</v>
      </c>
      <c r="P19" s="31">
        <v>5309.6443504784402</v>
      </c>
    </row>
    <row r="20" spans="1:16" x14ac:dyDescent="0.3">
      <c r="A20" s="11" t="s">
        <v>1360</v>
      </c>
      <c r="B20" s="11" t="s">
        <v>298</v>
      </c>
      <c r="C20" s="31">
        <v>4238</v>
      </c>
      <c r="D20" s="31">
        <v>4238</v>
      </c>
      <c r="E20" s="31">
        <v>4336</v>
      </c>
      <c r="F20" s="31">
        <v>4378</v>
      </c>
      <c r="G20" s="31">
        <v>4478</v>
      </c>
      <c r="H20" s="31">
        <v>4546</v>
      </c>
      <c r="I20" s="31">
        <v>4716.0360000000001</v>
      </c>
      <c r="J20" s="31">
        <v>4812.3076799999999</v>
      </c>
      <c r="K20" s="31">
        <v>4896.2954638000001</v>
      </c>
      <c r="L20" s="31">
        <v>4987.0272181999999</v>
      </c>
      <c r="M20" s="31">
        <v>5056.1033533999998</v>
      </c>
      <c r="N20" s="31">
        <v>5176.6997431999998</v>
      </c>
      <c r="O20" s="31">
        <v>5225.2094129999996</v>
      </c>
      <c r="P20" s="31">
        <v>5309.5291466922399</v>
      </c>
    </row>
    <row r="21" spans="1:16" x14ac:dyDescent="0.3">
      <c r="A21" s="11" t="s">
        <v>1359</v>
      </c>
      <c r="B21" s="11" t="s">
        <v>885</v>
      </c>
      <c r="C21" s="31">
        <v>3</v>
      </c>
      <c r="D21" s="31">
        <v>3</v>
      </c>
      <c r="E21" s="31">
        <v>3</v>
      </c>
      <c r="F21" s="31">
        <v>2</v>
      </c>
      <c r="G21" s="31">
        <v>3</v>
      </c>
      <c r="H21" s="31">
        <v>4</v>
      </c>
      <c r="I21" s="31">
        <v>4.1154000000000002</v>
      </c>
      <c r="J21" s="31">
        <v>0.103061</v>
      </c>
      <c r="K21" s="31">
        <v>9.5301999999999998E-2</v>
      </c>
      <c r="L21" s="31">
        <v>0.190974</v>
      </c>
      <c r="M21" s="31">
        <v>8.7922E-2</v>
      </c>
      <c r="N21" s="31">
        <v>0.11445</v>
      </c>
      <c r="O21" s="31">
        <v>0.115204</v>
      </c>
      <c r="P21" s="31">
        <v>0.11520378620000001</v>
      </c>
    </row>
    <row r="22" spans="1:16" x14ac:dyDescent="0.3">
      <c r="A22" s="11" t="s">
        <v>1358</v>
      </c>
      <c r="B22" s="11" t="s">
        <v>883</v>
      </c>
      <c r="C22" s="31">
        <v>1584</v>
      </c>
      <c r="D22" s="31">
        <v>1584</v>
      </c>
      <c r="E22" s="31">
        <v>1645</v>
      </c>
      <c r="F22" s="31">
        <v>1626</v>
      </c>
      <c r="G22" s="31">
        <v>1785</v>
      </c>
      <c r="H22" s="31">
        <v>1859</v>
      </c>
      <c r="I22" s="31">
        <v>1965.1940999999999</v>
      </c>
      <c r="J22" s="31">
        <v>2100.2707509000002</v>
      </c>
      <c r="K22" s="31">
        <v>2236.4388806000002</v>
      </c>
      <c r="L22" s="31">
        <v>2305.3071322000001</v>
      </c>
      <c r="M22" s="31">
        <v>2340.5775758999998</v>
      </c>
      <c r="N22" s="31">
        <v>2462.9113317000001</v>
      </c>
      <c r="O22" s="31">
        <v>2416.9572736</v>
      </c>
      <c r="P22" s="31">
        <v>2442.8686242527401</v>
      </c>
    </row>
    <row r="23" spans="1:16" x14ac:dyDescent="0.3">
      <c r="A23" s="11" t="s">
        <v>1357</v>
      </c>
      <c r="B23" s="11" t="s">
        <v>122</v>
      </c>
      <c r="C23" s="31">
        <v>976</v>
      </c>
      <c r="D23" s="31">
        <v>976</v>
      </c>
      <c r="E23" s="31">
        <v>976</v>
      </c>
      <c r="F23" s="31">
        <v>976</v>
      </c>
      <c r="G23" s="31">
        <v>976</v>
      </c>
      <c r="H23" s="31">
        <v>976</v>
      </c>
      <c r="I23" s="31">
        <v>976.28020000000004</v>
      </c>
      <c r="J23" s="31">
        <v>976.28016700000001</v>
      </c>
      <c r="K23" s="31">
        <v>976.28016700000001</v>
      </c>
      <c r="L23" s="31">
        <v>976.28016700000001</v>
      </c>
      <c r="M23" s="31">
        <v>976.28016700000001</v>
      </c>
      <c r="N23" s="31">
        <v>976.28016700000001</v>
      </c>
      <c r="O23" s="31">
        <v>976.28016700000001</v>
      </c>
      <c r="P23" s="31">
        <v>976.28016713</v>
      </c>
    </row>
    <row r="24" spans="1:16" x14ac:dyDescent="0.3">
      <c r="A24" s="11" t="s">
        <v>1356</v>
      </c>
      <c r="B24" s="11" t="s">
        <v>880</v>
      </c>
      <c r="C24" s="31">
        <v>976</v>
      </c>
      <c r="D24" s="31">
        <v>976</v>
      </c>
      <c r="E24" s="31">
        <v>976</v>
      </c>
      <c r="F24" s="31">
        <v>976</v>
      </c>
      <c r="G24" s="31">
        <v>976</v>
      </c>
      <c r="H24" s="31">
        <v>976</v>
      </c>
      <c r="I24" s="31">
        <v>976.28020000000004</v>
      </c>
      <c r="J24" s="31">
        <v>976.28016700000001</v>
      </c>
      <c r="K24" s="31">
        <v>976.28016700000001</v>
      </c>
      <c r="L24" s="31">
        <v>976.28016700000001</v>
      </c>
      <c r="M24" s="31">
        <v>976.28016700000001</v>
      </c>
      <c r="N24" s="31">
        <v>976.28016700000001</v>
      </c>
      <c r="O24" s="31">
        <v>976.28016700000001</v>
      </c>
      <c r="P24" s="31">
        <v>976.28016713</v>
      </c>
    </row>
    <row r="25" spans="1:16" x14ac:dyDescent="0.3">
      <c r="A25" s="11" t="s">
        <v>1355</v>
      </c>
      <c r="B25" s="11" t="s">
        <v>878</v>
      </c>
      <c r="C25" s="23">
        <v>0</v>
      </c>
      <c r="D25" s="23">
        <v>0</v>
      </c>
      <c r="E25" s="23">
        <v>0</v>
      </c>
      <c r="F25" s="23">
        <v>0</v>
      </c>
      <c r="G25" s="23">
        <v>0</v>
      </c>
      <c r="H25" s="31">
        <v>0</v>
      </c>
      <c r="I25" s="31">
        <v>0</v>
      </c>
      <c r="J25" s="31">
        <v>0</v>
      </c>
      <c r="K25" s="31">
        <v>0</v>
      </c>
      <c r="L25" s="31">
        <v>0</v>
      </c>
      <c r="M25" s="31">
        <v>0</v>
      </c>
      <c r="N25" s="31">
        <v>0</v>
      </c>
      <c r="O25" s="31">
        <v>0</v>
      </c>
      <c r="P25" s="31">
        <v>0</v>
      </c>
    </row>
    <row r="26" spans="1:16" x14ac:dyDescent="0.3">
      <c r="A26" s="11" t="s">
        <v>1354</v>
      </c>
      <c r="B26" s="11" t="s">
        <v>876</v>
      </c>
      <c r="C26" s="23">
        <v>0</v>
      </c>
      <c r="D26" s="23">
        <v>0</v>
      </c>
      <c r="E26" s="23">
        <v>0</v>
      </c>
      <c r="F26" s="23">
        <v>0</v>
      </c>
      <c r="G26" s="23">
        <v>0</v>
      </c>
      <c r="H26" s="31">
        <v>0</v>
      </c>
      <c r="I26" s="31">
        <v>0</v>
      </c>
      <c r="J26" s="31">
        <v>0</v>
      </c>
      <c r="K26" s="31">
        <v>0</v>
      </c>
      <c r="L26" s="31">
        <v>0</v>
      </c>
      <c r="M26" s="31">
        <v>0</v>
      </c>
      <c r="N26" s="31">
        <v>0</v>
      </c>
      <c r="O26" s="31">
        <v>0</v>
      </c>
      <c r="P26" s="31">
        <v>0</v>
      </c>
    </row>
    <row r="27" spans="1:16" x14ac:dyDescent="0.3">
      <c r="A27" s="11" t="s">
        <v>1353</v>
      </c>
      <c r="B27" s="11" t="s">
        <v>118</v>
      </c>
      <c r="C27" s="31">
        <v>4017</v>
      </c>
      <c r="D27" s="31">
        <v>4017</v>
      </c>
      <c r="E27" s="31">
        <v>4099</v>
      </c>
      <c r="F27" s="31">
        <v>4152</v>
      </c>
      <c r="G27" s="31">
        <v>4255</v>
      </c>
      <c r="H27" s="31">
        <v>4338</v>
      </c>
      <c r="I27" s="31">
        <v>4442.9241000000002</v>
      </c>
      <c r="J27" s="31">
        <v>4520.2050200000003</v>
      </c>
      <c r="K27" s="31">
        <v>4600.4481260000002</v>
      </c>
      <c r="L27" s="31">
        <v>4669.4515229999997</v>
      </c>
      <c r="M27" s="31">
        <v>4751.8117849999999</v>
      </c>
      <c r="N27" s="31">
        <v>4847.2711920000002</v>
      </c>
      <c r="O27" s="31">
        <v>4919.5176739999997</v>
      </c>
      <c r="P27" s="31">
        <v>4996.1719776565897</v>
      </c>
    </row>
    <row r="28" spans="1:16" x14ac:dyDescent="0.3">
      <c r="A28" s="11" t="s">
        <v>1352</v>
      </c>
      <c r="B28" s="11" t="s">
        <v>873</v>
      </c>
      <c r="C28" s="31">
        <v>3035</v>
      </c>
      <c r="D28" s="31">
        <v>3035</v>
      </c>
      <c r="E28" s="31">
        <v>3035</v>
      </c>
      <c r="F28" s="31">
        <v>3035</v>
      </c>
      <c r="G28" s="31">
        <v>3035</v>
      </c>
      <c r="H28" s="31">
        <v>3035</v>
      </c>
      <c r="I28" s="31">
        <v>4019.0862999999999</v>
      </c>
      <c r="J28" s="31">
        <v>4019.0863330000002</v>
      </c>
      <c r="K28" s="31">
        <v>4019.4965699999998</v>
      </c>
      <c r="L28" s="31">
        <v>4020.0238009999998</v>
      </c>
      <c r="M28" s="31">
        <v>4021.5436559999998</v>
      </c>
      <c r="N28" s="31">
        <v>4021.5436559999998</v>
      </c>
      <c r="O28" s="31">
        <v>4021.5436559999998</v>
      </c>
      <c r="P28" s="31">
        <v>4003.8913931000002</v>
      </c>
    </row>
    <row r="29" spans="1:16" x14ac:dyDescent="0.3">
      <c r="A29" s="11" t="s">
        <v>1351</v>
      </c>
      <c r="B29" s="11" t="s">
        <v>871</v>
      </c>
      <c r="C29" s="31">
        <v>0</v>
      </c>
      <c r="D29" s="31">
        <v>0</v>
      </c>
      <c r="E29" s="31">
        <v>984</v>
      </c>
      <c r="F29" s="31">
        <v>984</v>
      </c>
      <c r="G29" s="31">
        <v>984</v>
      </c>
      <c r="H29" s="31">
        <v>984</v>
      </c>
      <c r="I29" s="31">
        <v>0</v>
      </c>
      <c r="J29" s="31">
        <v>0</v>
      </c>
      <c r="K29" s="31">
        <v>0</v>
      </c>
      <c r="L29" s="31">
        <v>0</v>
      </c>
      <c r="M29" s="31">
        <v>0</v>
      </c>
      <c r="N29" s="31">
        <v>0</v>
      </c>
      <c r="O29" s="31">
        <v>0</v>
      </c>
      <c r="P29" s="31">
        <v>-1.1138916000000001E-9</v>
      </c>
    </row>
    <row r="30" spans="1:16" x14ac:dyDescent="0.3">
      <c r="A30" s="11" t="s">
        <v>1350</v>
      </c>
      <c r="B30" s="11" t="s">
        <v>115</v>
      </c>
      <c r="C30" s="31">
        <v>984</v>
      </c>
      <c r="D30" s="31">
        <v>984</v>
      </c>
      <c r="E30" s="31">
        <v>82</v>
      </c>
      <c r="F30" s="31">
        <v>135</v>
      </c>
      <c r="G30" s="31">
        <v>238</v>
      </c>
      <c r="H30" s="31">
        <v>322</v>
      </c>
      <c r="I30" s="31">
        <v>426.06040000000002</v>
      </c>
      <c r="J30" s="31">
        <v>500.463551</v>
      </c>
      <c r="K30" s="31">
        <v>583.13876400000004</v>
      </c>
      <c r="L30" s="31">
        <v>651.59720600000003</v>
      </c>
      <c r="M30" s="31">
        <v>732.41989000000001</v>
      </c>
      <c r="N30" s="31">
        <v>830.33542199999999</v>
      </c>
      <c r="O30" s="31">
        <v>904.99017600000002</v>
      </c>
      <c r="P30" s="31">
        <v>1001.7050135877</v>
      </c>
    </row>
    <row r="31" spans="1:16" x14ac:dyDescent="0.3">
      <c r="A31" s="11" t="s">
        <v>1349</v>
      </c>
      <c r="B31" s="11" t="s">
        <v>868</v>
      </c>
      <c r="C31" s="23">
        <v>0</v>
      </c>
      <c r="D31" s="23">
        <v>0</v>
      </c>
      <c r="E31" s="23">
        <v>0</v>
      </c>
      <c r="F31" s="23">
        <v>0</v>
      </c>
      <c r="G31" s="23">
        <v>0</v>
      </c>
      <c r="H31" s="31">
        <v>0</v>
      </c>
      <c r="I31" s="31">
        <v>0</v>
      </c>
      <c r="J31" s="31">
        <v>0</v>
      </c>
      <c r="K31" s="31">
        <v>0</v>
      </c>
      <c r="L31" s="31">
        <v>0</v>
      </c>
      <c r="M31" s="31">
        <v>0</v>
      </c>
      <c r="N31" s="31">
        <v>0</v>
      </c>
      <c r="O31" s="31">
        <v>0</v>
      </c>
      <c r="P31" s="31">
        <v>0</v>
      </c>
    </row>
    <row r="32" spans="1:16" x14ac:dyDescent="0.3">
      <c r="A32" s="11" t="s">
        <v>1348</v>
      </c>
      <c r="B32" s="11" t="s">
        <v>866</v>
      </c>
      <c r="C32" s="23">
        <v>0</v>
      </c>
      <c r="D32" s="23">
        <v>0</v>
      </c>
      <c r="E32" s="23">
        <v>0</v>
      </c>
      <c r="F32" s="23">
        <v>0</v>
      </c>
      <c r="G32" s="23">
        <v>0</v>
      </c>
      <c r="H32" s="31">
        <v>0</v>
      </c>
      <c r="I32" s="31">
        <v>0</v>
      </c>
      <c r="J32" s="31">
        <v>0</v>
      </c>
      <c r="K32" s="31">
        <v>0</v>
      </c>
      <c r="L32" s="31">
        <v>0</v>
      </c>
      <c r="M32" s="31">
        <v>0</v>
      </c>
      <c r="N32" s="31">
        <v>0</v>
      </c>
      <c r="O32" s="31">
        <v>0</v>
      </c>
      <c r="P32" s="31">
        <v>0</v>
      </c>
    </row>
    <row r="33" spans="1:16" x14ac:dyDescent="0.3">
      <c r="A33" s="11" t="s">
        <v>1347</v>
      </c>
      <c r="B33" s="11" t="s">
        <v>864</v>
      </c>
      <c r="C33" s="23">
        <v>0</v>
      </c>
      <c r="D33" s="23">
        <v>0</v>
      </c>
      <c r="E33" s="23">
        <v>0</v>
      </c>
      <c r="F33" s="23">
        <v>0</v>
      </c>
      <c r="G33" s="23">
        <v>0</v>
      </c>
      <c r="H33" s="31">
        <v>0</v>
      </c>
      <c r="I33" s="31">
        <v>0</v>
      </c>
      <c r="J33" s="31">
        <v>0</v>
      </c>
      <c r="K33" s="31">
        <v>0</v>
      </c>
      <c r="L33" s="31">
        <v>0</v>
      </c>
      <c r="M33" s="31">
        <v>0</v>
      </c>
      <c r="N33" s="31">
        <v>0</v>
      </c>
      <c r="O33" s="31">
        <v>0</v>
      </c>
      <c r="P33" s="31">
        <v>0</v>
      </c>
    </row>
    <row r="34" spans="1:16" x14ac:dyDescent="0.3">
      <c r="A34" s="11" t="s">
        <v>1346</v>
      </c>
      <c r="B34" s="11" t="s">
        <v>862</v>
      </c>
      <c r="C34" s="31">
        <v>-2</v>
      </c>
      <c r="D34" s="31">
        <v>-2</v>
      </c>
      <c r="E34" s="31">
        <v>-2</v>
      </c>
      <c r="F34" s="31">
        <v>-2</v>
      </c>
      <c r="G34" s="31">
        <v>-2</v>
      </c>
      <c r="H34" s="31">
        <v>-2</v>
      </c>
      <c r="I34" s="31">
        <v>-2.2227000000000001</v>
      </c>
      <c r="J34" s="31">
        <v>-2.2049319999999999</v>
      </c>
      <c r="K34" s="31">
        <v>-2.187208</v>
      </c>
      <c r="L34" s="31">
        <v>-2.1694840000000002</v>
      </c>
      <c r="M34" s="31">
        <v>-2.151761</v>
      </c>
      <c r="N34" s="31">
        <v>-4.6078859999999997</v>
      </c>
      <c r="O34" s="31">
        <v>-7.0161579999999999</v>
      </c>
      <c r="P34" s="31">
        <v>-9.4244290300000007</v>
      </c>
    </row>
    <row r="35" spans="1:16" x14ac:dyDescent="0.3">
      <c r="A35" s="11" t="s">
        <v>1345</v>
      </c>
      <c r="B35" s="11" t="s">
        <v>860</v>
      </c>
      <c r="C35" s="23">
        <v>0</v>
      </c>
      <c r="D35" s="23">
        <v>0</v>
      </c>
      <c r="E35" s="23">
        <v>0</v>
      </c>
      <c r="F35" s="23">
        <v>0</v>
      </c>
      <c r="G35" s="23">
        <v>0</v>
      </c>
      <c r="H35" s="31">
        <v>0</v>
      </c>
      <c r="I35" s="31">
        <v>0</v>
      </c>
      <c r="J35" s="31">
        <v>0</v>
      </c>
      <c r="K35" s="31">
        <v>0</v>
      </c>
      <c r="L35" s="31">
        <v>0</v>
      </c>
      <c r="M35" s="31">
        <v>0</v>
      </c>
      <c r="N35" s="31">
        <v>0</v>
      </c>
      <c r="O35" s="31">
        <v>0</v>
      </c>
      <c r="P35" s="31">
        <v>0</v>
      </c>
    </row>
    <row r="36" spans="1:16" x14ac:dyDescent="0.3">
      <c r="A36" s="11" t="s">
        <v>1344</v>
      </c>
      <c r="B36" s="11" t="s">
        <v>858</v>
      </c>
      <c r="C36" s="23"/>
      <c r="D36" s="23"/>
      <c r="E36" s="23"/>
      <c r="F36" s="23"/>
      <c r="G36" s="23"/>
      <c r="H36" s="23"/>
      <c r="I36" s="23"/>
      <c r="J36" s="23"/>
      <c r="K36" s="23"/>
      <c r="L36" s="23"/>
      <c r="M36" s="23">
        <v>0</v>
      </c>
      <c r="N36" s="23">
        <v>0</v>
      </c>
      <c r="O36" s="23">
        <v>0</v>
      </c>
      <c r="P36" s="23">
        <v>0</v>
      </c>
    </row>
    <row r="37" spans="1:16" x14ac:dyDescent="0.3">
      <c r="A37" s="11" t="s">
        <v>1343</v>
      </c>
      <c r="B37" s="11" t="s">
        <v>856</v>
      </c>
      <c r="C37" s="23">
        <v>0</v>
      </c>
      <c r="D37" s="23">
        <v>0</v>
      </c>
      <c r="E37" s="23">
        <v>0</v>
      </c>
      <c r="F37" s="23">
        <v>0</v>
      </c>
      <c r="G37" s="23">
        <v>0</v>
      </c>
      <c r="H37" s="31">
        <v>0</v>
      </c>
      <c r="I37" s="31">
        <v>0</v>
      </c>
      <c r="J37" s="31">
        <v>0</v>
      </c>
      <c r="K37" s="31">
        <v>0</v>
      </c>
      <c r="L37" s="31">
        <v>0</v>
      </c>
      <c r="M37" s="31">
        <v>0</v>
      </c>
      <c r="N37" s="31">
        <v>0</v>
      </c>
      <c r="O37" s="31">
        <v>0</v>
      </c>
      <c r="P37" s="31">
        <v>0</v>
      </c>
    </row>
    <row r="38" spans="1:16" x14ac:dyDescent="0.3">
      <c r="A38" s="11" t="s">
        <v>1342</v>
      </c>
      <c r="B38" s="11" t="s">
        <v>854</v>
      </c>
      <c r="C38" s="23">
        <v>0</v>
      </c>
      <c r="D38" s="23">
        <v>0</v>
      </c>
      <c r="E38" s="23">
        <v>0</v>
      </c>
      <c r="F38" s="23">
        <v>0</v>
      </c>
      <c r="G38" s="23">
        <v>0</v>
      </c>
      <c r="H38" s="31">
        <v>0</v>
      </c>
      <c r="I38" s="31">
        <v>0</v>
      </c>
      <c r="J38" s="31">
        <v>0</v>
      </c>
      <c r="K38" s="31">
        <v>0</v>
      </c>
      <c r="L38" s="31">
        <v>0</v>
      </c>
      <c r="M38" s="31">
        <v>0</v>
      </c>
      <c r="N38" s="31">
        <v>0</v>
      </c>
      <c r="O38" s="31">
        <v>0</v>
      </c>
      <c r="P38" s="31">
        <v>0</v>
      </c>
    </row>
    <row r="39" spans="1:16" x14ac:dyDescent="0.3">
      <c r="A39" s="11" t="s">
        <v>1341</v>
      </c>
      <c r="B39" s="11" t="s">
        <v>852</v>
      </c>
      <c r="C39" s="23">
        <v>0</v>
      </c>
      <c r="D39" s="23">
        <v>0</v>
      </c>
      <c r="E39" s="23">
        <v>0</v>
      </c>
      <c r="F39" s="23">
        <v>0</v>
      </c>
      <c r="G39" s="23">
        <v>0</v>
      </c>
      <c r="H39" s="31">
        <v>0</v>
      </c>
      <c r="I39" s="31">
        <v>0</v>
      </c>
      <c r="J39" s="31">
        <v>0</v>
      </c>
      <c r="K39" s="31">
        <v>0</v>
      </c>
      <c r="L39" s="31">
        <v>0</v>
      </c>
      <c r="M39" s="31">
        <v>0</v>
      </c>
      <c r="N39" s="31">
        <v>0</v>
      </c>
      <c r="O39" s="31">
        <v>0</v>
      </c>
      <c r="P39" s="31">
        <v>0</v>
      </c>
    </row>
    <row r="40" spans="1:16" x14ac:dyDescent="0.3">
      <c r="A40" s="11" t="s">
        <v>1340</v>
      </c>
      <c r="B40" s="11" t="s">
        <v>850</v>
      </c>
      <c r="C40" s="23">
        <v>0</v>
      </c>
      <c r="D40" s="23">
        <v>0</v>
      </c>
      <c r="E40" s="23">
        <v>0</v>
      </c>
      <c r="F40" s="23">
        <v>0</v>
      </c>
      <c r="G40" s="23">
        <v>0</v>
      </c>
      <c r="H40" s="31">
        <v>0</v>
      </c>
      <c r="I40" s="31">
        <v>0</v>
      </c>
      <c r="J40" s="31">
        <v>0</v>
      </c>
      <c r="K40" s="31">
        <v>0</v>
      </c>
      <c r="L40" s="31">
        <v>0</v>
      </c>
      <c r="M40" s="31">
        <v>0</v>
      </c>
      <c r="N40" s="31">
        <v>0</v>
      </c>
      <c r="O40" s="31">
        <v>0</v>
      </c>
      <c r="P40" s="31">
        <v>0</v>
      </c>
    </row>
    <row r="41" spans="1:16" x14ac:dyDescent="0.3">
      <c r="A41" s="11" t="s">
        <v>1339</v>
      </c>
      <c r="B41" s="11" t="s">
        <v>848</v>
      </c>
      <c r="C41" s="23">
        <v>0</v>
      </c>
      <c r="D41" s="23">
        <v>0</v>
      </c>
      <c r="E41" s="23">
        <v>0</v>
      </c>
      <c r="F41" s="23">
        <v>0</v>
      </c>
      <c r="G41" s="23">
        <v>0</v>
      </c>
      <c r="H41" s="31">
        <v>0</v>
      </c>
      <c r="I41" s="31">
        <v>0</v>
      </c>
      <c r="J41" s="31">
        <v>0</v>
      </c>
      <c r="K41" s="31">
        <v>0</v>
      </c>
      <c r="L41" s="31">
        <v>0</v>
      </c>
      <c r="M41" s="31">
        <v>0</v>
      </c>
      <c r="N41" s="31">
        <v>0</v>
      </c>
      <c r="O41" s="31">
        <v>0</v>
      </c>
      <c r="P41" s="31">
        <v>0</v>
      </c>
    </row>
    <row r="42" spans="1:16" x14ac:dyDescent="0.3">
      <c r="A42" s="11" t="s">
        <v>1338</v>
      </c>
      <c r="B42" s="11" t="s">
        <v>846</v>
      </c>
      <c r="C42" s="23">
        <v>0</v>
      </c>
      <c r="D42" s="23">
        <v>0</v>
      </c>
      <c r="E42" s="23">
        <v>0</v>
      </c>
      <c r="F42" s="23">
        <v>0</v>
      </c>
      <c r="G42" s="23">
        <v>0</v>
      </c>
      <c r="H42" s="31">
        <v>0</v>
      </c>
      <c r="I42" s="31">
        <v>0</v>
      </c>
      <c r="J42" s="31">
        <v>0</v>
      </c>
      <c r="K42" s="31">
        <v>0</v>
      </c>
      <c r="L42" s="31">
        <v>0</v>
      </c>
      <c r="M42" s="31">
        <v>0</v>
      </c>
      <c r="N42" s="31">
        <v>0</v>
      </c>
      <c r="O42" s="31">
        <v>0</v>
      </c>
      <c r="P42" s="31">
        <v>0</v>
      </c>
    </row>
    <row r="43" spans="1:16" x14ac:dyDescent="0.3">
      <c r="A43" s="11" t="s">
        <v>1337</v>
      </c>
      <c r="B43" s="11" t="s">
        <v>844</v>
      </c>
      <c r="C43" s="23">
        <v>0</v>
      </c>
      <c r="D43" s="23">
        <v>0</v>
      </c>
      <c r="E43" s="23">
        <v>0</v>
      </c>
      <c r="F43" s="23">
        <v>0</v>
      </c>
      <c r="G43" s="23">
        <v>0</v>
      </c>
      <c r="H43" s="31">
        <v>0</v>
      </c>
      <c r="I43" s="31">
        <v>0</v>
      </c>
      <c r="J43" s="31">
        <v>0</v>
      </c>
      <c r="K43" s="31">
        <v>0</v>
      </c>
      <c r="L43" s="31">
        <v>0</v>
      </c>
      <c r="M43" s="31">
        <v>0</v>
      </c>
      <c r="N43" s="31">
        <v>0</v>
      </c>
      <c r="O43" s="31">
        <v>0</v>
      </c>
      <c r="P43" s="31">
        <v>0</v>
      </c>
    </row>
    <row r="44" spans="1:16" x14ac:dyDescent="0.3">
      <c r="A44" s="11" t="s">
        <v>1336</v>
      </c>
      <c r="B44" s="11" t="s">
        <v>842</v>
      </c>
      <c r="C44" s="23">
        <v>0</v>
      </c>
      <c r="D44" s="23">
        <v>0</v>
      </c>
      <c r="E44" s="23">
        <v>0</v>
      </c>
      <c r="F44" s="23">
        <v>0</v>
      </c>
      <c r="G44" s="23">
        <v>0</v>
      </c>
      <c r="H44" s="31">
        <v>0</v>
      </c>
      <c r="I44" s="31">
        <v>0</v>
      </c>
      <c r="J44" s="31">
        <v>0</v>
      </c>
      <c r="K44" s="31">
        <v>0</v>
      </c>
      <c r="L44" s="31">
        <v>0</v>
      </c>
      <c r="M44" s="31">
        <v>0</v>
      </c>
      <c r="N44" s="31">
        <v>0</v>
      </c>
      <c r="O44" s="31">
        <v>0</v>
      </c>
      <c r="P44" s="31">
        <v>0</v>
      </c>
    </row>
    <row r="45" spans="1:16" x14ac:dyDescent="0.3">
      <c r="A45" s="11" t="s">
        <v>1335</v>
      </c>
      <c r="B45" s="11" t="s">
        <v>840</v>
      </c>
      <c r="C45" s="23">
        <v>0</v>
      </c>
      <c r="D45" s="23">
        <v>0</v>
      </c>
      <c r="E45" s="23">
        <v>0</v>
      </c>
      <c r="F45" s="23">
        <v>0</v>
      </c>
      <c r="G45" s="23">
        <v>0</v>
      </c>
      <c r="H45" s="31">
        <v>0</v>
      </c>
      <c r="I45" s="31">
        <v>0</v>
      </c>
      <c r="J45" s="31">
        <v>0</v>
      </c>
      <c r="K45" s="31">
        <v>0</v>
      </c>
      <c r="L45" s="31">
        <v>0</v>
      </c>
      <c r="M45" s="31">
        <v>0</v>
      </c>
      <c r="N45" s="31">
        <v>0</v>
      </c>
      <c r="O45" s="31">
        <v>0</v>
      </c>
      <c r="P45" s="31">
        <v>0</v>
      </c>
    </row>
    <row r="46" spans="1:16" x14ac:dyDescent="0.3">
      <c r="A46" s="11" t="s">
        <v>1334</v>
      </c>
      <c r="B46" s="11" t="s">
        <v>838</v>
      </c>
      <c r="C46" s="23">
        <v>0</v>
      </c>
      <c r="D46" s="23">
        <v>0</v>
      </c>
      <c r="E46" s="23">
        <v>0</v>
      </c>
      <c r="F46" s="23">
        <v>0</v>
      </c>
      <c r="G46" s="23">
        <v>0</v>
      </c>
      <c r="H46" s="31">
        <v>0</v>
      </c>
      <c r="I46" s="31">
        <v>0</v>
      </c>
      <c r="J46" s="31">
        <v>0</v>
      </c>
      <c r="K46" s="31">
        <v>0</v>
      </c>
      <c r="L46" s="31">
        <v>0</v>
      </c>
      <c r="M46" s="31">
        <v>0</v>
      </c>
      <c r="N46" s="31">
        <v>0</v>
      </c>
      <c r="O46" s="31">
        <v>0</v>
      </c>
      <c r="P46" s="31">
        <v>0</v>
      </c>
    </row>
    <row r="47" spans="1:16" x14ac:dyDescent="0.3">
      <c r="A47" s="11" t="s">
        <v>1333</v>
      </c>
      <c r="B47" s="11" t="s">
        <v>836</v>
      </c>
      <c r="C47" s="23">
        <v>0</v>
      </c>
      <c r="D47" s="23">
        <v>0</v>
      </c>
      <c r="E47" s="23">
        <v>0</v>
      </c>
      <c r="F47" s="23">
        <v>0</v>
      </c>
      <c r="G47" s="23">
        <v>0</v>
      </c>
      <c r="H47" s="31">
        <v>0</v>
      </c>
      <c r="I47" s="31">
        <v>0</v>
      </c>
      <c r="J47" s="31">
        <v>0</v>
      </c>
      <c r="K47" s="31">
        <v>0</v>
      </c>
      <c r="L47" s="31">
        <v>0</v>
      </c>
      <c r="M47" s="31">
        <v>0</v>
      </c>
      <c r="N47" s="31">
        <v>0</v>
      </c>
      <c r="O47" s="31">
        <v>0</v>
      </c>
      <c r="P47" s="31">
        <v>0</v>
      </c>
    </row>
    <row r="48" spans="1:16" x14ac:dyDescent="0.3">
      <c r="A48" s="11" t="s">
        <v>1332</v>
      </c>
      <c r="B48" s="11" t="s">
        <v>834</v>
      </c>
      <c r="C48" s="23">
        <v>0</v>
      </c>
      <c r="D48" s="23">
        <v>0</v>
      </c>
      <c r="E48" s="23">
        <v>0</v>
      </c>
      <c r="F48" s="23">
        <v>0</v>
      </c>
      <c r="G48" s="23">
        <v>0</v>
      </c>
      <c r="H48" s="31">
        <v>0</v>
      </c>
      <c r="I48" s="31">
        <v>0</v>
      </c>
      <c r="J48" s="31">
        <v>0</v>
      </c>
      <c r="K48" s="31">
        <v>0</v>
      </c>
      <c r="L48" s="31">
        <v>0</v>
      </c>
      <c r="M48" s="31">
        <v>0</v>
      </c>
      <c r="N48" s="31">
        <v>0</v>
      </c>
      <c r="O48" s="31">
        <v>0</v>
      </c>
      <c r="P48" s="31">
        <v>0</v>
      </c>
    </row>
    <row r="49" spans="1:16" x14ac:dyDescent="0.3">
      <c r="A49" s="11" t="s">
        <v>1331</v>
      </c>
      <c r="B49" s="11" t="s">
        <v>832</v>
      </c>
      <c r="C49" s="23">
        <v>0</v>
      </c>
      <c r="D49" s="23">
        <v>0</v>
      </c>
      <c r="E49" s="23">
        <v>0</v>
      </c>
      <c r="F49" s="23">
        <v>0</v>
      </c>
      <c r="G49" s="23">
        <v>0</v>
      </c>
      <c r="H49" s="31">
        <v>0</v>
      </c>
      <c r="I49" s="31">
        <v>0</v>
      </c>
      <c r="J49" s="31">
        <v>0</v>
      </c>
      <c r="K49" s="31">
        <v>0</v>
      </c>
      <c r="L49" s="31">
        <v>0</v>
      </c>
      <c r="M49" s="31">
        <v>0</v>
      </c>
      <c r="N49" s="31">
        <v>0</v>
      </c>
      <c r="O49" s="31">
        <v>0</v>
      </c>
      <c r="P49" s="31">
        <v>0</v>
      </c>
    </row>
    <row r="50" spans="1:16" x14ac:dyDescent="0.3">
      <c r="A50" s="11" t="s">
        <v>1330</v>
      </c>
      <c r="B50" s="11" t="s">
        <v>830</v>
      </c>
      <c r="C50" s="23">
        <v>0</v>
      </c>
      <c r="D50" s="23">
        <v>0</v>
      </c>
      <c r="E50" s="23">
        <v>0</v>
      </c>
      <c r="F50" s="23">
        <v>0</v>
      </c>
      <c r="G50" s="23">
        <v>0</v>
      </c>
      <c r="H50" s="31">
        <v>0</v>
      </c>
      <c r="I50" s="31">
        <v>0</v>
      </c>
      <c r="J50" s="31">
        <v>0</v>
      </c>
      <c r="K50" s="31">
        <v>0</v>
      </c>
      <c r="L50" s="31">
        <v>0</v>
      </c>
      <c r="M50" s="31">
        <v>0</v>
      </c>
      <c r="N50" s="31">
        <v>0</v>
      </c>
      <c r="O50" s="31">
        <v>0</v>
      </c>
      <c r="P50" s="31">
        <v>0</v>
      </c>
    </row>
    <row r="51" spans="1:16" x14ac:dyDescent="0.3">
      <c r="A51" s="11" t="s">
        <v>1329</v>
      </c>
      <c r="B51" s="11" t="s">
        <v>828</v>
      </c>
      <c r="C51" s="23">
        <v>0</v>
      </c>
      <c r="D51" s="23">
        <v>0</v>
      </c>
      <c r="E51" s="23">
        <v>0</v>
      </c>
      <c r="F51" s="23">
        <v>0</v>
      </c>
      <c r="G51" s="23">
        <v>0</v>
      </c>
      <c r="H51" s="31">
        <v>0</v>
      </c>
      <c r="I51" s="31">
        <v>0</v>
      </c>
      <c r="J51" s="31">
        <v>0</v>
      </c>
      <c r="K51" s="31">
        <v>0</v>
      </c>
      <c r="L51" s="31">
        <v>0</v>
      </c>
      <c r="M51" s="31">
        <v>0</v>
      </c>
      <c r="N51" s="31">
        <v>0</v>
      </c>
      <c r="O51" s="31">
        <v>0</v>
      </c>
      <c r="P51" s="31">
        <v>0</v>
      </c>
    </row>
    <row r="52" spans="1:16" x14ac:dyDescent="0.3">
      <c r="A52" s="11" t="s">
        <v>1328</v>
      </c>
      <c r="B52" s="11" t="s">
        <v>826</v>
      </c>
      <c r="C52" s="23">
        <v>0</v>
      </c>
      <c r="D52" s="23">
        <v>0</v>
      </c>
      <c r="E52" s="23">
        <v>0</v>
      </c>
      <c r="F52" s="23">
        <v>0</v>
      </c>
      <c r="G52" s="23">
        <v>0</v>
      </c>
      <c r="H52" s="31">
        <v>0</v>
      </c>
      <c r="I52" s="31">
        <v>0</v>
      </c>
      <c r="J52" s="31">
        <v>0</v>
      </c>
      <c r="K52" s="31">
        <v>0</v>
      </c>
      <c r="L52" s="31">
        <v>0</v>
      </c>
      <c r="M52" s="31">
        <v>0</v>
      </c>
      <c r="N52" s="31">
        <v>0</v>
      </c>
      <c r="O52" s="31">
        <v>0</v>
      </c>
      <c r="P52" s="31">
        <v>0</v>
      </c>
    </row>
    <row r="53" spans="1:16" x14ac:dyDescent="0.3">
      <c r="A53" s="11" t="s">
        <v>1327</v>
      </c>
      <c r="B53" s="11" t="s">
        <v>824</v>
      </c>
      <c r="C53" s="23">
        <v>0</v>
      </c>
      <c r="D53" s="23">
        <v>0</v>
      </c>
      <c r="E53" s="23">
        <v>0</v>
      </c>
      <c r="F53" s="23">
        <v>0</v>
      </c>
      <c r="G53" s="23">
        <v>0</v>
      </c>
      <c r="H53" s="31">
        <v>0</v>
      </c>
      <c r="I53" s="31">
        <v>0</v>
      </c>
      <c r="J53" s="31">
        <v>0</v>
      </c>
      <c r="K53" s="31">
        <v>0</v>
      </c>
      <c r="L53" s="31">
        <v>0</v>
      </c>
      <c r="M53" s="31">
        <v>0</v>
      </c>
      <c r="N53" s="31">
        <v>0</v>
      </c>
      <c r="O53" s="31">
        <v>0</v>
      </c>
      <c r="P53" s="31">
        <v>0</v>
      </c>
    </row>
    <row r="54" spans="1:16" x14ac:dyDescent="0.3">
      <c r="A54" s="11" t="s">
        <v>1326</v>
      </c>
      <c r="B54" s="11" t="s">
        <v>822</v>
      </c>
      <c r="C54" s="23">
        <v>0</v>
      </c>
      <c r="D54" s="23">
        <v>0</v>
      </c>
      <c r="E54" s="23">
        <v>0</v>
      </c>
      <c r="F54" s="23">
        <v>0</v>
      </c>
      <c r="G54" s="23">
        <v>0</v>
      </c>
      <c r="H54" s="31">
        <v>0</v>
      </c>
      <c r="I54" s="31">
        <v>0</v>
      </c>
      <c r="J54" s="31">
        <v>0</v>
      </c>
      <c r="K54" s="31">
        <v>0</v>
      </c>
      <c r="L54" s="31">
        <v>0</v>
      </c>
      <c r="M54" s="31">
        <v>0</v>
      </c>
      <c r="N54" s="31">
        <v>0</v>
      </c>
      <c r="O54" s="31">
        <v>0</v>
      </c>
      <c r="P54" s="31">
        <v>0</v>
      </c>
    </row>
    <row r="55" spans="1:16" x14ac:dyDescent="0.3">
      <c r="A55" s="11" t="s">
        <v>1325</v>
      </c>
      <c r="B55" s="11" t="s">
        <v>820</v>
      </c>
      <c r="C55" s="23">
        <v>0</v>
      </c>
      <c r="D55" s="23">
        <v>0</v>
      </c>
      <c r="E55" s="23">
        <v>0</v>
      </c>
      <c r="F55" s="23">
        <v>0</v>
      </c>
      <c r="G55" s="23">
        <v>0</v>
      </c>
      <c r="H55" s="31">
        <v>0</v>
      </c>
      <c r="I55" s="31">
        <v>0</v>
      </c>
      <c r="J55" s="31">
        <v>0</v>
      </c>
      <c r="K55" s="31">
        <v>0</v>
      </c>
      <c r="L55" s="31">
        <v>0</v>
      </c>
      <c r="M55" s="31">
        <v>0</v>
      </c>
      <c r="N55" s="31">
        <v>0</v>
      </c>
      <c r="O55" s="31">
        <v>0</v>
      </c>
      <c r="P55" s="31">
        <v>0</v>
      </c>
    </row>
    <row r="56" spans="1:16" x14ac:dyDescent="0.3">
      <c r="A56" s="11" t="s">
        <v>1324</v>
      </c>
      <c r="B56" s="11" t="s">
        <v>818</v>
      </c>
      <c r="C56" s="23">
        <v>0</v>
      </c>
      <c r="D56" s="23">
        <v>0</v>
      </c>
      <c r="E56" s="23">
        <v>0</v>
      </c>
      <c r="F56" s="23">
        <v>0</v>
      </c>
      <c r="G56" s="23">
        <v>0</v>
      </c>
      <c r="H56" s="31">
        <v>0</v>
      </c>
      <c r="I56" s="31">
        <v>0</v>
      </c>
      <c r="J56" s="31">
        <v>0</v>
      </c>
      <c r="K56" s="31">
        <v>0</v>
      </c>
      <c r="L56" s="31">
        <v>0</v>
      </c>
      <c r="M56" s="31">
        <v>0</v>
      </c>
      <c r="N56" s="31">
        <v>0</v>
      </c>
      <c r="O56" s="31">
        <v>0</v>
      </c>
      <c r="P56" s="31">
        <v>0</v>
      </c>
    </row>
    <row r="57" spans="1:16" x14ac:dyDescent="0.3">
      <c r="A57" s="11" t="s">
        <v>1323</v>
      </c>
      <c r="B57" s="11" t="s">
        <v>816</v>
      </c>
      <c r="C57" s="23">
        <v>0</v>
      </c>
      <c r="D57" s="23">
        <v>0</v>
      </c>
      <c r="E57" s="23">
        <v>0</v>
      </c>
      <c r="F57" s="23">
        <v>0</v>
      </c>
      <c r="G57" s="23">
        <v>0</v>
      </c>
      <c r="H57" s="31">
        <v>0</v>
      </c>
      <c r="I57" s="31">
        <v>0</v>
      </c>
      <c r="J57" s="31">
        <v>0</v>
      </c>
      <c r="K57" s="31">
        <v>0</v>
      </c>
      <c r="L57" s="31">
        <v>0</v>
      </c>
      <c r="M57" s="31">
        <v>0</v>
      </c>
      <c r="N57" s="31">
        <v>0</v>
      </c>
      <c r="O57" s="31">
        <v>0</v>
      </c>
      <c r="P57" s="31">
        <v>0</v>
      </c>
    </row>
    <row r="58" spans="1:16" x14ac:dyDescent="0.3">
      <c r="A58" s="11" t="s">
        <v>1322</v>
      </c>
      <c r="B58" s="11" t="s">
        <v>814</v>
      </c>
      <c r="C58" s="23">
        <v>0</v>
      </c>
      <c r="D58" s="23">
        <v>0</v>
      </c>
      <c r="E58" s="23">
        <v>0</v>
      </c>
      <c r="F58" s="23">
        <v>0</v>
      </c>
      <c r="G58" s="23">
        <v>0</v>
      </c>
      <c r="H58" s="31">
        <v>0</v>
      </c>
      <c r="I58" s="31">
        <v>0</v>
      </c>
      <c r="J58" s="31">
        <v>0</v>
      </c>
      <c r="K58" s="31">
        <v>0</v>
      </c>
      <c r="L58" s="31">
        <v>0</v>
      </c>
      <c r="M58" s="31">
        <v>0</v>
      </c>
      <c r="N58" s="31">
        <v>0</v>
      </c>
      <c r="O58" s="31">
        <v>0</v>
      </c>
      <c r="P58" s="31">
        <v>0</v>
      </c>
    </row>
    <row r="59" spans="1:16" x14ac:dyDescent="0.3">
      <c r="A59" s="11" t="s">
        <v>1321</v>
      </c>
      <c r="B59" s="11" t="s">
        <v>812</v>
      </c>
      <c r="C59" s="23">
        <v>0</v>
      </c>
      <c r="D59" s="23">
        <v>0</v>
      </c>
      <c r="E59" s="23">
        <v>0</v>
      </c>
      <c r="F59" s="23">
        <v>0</v>
      </c>
      <c r="G59" s="23">
        <v>0</v>
      </c>
      <c r="H59" s="31">
        <v>0</v>
      </c>
      <c r="I59" s="31">
        <v>0</v>
      </c>
      <c r="J59" s="31">
        <v>0</v>
      </c>
      <c r="K59" s="31">
        <v>0</v>
      </c>
      <c r="L59" s="31">
        <v>0</v>
      </c>
      <c r="M59" s="31">
        <v>0</v>
      </c>
      <c r="N59" s="31">
        <v>0</v>
      </c>
      <c r="O59" s="31">
        <v>0</v>
      </c>
      <c r="P59" s="31">
        <v>0</v>
      </c>
    </row>
    <row r="60" spans="1:16" x14ac:dyDescent="0.3">
      <c r="A60" s="11" t="s">
        <v>1320</v>
      </c>
      <c r="B60" s="11" t="s">
        <v>810</v>
      </c>
      <c r="C60" s="23">
        <v>0</v>
      </c>
      <c r="D60" s="23">
        <v>0</v>
      </c>
      <c r="E60" s="23">
        <v>0</v>
      </c>
      <c r="F60" s="23">
        <v>0</v>
      </c>
      <c r="G60" s="23">
        <v>0</v>
      </c>
      <c r="H60" s="31">
        <v>0</v>
      </c>
      <c r="I60" s="31">
        <v>0</v>
      </c>
      <c r="J60" s="31">
        <v>0</v>
      </c>
      <c r="K60" s="31">
        <v>0</v>
      </c>
      <c r="L60" s="31">
        <v>0</v>
      </c>
      <c r="M60" s="31">
        <v>0</v>
      </c>
      <c r="N60" s="31">
        <v>0</v>
      </c>
      <c r="O60" s="31">
        <v>0</v>
      </c>
      <c r="P60" s="31">
        <v>0</v>
      </c>
    </row>
    <row r="61" spans="1:16" x14ac:dyDescent="0.3">
      <c r="A61" s="11" t="s">
        <v>1319</v>
      </c>
      <c r="B61" s="11" t="s">
        <v>808</v>
      </c>
      <c r="C61" s="23">
        <v>0</v>
      </c>
      <c r="D61" s="23">
        <v>0</v>
      </c>
      <c r="E61" s="23">
        <v>0</v>
      </c>
      <c r="F61" s="23">
        <v>0</v>
      </c>
      <c r="G61" s="23">
        <v>0</v>
      </c>
      <c r="H61" s="31">
        <v>0</v>
      </c>
      <c r="I61" s="31">
        <v>0</v>
      </c>
      <c r="J61" s="31">
        <v>0</v>
      </c>
      <c r="K61" s="31">
        <v>0</v>
      </c>
      <c r="L61" s="31">
        <v>0</v>
      </c>
      <c r="M61" s="31">
        <v>0</v>
      </c>
      <c r="N61" s="31">
        <v>0</v>
      </c>
      <c r="O61" s="31">
        <v>0</v>
      </c>
      <c r="P61" s="31">
        <v>0</v>
      </c>
    </row>
    <row r="62" spans="1:16" x14ac:dyDescent="0.3">
      <c r="A62" s="11" t="s">
        <v>1318</v>
      </c>
      <c r="B62" s="11" t="s">
        <v>806</v>
      </c>
      <c r="C62" s="23">
        <v>0</v>
      </c>
      <c r="D62" s="23">
        <v>0</v>
      </c>
      <c r="E62" s="23">
        <v>0</v>
      </c>
      <c r="F62" s="23">
        <v>0</v>
      </c>
      <c r="G62" s="23">
        <v>0</v>
      </c>
      <c r="H62" s="31">
        <v>0</v>
      </c>
      <c r="I62" s="31">
        <v>0</v>
      </c>
      <c r="J62" s="31">
        <v>0</v>
      </c>
      <c r="K62" s="31">
        <v>0</v>
      </c>
      <c r="L62" s="31">
        <v>0</v>
      </c>
      <c r="M62" s="31">
        <v>0</v>
      </c>
      <c r="N62" s="31">
        <v>0</v>
      </c>
      <c r="O62" s="31">
        <v>0</v>
      </c>
      <c r="P62" s="31">
        <v>0</v>
      </c>
    </row>
    <row r="63" spans="1:16" x14ac:dyDescent="0.3">
      <c r="A63" s="11" t="s">
        <v>1317</v>
      </c>
      <c r="B63" s="11" t="s">
        <v>804</v>
      </c>
      <c r="C63" s="23"/>
      <c r="D63" s="23"/>
      <c r="E63" s="23"/>
      <c r="F63" s="23"/>
      <c r="G63" s="23"/>
      <c r="H63" s="31"/>
      <c r="I63" s="31"/>
      <c r="J63" s="31"/>
      <c r="K63" s="31">
        <v>0</v>
      </c>
      <c r="L63" s="31"/>
      <c r="M63" s="31"/>
      <c r="N63" s="31">
        <v>0</v>
      </c>
      <c r="O63" s="31">
        <v>0</v>
      </c>
      <c r="P63" s="31">
        <v>0</v>
      </c>
    </row>
    <row r="64" spans="1:16" x14ac:dyDescent="0.3">
      <c r="A64" s="11" t="s">
        <v>1316</v>
      </c>
      <c r="B64" s="11" t="s">
        <v>802</v>
      </c>
      <c r="C64" s="23">
        <v>0</v>
      </c>
      <c r="D64" s="23">
        <v>0</v>
      </c>
      <c r="E64" s="23">
        <v>0</v>
      </c>
      <c r="F64" s="23">
        <v>0</v>
      </c>
      <c r="G64" s="23">
        <v>0</v>
      </c>
      <c r="H64" s="31">
        <v>0</v>
      </c>
      <c r="I64" s="31">
        <v>0</v>
      </c>
      <c r="J64" s="31">
        <v>0</v>
      </c>
      <c r="K64" s="31">
        <v>0</v>
      </c>
      <c r="L64" s="31">
        <v>0</v>
      </c>
      <c r="M64" s="31">
        <v>0</v>
      </c>
      <c r="N64" s="31">
        <v>0</v>
      </c>
      <c r="O64" s="31">
        <v>0</v>
      </c>
      <c r="P64" s="31">
        <v>0</v>
      </c>
    </row>
    <row r="65" spans="1:16" x14ac:dyDescent="0.3">
      <c r="A65" s="11" t="s">
        <v>1315</v>
      </c>
      <c r="B65" s="11" t="s">
        <v>800</v>
      </c>
      <c r="C65" s="23">
        <v>0</v>
      </c>
      <c r="D65" s="23">
        <v>0</v>
      </c>
      <c r="E65" s="23">
        <v>0</v>
      </c>
      <c r="F65" s="23">
        <v>0</v>
      </c>
      <c r="G65" s="23">
        <v>0</v>
      </c>
      <c r="H65" s="31">
        <v>0</v>
      </c>
      <c r="I65" s="31">
        <v>0</v>
      </c>
      <c r="J65" s="31">
        <v>0</v>
      </c>
      <c r="K65" s="31">
        <v>0</v>
      </c>
      <c r="L65" s="31">
        <v>0</v>
      </c>
      <c r="M65" s="31">
        <v>0</v>
      </c>
      <c r="N65" s="31">
        <v>0</v>
      </c>
      <c r="O65" s="31">
        <v>0</v>
      </c>
      <c r="P65" s="31">
        <v>0</v>
      </c>
    </row>
    <row r="66" spans="1:16" x14ac:dyDescent="0.3">
      <c r="A66" s="11" t="s">
        <v>1314</v>
      </c>
      <c r="B66" s="11" t="s">
        <v>798</v>
      </c>
      <c r="C66" s="23">
        <v>0</v>
      </c>
      <c r="D66" s="23">
        <v>0</v>
      </c>
      <c r="E66" s="23">
        <v>0</v>
      </c>
      <c r="F66" s="23">
        <v>0</v>
      </c>
      <c r="G66" s="23">
        <v>0</v>
      </c>
      <c r="H66" s="31">
        <v>0</v>
      </c>
      <c r="I66" s="31">
        <v>0</v>
      </c>
      <c r="J66" s="31">
        <v>0</v>
      </c>
      <c r="K66" s="31">
        <v>0</v>
      </c>
      <c r="L66" s="31">
        <v>0</v>
      </c>
      <c r="M66" s="31">
        <v>0</v>
      </c>
      <c r="N66" s="31">
        <v>0</v>
      </c>
      <c r="O66" s="31">
        <v>0</v>
      </c>
      <c r="P66" s="31">
        <v>0</v>
      </c>
    </row>
    <row r="67" spans="1:16" x14ac:dyDescent="0.3">
      <c r="A67" s="11" t="s">
        <v>1313</v>
      </c>
      <c r="B67" s="11" t="s">
        <v>796</v>
      </c>
      <c r="C67" s="31">
        <v>173</v>
      </c>
      <c r="D67" s="31">
        <v>173</v>
      </c>
      <c r="E67" s="31">
        <v>172</v>
      </c>
      <c r="F67" s="31">
        <v>172</v>
      </c>
      <c r="G67" s="31">
        <v>174</v>
      </c>
      <c r="H67" s="31">
        <v>174</v>
      </c>
      <c r="I67" s="31">
        <v>176.0504</v>
      </c>
      <c r="J67" s="31">
        <v>176.92867000000001</v>
      </c>
      <c r="K67" s="31">
        <v>178.97334900000001</v>
      </c>
      <c r="L67" s="31">
        <v>177.33409599999999</v>
      </c>
      <c r="M67" s="31">
        <v>176.55661000000001</v>
      </c>
      <c r="N67" s="31">
        <v>176.90865400000001</v>
      </c>
      <c r="O67" s="31">
        <v>176.48806400000001</v>
      </c>
      <c r="P67" s="31">
        <v>176.48806408999999</v>
      </c>
    </row>
    <row r="68" spans="1:16" x14ac:dyDescent="0.3">
      <c r="A68" s="11" t="s">
        <v>1312</v>
      </c>
      <c r="B68" s="11" t="s">
        <v>794</v>
      </c>
      <c r="C68" s="23">
        <v>0</v>
      </c>
      <c r="D68" s="23">
        <v>0</v>
      </c>
      <c r="E68" s="23">
        <v>0</v>
      </c>
      <c r="F68" s="23">
        <v>0</v>
      </c>
      <c r="G68" s="23">
        <v>0</v>
      </c>
      <c r="H68" s="31">
        <v>0</v>
      </c>
      <c r="I68" s="31">
        <v>0.30590000000000001</v>
      </c>
      <c r="J68" s="31">
        <v>0.292906</v>
      </c>
      <c r="K68" s="31">
        <v>0.28003099999999997</v>
      </c>
      <c r="L68" s="31">
        <v>0.26777000000000001</v>
      </c>
      <c r="M68" s="31">
        <v>0.24434</v>
      </c>
      <c r="N68" s="31">
        <v>0.220911</v>
      </c>
      <c r="O68" s="31">
        <v>0.361404</v>
      </c>
      <c r="P68" s="31">
        <v>0.36140385000000103</v>
      </c>
    </row>
    <row r="69" spans="1:16" x14ac:dyDescent="0.3">
      <c r="A69" s="11" t="s">
        <v>1311</v>
      </c>
      <c r="B69" s="11" t="s">
        <v>792</v>
      </c>
      <c r="C69" s="31">
        <v>38</v>
      </c>
      <c r="D69" s="31">
        <v>38</v>
      </c>
      <c r="E69" s="31">
        <v>38</v>
      </c>
      <c r="F69" s="31">
        <v>38</v>
      </c>
      <c r="G69" s="31">
        <v>38</v>
      </c>
      <c r="H69" s="31">
        <v>38</v>
      </c>
      <c r="I69" s="31">
        <v>37.970199999999998</v>
      </c>
      <c r="J69" s="31">
        <v>37.970236</v>
      </c>
      <c r="K69" s="31">
        <v>37.970236</v>
      </c>
      <c r="L69" s="31">
        <v>37.970236</v>
      </c>
      <c r="M69" s="31">
        <v>37.970236</v>
      </c>
      <c r="N69" s="31">
        <v>37.970236</v>
      </c>
      <c r="O69" s="31">
        <v>37.970236</v>
      </c>
      <c r="P69" s="31">
        <v>37.970236239999998</v>
      </c>
    </row>
    <row r="70" spans="1:16" x14ac:dyDescent="0.3">
      <c r="A70" s="11" t="s">
        <v>1310</v>
      </c>
      <c r="B70" s="11" t="s">
        <v>1091</v>
      </c>
      <c r="C70" s="23">
        <v>0</v>
      </c>
      <c r="D70" s="23">
        <v>0</v>
      </c>
      <c r="E70" s="23">
        <v>0</v>
      </c>
      <c r="F70" s="23">
        <v>0</v>
      </c>
      <c r="G70" s="23">
        <v>0</v>
      </c>
      <c r="H70" s="31">
        <v>0</v>
      </c>
      <c r="I70" s="31">
        <v>0</v>
      </c>
      <c r="J70" s="31">
        <v>0</v>
      </c>
      <c r="K70" s="31">
        <v>0</v>
      </c>
      <c r="L70" s="31">
        <v>0</v>
      </c>
      <c r="M70" s="31">
        <v>0</v>
      </c>
      <c r="N70" s="31">
        <v>0</v>
      </c>
      <c r="O70" s="31">
        <v>0</v>
      </c>
      <c r="P70" s="31">
        <v>0</v>
      </c>
    </row>
    <row r="71" spans="1:16" x14ac:dyDescent="0.3">
      <c r="A71" s="11" t="s">
        <v>1309</v>
      </c>
      <c r="B71" s="11" t="s">
        <v>1089</v>
      </c>
      <c r="C71" s="23">
        <v>0</v>
      </c>
      <c r="D71" s="23">
        <v>0</v>
      </c>
      <c r="E71" s="23">
        <v>0</v>
      </c>
      <c r="F71" s="23">
        <v>0</v>
      </c>
      <c r="G71" s="23">
        <v>0</v>
      </c>
      <c r="H71" s="31">
        <v>0</v>
      </c>
      <c r="I71" s="31">
        <v>0</v>
      </c>
      <c r="J71" s="31">
        <v>0</v>
      </c>
      <c r="K71" s="31">
        <v>0</v>
      </c>
      <c r="L71" s="31">
        <v>0</v>
      </c>
      <c r="M71" s="31">
        <v>0</v>
      </c>
      <c r="N71" s="31">
        <v>0</v>
      </c>
      <c r="O71" s="31">
        <v>0</v>
      </c>
      <c r="P71" s="31">
        <v>0</v>
      </c>
    </row>
    <row r="72" spans="1:16" x14ac:dyDescent="0.3">
      <c r="A72" s="11" t="s">
        <v>1308</v>
      </c>
      <c r="B72" s="11" t="s">
        <v>53</v>
      </c>
      <c r="C72" s="31">
        <v>135</v>
      </c>
      <c r="D72" s="31">
        <v>135</v>
      </c>
      <c r="E72" s="31">
        <v>134</v>
      </c>
      <c r="F72" s="31">
        <v>134</v>
      </c>
      <c r="G72" s="31">
        <v>136</v>
      </c>
      <c r="H72" s="31">
        <v>136</v>
      </c>
      <c r="I72" s="31">
        <v>137.77430000000001</v>
      </c>
      <c r="J72" s="31">
        <v>138.66552799999999</v>
      </c>
      <c r="K72" s="31">
        <v>140.72308200000001</v>
      </c>
      <c r="L72" s="31">
        <v>139.09609</v>
      </c>
      <c r="M72" s="31">
        <v>138.34203400000001</v>
      </c>
      <c r="N72" s="31">
        <v>138.71750700000001</v>
      </c>
      <c r="O72" s="31">
        <v>138.15642399999999</v>
      </c>
      <c r="P72" s="31">
        <v>138.15642399999999</v>
      </c>
    </row>
    <row r="73" spans="1:16" x14ac:dyDescent="0.3">
      <c r="A73" s="11" t="s">
        <v>1307</v>
      </c>
      <c r="B73" s="11" t="s">
        <v>789</v>
      </c>
      <c r="C73" s="31">
        <v>4820</v>
      </c>
      <c r="D73" s="31">
        <v>4820</v>
      </c>
      <c r="E73" s="31">
        <v>4903</v>
      </c>
      <c r="F73" s="31">
        <v>4956</v>
      </c>
      <c r="G73" s="31">
        <v>5057</v>
      </c>
      <c r="H73" s="31">
        <v>5140</v>
      </c>
      <c r="I73" s="31">
        <v>5243.1539000000002</v>
      </c>
      <c r="J73" s="31">
        <v>5316.696449</v>
      </c>
      <c r="K73" s="31">
        <v>5397.7549440000003</v>
      </c>
      <c r="L73" s="31">
        <v>5468.397594</v>
      </c>
      <c r="M73" s="31">
        <v>5551.5353420000001</v>
      </c>
      <c r="N73" s="31">
        <v>5646.6427050000002</v>
      </c>
      <c r="O73" s="31">
        <v>5719.3097770000004</v>
      </c>
      <c r="P73" s="31">
        <v>5795.9640806965899</v>
      </c>
    </row>
    <row r="74" spans="1:16" x14ac:dyDescent="0.3">
      <c r="A74" s="11" t="s">
        <v>1306</v>
      </c>
      <c r="B74" s="11" t="s">
        <v>787</v>
      </c>
      <c r="C74" s="31">
        <v>582</v>
      </c>
      <c r="D74" s="31">
        <v>582</v>
      </c>
      <c r="E74" s="31">
        <v>567</v>
      </c>
      <c r="F74" s="31">
        <v>578</v>
      </c>
      <c r="G74" s="31">
        <v>579</v>
      </c>
      <c r="H74" s="31">
        <v>594</v>
      </c>
      <c r="I74" s="31">
        <v>527.11789999999996</v>
      </c>
      <c r="J74" s="31">
        <v>504.38876900000002</v>
      </c>
      <c r="K74" s="31">
        <v>501.45948019999997</v>
      </c>
      <c r="L74" s="31">
        <v>481.37037579999998</v>
      </c>
      <c r="M74" s="31">
        <v>495.43198860000001</v>
      </c>
      <c r="N74" s="31">
        <v>469.94296179999998</v>
      </c>
      <c r="O74" s="31">
        <v>494.10036400000001</v>
      </c>
      <c r="P74" s="31">
        <v>486.43493400434102</v>
      </c>
    </row>
    <row r="75" spans="1:16" x14ac:dyDescent="0.3">
      <c r="A75" s="11" t="s">
        <v>1305</v>
      </c>
      <c r="B75" s="11" t="s">
        <v>785</v>
      </c>
      <c r="C75" s="31">
        <v>8</v>
      </c>
      <c r="D75" s="31">
        <v>8</v>
      </c>
      <c r="E75" s="31">
        <v>7</v>
      </c>
      <c r="F75" s="31">
        <v>6</v>
      </c>
      <c r="G75" s="31">
        <v>5</v>
      </c>
      <c r="H75" s="31">
        <v>14</v>
      </c>
      <c r="I75" s="31">
        <v>14.0215</v>
      </c>
      <c r="J75" s="31">
        <v>13.812728999999999</v>
      </c>
      <c r="K75" s="31">
        <v>14.333475999999999</v>
      </c>
      <c r="L75" s="31">
        <v>14.885762</v>
      </c>
      <c r="M75" s="31">
        <v>21.592987999999998</v>
      </c>
      <c r="N75" s="31">
        <v>19.183093</v>
      </c>
      <c r="O75" s="31">
        <v>18.315757000000001</v>
      </c>
      <c r="P75" s="31">
        <v>18.315757340000001</v>
      </c>
    </row>
    <row r="76" spans="1:16" x14ac:dyDescent="0.3">
      <c r="A76" s="11" t="s">
        <v>1304</v>
      </c>
      <c r="B76" s="11" t="s">
        <v>783</v>
      </c>
      <c r="C76" s="23">
        <v>0</v>
      </c>
      <c r="D76" s="23">
        <v>0</v>
      </c>
      <c r="E76" s="23">
        <v>0</v>
      </c>
      <c r="F76" s="23">
        <v>0</v>
      </c>
      <c r="G76" s="23">
        <v>0</v>
      </c>
      <c r="H76" s="31">
        <v>0</v>
      </c>
      <c r="I76" s="31">
        <v>0</v>
      </c>
      <c r="J76" s="31">
        <v>0</v>
      </c>
      <c r="K76" s="31">
        <v>0</v>
      </c>
      <c r="L76" s="31">
        <v>0</v>
      </c>
      <c r="M76" s="31">
        <v>0</v>
      </c>
      <c r="N76" s="31">
        <v>0</v>
      </c>
      <c r="O76" s="31">
        <v>0</v>
      </c>
      <c r="P76" s="31">
        <v>0</v>
      </c>
    </row>
    <row r="77" spans="1:16" x14ac:dyDescent="0.3">
      <c r="A77" s="11" t="s">
        <v>1303</v>
      </c>
      <c r="B77" s="11" t="s">
        <v>781</v>
      </c>
      <c r="C77" s="23">
        <v>0</v>
      </c>
      <c r="D77" s="23">
        <v>0</v>
      </c>
      <c r="E77" s="23">
        <v>0</v>
      </c>
      <c r="F77" s="23">
        <v>0</v>
      </c>
      <c r="G77" s="23">
        <v>0</v>
      </c>
      <c r="H77" s="31">
        <v>0</v>
      </c>
      <c r="I77" s="31">
        <v>0</v>
      </c>
      <c r="J77" s="31">
        <v>0</v>
      </c>
      <c r="K77" s="31">
        <v>0</v>
      </c>
      <c r="L77" s="31">
        <v>0</v>
      </c>
      <c r="M77" s="31">
        <v>0</v>
      </c>
      <c r="N77" s="31">
        <v>0</v>
      </c>
      <c r="O77" s="31">
        <v>0</v>
      </c>
      <c r="P77" s="31">
        <v>0</v>
      </c>
    </row>
    <row r="78" spans="1:16" x14ac:dyDescent="0.3">
      <c r="A78" s="11" t="s">
        <v>1302</v>
      </c>
      <c r="B78" s="11" t="s">
        <v>779</v>
      </c>
      <c r="C78" s="23">
        <v>0</v>
      </c>
      <c r="D78" s="23">
        <v>0</v>
      </c>
      <c r="E78" s="23">
        <v>0</v>
      </c>
      <c r="F78" s="23">
        <v>0</v>
      </c>
      <c r="G78" s="23">
        <v>0</v>
      </c>
      <c r="H78" s="31">
        <v>0</v>
      </c>
      <c r="I78" s="31">
        <v>0</v>
      </c>
      <c r="J78" s="31">
        <v>0</v>
      </c>
      <c r="K78" s="31">
        <v>0</v>
      </c>
      <c r="L78" s="31">
        <v>0</v>
      </c>
      <c r="M78" s="31">
        <v>0</v>
      </c>
      <c r="N78" s="31">
        <v>0</v>
      </c>
      <c r="O78" s="31">
        <v>0</v>
      </c>
      <c r="P78" s="31">
        <v>0</v>
      </c>
    </row>
    <row r="79" spans="1:16" x14ac:dyDescent="0.3">
      <c r="A79" s="11" t="s">
        <v>1301</v>
      </c>
      <c r="B79" s="11" t="s">
        <v>777</v>
      </c>
      <c r="C79" s="31">
        <v>573</v>
      </c>
      <c r="D79" s="31">
        <v>573</v>
      </c>
      <c r="E79" s="31">
        <v>560</v>
      </c>
      <c r="F79" s="31">
        <v>572</v>
      </c>
      <c r="G79" s="31">
        <v>574</v>
      </c>
      <c r="H79" s="31">
        <v>580</v>
      </c>
      <c r="I79" s="31">
        <v>513.09640000000002</v>
      </c>
      <c r="J79" s="31">
        <v>490.57603999999998</v>
      </c>
      <c r="K79" s="31">
        <v>487.12600420000001</v>
      </c>
      <c r="L79" s="31">
        <v>466.48461379999998</v>
      </c>
      <c r="M79" s="31">
        <v>473.83900060000002</v>
      </c>
      <c r="N79" s="31">
        <v>450.75986879999999</v>
      </c>
      <c r="O79" s="31">
        <v>475.78460699999999</v>
      </c>
      <c r="P79" s="31">
        <v>468.11917666434101</v>
      </c>
    </row>
    <row r="80" spans="1:16" x14ac:dyDescent="0.3">
      <c r="A80" s="11" t="s">
        <v>1300</v>
      </c>
      <c r="B80" s="11" t="s">
        <v>775</v>
      </c>
      <c r="C80" s="31">
        <v>1054</v>
      </c>
      <c r="D80" s="31">
        <v>1054</v>
      </c>
      <c r="E80" s="31">
        <v>1050</v>
      </c>
      <c r="F80" s="31">
        <v>1066</v>
      </c>
      <c r="G80" s="31">
        <v>1079</v>
      </c>
      <c r="H80" s="31">
        <v>1092</v>
      </c>
      <c r="I80" s="31">
        <v>1036.0096000000001</v>
      </c>
      <c r="J80" s="31">
        <v>1020.864412</v>
      </c>
      <c r="K80" s="31">
        <v>1025.468151</v>
      </c>
      <c r="L80" s="31">
        <v>1011.835797</v>
      </c>
      <c r="M80" s="31">
        <v>1026.8332359999999</v>
      </c>
      <c r="N80" s="31">
        <v>1013.5058299999999</v>
      </c>
      <c r="O80" s="31">
        <v>1045.8840090000001</v>
      </c>
      <c r="P80" s="31">
        <v>1045.8840090000001</v>
      </c>
    </row>
    <row r="81" spans="1:16" x14ac:dyDescent="0.3">
      <c r="A81" s="11" t="s">
        <v>1299</v>
      </c>
      <c r="B81" s="11" t="s">
        <v>760</v>
      </c>
      <c r="C81" s="31">
        <v>481</v>
      </c>
      <c r="D81" s="31">
        <v>481</v>
      </c>
      <c r="E81" s="31">
        <v>490</v>
      </c>
      <c r="F81" s="31">
        <v>495</v>
      </c>
      <c r="G81" s="31">
        <v>505</v>
      </c>
      <c r="H81" s="31">
        <v>513</v>
      </c>
      <c r="I81" s="31">
        <v>522.91319999999996</v>
      </c>
      <c r="J81" s="31">
        <v>530.28837199999998</v>
      </c>
      <c r="K81" s="31">
        <v>538.34214680000002</v>
      </c>
      <c r="L81" s="31">
        <v>545.35118320000004</v>
      </c>
      <c r="M81" s="31">
        <v>552.99423539999998</v>
      </c>
      <c r="N81" s="31">
        <v>562.74596120000001</v>
      </c>
      <c r="O81" s="31">
        <v>570.09940200000005</v>
      </c>
      <c r="P81" s="31">
        <v>577.76483233565898</v>
      </c>
    </row>
    <row r="82" spans="1:16" x14ac:dyDescent="0.3">
      <c r="A82" s="11" t="s">
        <v>1298</v>
      </c>
      <c r="B82" s="11" t="s">
        <v>772</v>
      </c>
      <c r="C82" s="23"/>
      <c r="D82" s="23"/>
      <c r="E82" s="23"/>
      <c r="F82" s="23"/>
      <c r="G82" s="23"/>
      <c r="H82" s="23"/>
      <c r="I82" s="23">
        <v>0</v>
      </c>
      <c r="J82" s="23">
        <v>0</v>
      </c>
      <c r="K82" s="23">
        <v>0</v>
      </c>
      <c r="L82" s="23">
        <v>0</v>
      </c>
      <c r="M82" s="23">
        <v>0</v>
      </c>
      <c r="N82" s="23">
        <v>0</v>
      </c>
      <c r="O82" s="23">
        <v>0</v>
      </c>
      <c r="P82" s="23">
        <v>0</v>
      </c>
    </row>
    <row r="83" spans="1:16" x14ac:dyDescent="0.3">
      <c r="A83" s="11" t="s">
        <v>1297</v>
      </c>
      <c r="B83" s="11" t="s">
        <v>770</v>
      </c>
      <c r="C83" s="23"/>
      <c r="D83" s="23"/>
      <c r="E83" s="23"/>
      <c r="F83" s="23"/>
      <c r="G83" s="23"/>
      <c r="H83" s="23"/>
      <c r="I83" s="23">
        <v>0</v>
      </c>
      <c r="J83" s="23">
        <v>0</v>
      </c>
      <c r="K83" s="23">
        <v>0</v>
      </c>
      <c r="L83" s="23">
        <v>0</v>
      </c>
      <c r="M83" s="23">
        <v>0</v>
      </c>
      <c r="N83" s="23">
        <v>0</v>
      </c>
      <c r="O83" s="23">
        <v>0</v>
      </c>
      <c r="P83" s="23">
        <v>0</v>
      </c>
    </row>
    <row r="84" spans="1:16" x14ac:dyDescent="0.3">
      <c r="A84" s="11" t="s">
        <v>1296</v>
      </c>
      <c r="B84" s="11" t="s">
        <v>768</v>
      </c>
      <c r="C84" s="23"/>
      <c r="D84" s="23"/>
      <c r="E84" s="23"/>
      <c r="F84" s="23"/>
      <c r="G84" s="23"/>
      <c r="H84" s="23"/>
      <c r="I84" s="23">
        <v>0</v>
      </c>
      <c r="J84" s="23">
        <v>0</v>
      </c>
      <c r="K84" s="23">
        <v>0</v>
      </c>
      <c r="L84" s="23">
        <v>0</v>
      </c>
      <c r="M84" s="23">
        <v>0</v>
      </c>
      <c r="N84" s="23">
        <v>0</v>
      </c>
      <c r="O84" s="23">
        <v>0</v>
      </c>
      <c r="P84" s="23">
        <v>0</v>
      </c>
    </row>
    <row r="85" spans="1:16" x14ac:dyDescent="0.3">
      <c r="A85" s="11" t="s">
        <v>1295</v>
      </c>
      <c r="B85" s="11" t="s">
        <v>766</v>
      </c>
      <c r="C85" s="31">
        <v>4238</v>
      </c>
      <c r="D85" s="31">
        <v>4238</v>
      </c>
      <c r="E85" s="31">
        <v>4336</v>
      </c>
      <c r="F85" s="31">
        <v>4378</v>
      </c>
      <c r="G85" s="31">
        <v>4478</v>
      </c>
      <c r="H85" s="31">
        <v>4546</v>
      </c>
      <c r="I85" s="31">
        <v>5229.1323000000002</v>
      </c>
      <c r="J85" s="31">
        <v>4812.3076799999999</v>
      </c>
      <c r="K85" s="31">
        <v>4896.2954638000001</v>
      </c>
      <c r="L85" s="31">
        <v>4987.0272181999999</v>
      </c>
      <c r="M85" s="31">
        <v>5056.1033533999998</v>
      </c>
      <c r="N85" s="31">
        <v>5176.6997431999998</v>
      </c>
      <c r="O85" s="31">
        <v>5225.2094129999996</v>
      </c>
      <c r="P85" s="31">
        <v>5309.53</v>
      </c>
    </row>
    <row r="86" spans="1:16" x14ac:dyDescent="0.3">
      <c r="A86" s="11" t="s">
        <v>1294</v>
      </c>
      <c r="B86" s="11" t="s">
        <v>764</v>
      </c>
      <c r="C86" s="23">
        <v>0</v>
      </c>
      <c r="D86" s="23">
        <v>0</v>
      </c>
      <c r="E86" s="23">
        <v>0</v>
      </c>
      <c r="F86" s="23">
        <v>0</v>
      </c>
      <c r="G86" s="23">
        <v>0</v>
      </c>
      <c r="H86" s="23">
        <v>0</v>
      </c>
      <c r="I86" s="23">
        <v>0</v>
      </c>
      <c r="J86" s="23">
        <v>0</v>
      </c>
      <c r="K86" s="23">
        <v>0</v>
      </c>
      <c r="L86" s="23">
        <v>0</v>
      </c>
      <c r="M86" s="23">
        <v>0</v>
      </c>
      <c r="N86" s="23">
        <v>0</v>
      </c>
      <c r="O86" s="23">
        <v>0</v>
      </c>
      <c r="P86" s="23">
        <v>0</v>
      </c>
    </row>
    <row r="87" spans="1:16" x14ac:dyDescent="0.3">
      <c r="A87" s="11" t="s">
        <v>1293</v>
      </c>
      <c r="B87" s="11" t="s">
        <v>762</v>
      </c>
      <c r="C87" s="31">
        <v>275</v>
      </c>
      <c r="D87" s="31">
        <v>275</v>
      </c>
      <c r="E87" s="31">
        <v>278</v>
      </c>
      <c r="F87" s="31">
        <v>283</v>
      </c>
      <c r="G87" s="31">
        <v>286</v>
      </c>
      <c r="H87" s="31">
        <v>284</v>
      </c>
      <c r="I87" s="31">
        <v>286.09120000000001</v>
      </c>
      <c r="J87" s="31">
        <v>286.77799800000003</v>
      </c>
      <c r="K87" s="31">
        <v>239.68186700000001</v>
      </c>
      <c r="L87" s="31">
        <v>237.7516</v>
      </c>
      <c r="M87" s="31">
        <v>237.23668699999999</v>
      </c>
      <c r="N87" s="31">
        <v>243.50308000000001</v>
      </c>
      <c r="O87" s="31">
        <v>241.713143</v>
      </c>
      <c r="P87" s="31">
        <v>241.713143</v>
      </c>
    </row>
    <row r="88" spans="1:16" x14ac:dyDescent="0.3">
      <c r="A88" s="11" t="s">
        <v>1292</v>
      </c>
      <c r="B88" s="11" t="s">
        <v>760</v>
      </c>
      <c r="C88" s="31">
        <v>1060</v>
      </c>
      <c r="D88" s="31">
        <v>1060</v>
      </c>
      <c r="E88" s="31">
        <v>1084</v>
      </c>
      <c r="F88" s="31">
        <v>1094</v>
      </c>
      <c r="G88" s="31">
        <v>1119</v>
      </c>
      <c r="H88" s="31">
        <v>1137</v>
      </c>
      <c r="I88" s="31">
        <v>1179.009</v>
      </c>
      <c r="J88" s="31">
        <v>1203.07692</v>
      </c>
      <c r="K88" s="31">
        <v>1224.07386595</v>
      </c>
      <c r="L88" s="31">
        <v>1246.75680455</v>
      </c>
      <c r="M88" s="31">
        <v>1264.02583835</v>
      </c>
      <c r="N88" s="31">
        <v>1294.1749358</v>
      </c>
      <c r="O88" s="31">
        <v>1306.3023532499999</v>
      </c>
      <c r="P88" s="31">
        <v>1327.38228667306</v>
      </c>
    </row>
    <row r="89" spans="1:16" x14ac:dyDescent="0.3">
      <c r="A89" s="11" t="s">
        <v>1291</v>
      </c>
      <c r="B89" s="11" t="s">
        <v>758</v>
      </c>
      <c r="C89" s="23">
        <v>0</v>
      </c>
      <c r="D89" s="23">
        <v>0</v>
      </c>
      <c r="E89" s="23">
        <v>0</v>
      </c>
      <c r="F89" s="23">
        <v>0</v>
      </c>
      <c r="G89" s="23">
        <v>0</v>
      </c>
      <c r="H89" s="23">
        <v>0</v>
      </c>
      <c r="I89" s="23">
        <v>0</v>
      </c>
      <c r="J89" s="23">
        <v>0</v>
      </c>
      <c r="K89" s="23">
        <v>0</v>
      </c>
      <c r="L89" s="23">
        <v>0</v>
      </c>
      <c r="M89" s="23">
        <v>0</v>
      </c>
      <c r="N89" s="23">
        <v>0</v>
      </c>
      <c r="O89" s="23">
        <v>0</v>
      </c>
      <c r="P89" s="23">
        <v>0</v>
      </c>
    </row>
    <row r="90" spans="1:16" x14ac:dyDescent="0.3">
      <c r="A90" s="11" t="s">
        <v>1290</v>
      </c>
      <c r="B90" s="11" t="s">
        <v>756</v>
      </c>
      <c r="C90" s="23"/>
      <c r="D90" s="23"/>
      <c r="E90" s="23"/>
      <c r="F90" s="23"/>
      <c r="G90" s="23"/>
      <c r="H90" s="23">
        <v>0</v>
      </c>
      <c r="I90" s="23">
        <v>0</v>
      </c>
      <c r="J90" s="23">
        <v>0</v>
      </c>
      <c r="K90" s="23">
        <v>0</v>
      </c>
      <c r="L90" s="23">
        <v>0</v>
      </c>
      <c r="M90" s="23">
        <v>0</v>
      </c>
      <c r="N90" s="23">
        <v>0</v>
      </c>
      <c r="O90" s="23">
        <v>0</v>
      </c>
      <c r="P90" s="23">
        <v>0</v>
      </c>
    </row>
    <row r="91" spans="1:16" x14ac:dyDescent="0.3">
      <c r="A91" s="11" t="s">
        <v>1289</v>
      </c>
      <c r="B91" s="11" t="s">
        <v>754</v>
      </c>
      <c r="C91" s="31">
        <v>4238</v>
      </c>
      <c r="D91" s="31">
        <v>4238</v>
      </c>
      <c r="E91" s="31">
        <v>4336</v>
      </c>
      <c r="F91" s="31">
        <v>4378</v>
      </c>
      <c r="G91" s="31">
        <v>4477.95</v>
      </c>
      <c r="H91" s="31">
        <v>4546.26</v>
      </c>
      <c r="I91" s="31">
        <v>4716.0360000000001</v>
      </c>
      <c r="J91" s="31">
        <v>4812.3076799999999</v>
      </c>
      <c r="K91" s="31">
        <v>4896.2954638000001</v>
      </c>
      <c r="L91" s="31">
        <v>4987.0272181999999</v>
      </c>
      <c r="M91" s="31">
        <v>5056.1033533999998</v>
      </c>
      <c r="N91" s="31">
        <v>5176.6997431999998</v>
      </c>
      <c r="O91" s="31">
        <v>5225.2094129999996</v>
      </c>
      <c r="P91" s="31">
        <v>5309.5291466922399</v>
      </c>
    </row>
    <row r="92" spans="1:16" x14ac:dyDescent="0.3">
      <c r="A92" s="11" t="s">
        <v>1288</v>
      </c>
      <c r="B92" s="11" t="s">
        <v>752</v>
      </c>
      <c r="C92" s="23"/>
      <c r="D92" s="23"/>
      <c r="E92" s="23"/>
      <c r="F92" s="23"/>
      <c r="G92" s="23"/>
      <c r="H92" s="23"/>
      <c r="I92" s="23"/>
      <c r="J92" s="23"/>
      <c r="K92" s="23"/>
      <c r="L92" s="23"/>
      <c r="M92" s="23"/>
      <c r="N92" s="23"/>
      <c r="O92" s="23"/>
      <c r="P92" s="23"/>
    </row>
    <row r="93" spans="1:16" x14ac:dyDescent="0.3">
      <c r="A93" s="11" t="s">
        <v>1287</v>
      </c>
      <c r="B93" s="11" t="s">
        <v>750</v>
      </c>
      <c r="C93" s="23"/>
      <c r="D93" s="23"/>
      <c r="E93" s="23"/>
      <c r="F93" s="23"/>
      <c r="G93" s="23"/>
      <c r="H93" s="23"/>
      <c r="I93" s="23"/>
      <c r="J93" s="23"/>
      <c r="K93" s="23"/>
      <c r="L93" s="23"/>
      <c r="M93" s="23"/>
      <c r="N93" s="23"/>
      <c r="O93" s="23"/>
      <c r="P93" s="23"/>
    </row>
    <row r="94" spans="1:16" x14ac:dyDescent="0.3">
      <c r="A94" s="11" t="s">
        <v>1286</v>
      </c>
      <c r="B94" s="11" t="s">
        <v>748</v>
      </c>
      <c r="C94" s="23"/>
      <c r="D94" s="23"/>
      <c r="E94" s="23"/>
      <c r="F94" s="23"/>
      <c r="G94" s="23"/>
      <c r="H94" s="23"/>
      <c r="I94" s="23"/>
      <c r="J94" s="23"/>
      <c r="K94" s="23"/>
      <c r="L94" s="23"/>
      <c r="M94" s="23"/>
      <c r="N94" s="23"/>
      <c r="O94" s="23"/>
      <c r="P94" s="23"/>
    </row>
    <row r="95" spans="1:16" x14ac:dyDescent="0.3">
      <c r="A95" s="11" t="s">
        <v>1285</v>
      </c>
      <c r="B95" s="11" t="s">
        <v>746</v>
      </c>
      <c r="C95" s="23"/>
      <c r="D95" s="23"/>
      <c r="E95" s="23"/>
      <c r="F95" s="23"/>
      <c r="G95" s="23"/>
      <c r="H95" s="23"/>
      <c r="I95" s="23"/>
      <c r="J95" s="23"/>
      <c r="K95" s="23"/>
      <c r="L95" s="23"/>
      <c r="M95" s="23"/>
      <c r="N95" s="23"/>
      <c r="O95" s="23"/>
      <c r="P95" s="23"/>
    </row>
    <row r="96" spans="1:16" x14ac:dyDescent="0.3">
      <c r="A96" s="11" t="s">
        <v>1284</v>
      </c>
      <c r="B96" s="11" t="s">
        <v>744</v>
      </c>
      <c r="C96" s="23"/>
      <c r="D96" s="23"/>
      <c r="E96" s="23"/>
      <c r="F96" s="23"/>
      <c r="G96" s="23"/>
      <c r="H96" s="23"/>
      <c r="I96" s="23"/>
      <c r="J96" s="23"/>
      <c r="K96" s="23"/>
      <c r="L96" s="23"/>
      <c r="M96" s="23"/>
      <c r="N96" s="23"/>
      <c r="O96" s="23"/>
      <c r="P96" s="23"/>
    </row>
    <row r="97" spans="1:16" x14ac:dyDescent="0.3">
      <c r="A97" s="11" t="s">
        <v>1283</v>
      </c>
      <c r="B97" s="11" t="s">
        <v>742</v>
      </c>
      <c r="C97" s="23"/>
      <c r="D97" s="23"/>
      <c r="E97" s="23"/>
      <c r="F97" s="23"/>
      <c r="G97" s="23"/>
      <c r="H97" s="23"/>
      <c r="I97" s="23"/>
      <c r="J97" s="23"/>
      <c r="K97" s="23"/>
      <c r="L97" s="23"/>
      <c r="M97" s="23"/>
      <c r="N97" s="23"/>
      <c r="O97" s="23"/>
      <c r="P97" s="23"/>
    </row>
    <row r="98" spans="1:16" x14ac:dyDescent="0.3">
      <c r="A98" s="11" t="s">
        <v>1282</v>
      </c>
      <c r="B98" s="11" t="s">
        <v>740</v>
      </c>
      <c r="C98" s="23"/>
      <c r="D98" s="23"/>
      <c r="E98" s="23"/>
      <c r="F98" s="23"/>
      <c r="G98" s="23"/>
      <c r="H98" s="23"/>
      <c r="I98" s="23"/>
      <c r="J98" s="23"/>
      <c r="K98" s="23"/>
      <c r="L98" s="23"/>
      <c r="M98" s="23"/>
      <c r="N98" s="23"/>
      <c r="O98" s="23"/>
      <c r="P98" s="23"/>
    </row>
    <row r="99" spans="1:16" x14ac:dyDescent="0.3">
      <c r="A99" s="11" t="s">
        <v>1281</v>
      </c>
      <c r="B99" s="11" t="s">
        <v>738</v>
      </c>
      <c r="C99" s="23"/>
      <c r="D99" s="23"/>
      <c r="E99" s="23"/>
      <c r="F99" s="23"/>
      <c r="G99" s="23"/>
      <c r="H99" s="23"/>
      <c r="I99" s="23"/>
      <c r="J99" s="23"/>
      <c r="K99" s="23"/>
      <c r="L99" s="23"/>
      <c r="M99" s="23"/>
      <c r="N99" s="23"/>
      <c r="O99" s="23"/>
      <c r="P99" s="23"/>
    </row>
    <row r="100" spans="1:16" x14ac:dyDescent="0.3">
      <c r="A100" s="11" t="s">
        <v>1280</v>
      </c>
      <c r="B100" s="11" t="s">
        <v>736</v>
      </c>
      <c r="C100" s="23"/>
      <c r="D100" s="23"/>
      <c r="E100" s="23"/>
      <c r="F100" s="23"/>
      <c r="G100" s="23"/>
      <c r="H100" s="23"/>
      <c r="I100" s="23"/>
      <c r="J100" s="23"/>
      <c r="K100" s="23"/>
      <c r="L100" s="23"/>
      <c r="M100" s="23"/>
      <c r="N100" s="23"/>
      <c r="O100" s="23"/>
      <c r="P100" s="23"/>
    </row>
    <row r="101" spans="1:16" x14ac:dyDescent="0.3">
      <c r="A101" s="11" t="s">
        <v>1279</v>
      </c>
      <c r="B101" s="11" t="s">
        <v>734</v>
      </c>
      <c r="C101" s="23"/>
      <c r="D101" s="23"/>
      <c r="E101" s="23"/>
      <c r="F101" s="23"/>
      <c r="G101" s="23"/>
      <c r="H101" s="23"/>
      <c r="I101" s="23"/>
      <c r="J101" s="23"/>
      <c r="K101" s="23"/>
      <c r="L101" s="23"/>
      <c r="M101" s="23"/>
      <c r="N101" s="23"/>
      <c r="O101" s="23"/>
      <c r="P101" s="23"/>
    </row>
    <row r="102" spans="1:16" x14ac:dyDescent="0.3">
      <c r="A102" s="11" t="s">
        <v>1278</v>
      </c>
      <c r="B102" s="11" t="s">
        <v>732</v>
      </c>
      <c r="C102" s="23"/>
      <c r="D102" s="23"/>
      <c r="E102" s="23"/>
      <c r="F102" s="23"/>
      <c r="G102" s="23"/>
      <c r="H102" s="23"/>
      <c r="I102" s="23"/>
      <c r="J102" s="23"/>
      <c r="K102" s="23"/>
      <c r="L102" s="23"/>
      <c r="M102" s="23"/>
      <c r="N102" s="23"/>
      <c r="O102" s="23"/>
      <c r="P102" s="23"/>
    </row>
    <row r="103" spans="1:16" x14ac:dyDescent="0.3">
      <c r="A103" s="11" t="s">
        <v>1277</v>
      </c>
      <c r="B103" s="11" t="s">
        <v>730</v>
      </c>
      <c r="C103" s="23"/>
      <c r="D103" s="23"/>
      <c r="E103" s="23"/>
      <c r="F103" s="23"/>
      <c r="G103" s="23"/>
      <c r="H103" s="23"/>
      <c r="I103" s="23"/>
      <c r="J103" s="23"/>
      <c r="K103" s="23"/>
      <c r="L103" s="23"/>
      <c r="M103" s="23"/>
      <c r="N103" s="23"/>
      <c r="O103" s="23"/>
      <c r="P103" s="23"/>
    </row>
    <row r="104" spans="1:16" x14ac:dyDescent="0.3">
      <c r="A104" s="11" t="s">
        <v>1276</v>
      </c>
      <c r="B104" s="11" t="s">
        <v>728</v>
      </c>
      <c r="C104" s="23"/>
      <c r="D104" s="23"/>
      <c r="E104" s="23"/>
      <c r="F104" s="23"/>
      <c r="G104" s="23"/>
      <c r="H104" s="23"/>
      <c r="I104" s="23"/>
      <c r="J104" s="23"/>
      <c r="K104" s="23"/>
      <c r="L104" s="23"/>
      <c r="M104" s="23"/>
      <c r="N104" s="23"/>
      <c r="O104" s="23"/>
      <c r="P104" s="23"/>
    </row>
    <row r="105" spans="1:16" x14ac:dyDescent="0.3">
      <c r="A105" s="11" t="s">
        <v>1275</v>
      </c>
      <c r="B105" s="11" t="s">
        <v>726</v>
      </c>
      <c r="C105" s="23"/>
      <c r="D105" s="23"/>
      <c r="E105" s="23"/>
      <c r="F105" s="23"/>
      <c r="G105" s="23"/>
      <c r="H105" s="23"/>
      <c r="I105" s="23"/>
      <c r="J105" s="23"/>
      <c r="K105" s="23"/>
      <c r="L105" s="23"/>
      <c r="M105" s="23"/>
      <c r="N105" s="23"/>
      <c r="O105" s="23"/>
      <c r="P105" s="23"/>
    </row>
    <row r="106" spans="1:16" x14ac:dyDescent="0.3">
      <c r="A106" s="11" t="s">
        <v>1274</v>
      </c>
      <c r="B106" s="11" t="s">
        <v>724</v>
      </c>
      <c r="C106" s="31">
        <v>3</v>
      </c>
      <c r="D106" s="31">
        <v>3</v>
      </c>
      <c r="E106" s="31">
        <v>3</v>
      </c>
      <c r="F106" s="31">
        <v>2</v>
      </c>
      <c r="G106" s="31">
        <v>3</v>
      </c>
      <c r="H106" s="31">
        <v>4</v>
      </c>
      <c r="I106" s="31">
        <v>4.1154000000000002</v>
      </c>
      <c r="J106" s="31">
        <v>0.103061</v>
      </c>
      <c r="K106" s="31">
        <v>9.5301999999999998E-2</v>
      </c>
      <c r="L106" s="31">
        <v>0.190974</v>
      </c>
      <c r="M106" s="31">
        <v>8.7922E-2</v>
      </c>
      <c r="N106" s="31">
        <v>0.11445</v>
      </c>
      <c r="O106" s="31">
        <v>0.115204</v>
      </c>
      <c r="P106" s="31">
        <v>0.11520378620000001</v>
      </c>
    </row>
    <row r="107" spans="1:16" x14ac:dyDescent="0.3">
      <c r="A107" s="11" t="s">
        <v>1273</v>
      </c>
      <c r="B107" s="11" t="s">
        <v>722</v>
      </c>
      <c r="C107" s="31">
        <v>3</v>
      </c>
      <c r="D107" s="31">
        <v>3</v>
      </c>
      <c r="E107" s="31">
        <v>3</v>
      </c>
      <c r="F107" s="31">
        <v>2</v>
      </c>
      <c r="G107" s="31">
        <v>3</v>
      </c>
      <c r="H107" s="31">
        <v>4</v>
      </c>
      <c r="I107" s="31">
        <v>4.1154000000000002</v>
      </c>
      <c r="J107" s="31">
        <v>0.103061</v>
      </c>
      <c r="K107" s="31">
        <v>9.5301999999999998E-2</v>
      </c>
      <c r="L107" s="31">
        <v>0.190974</v>
      </c>
      <c r="M107" s="31">
        <v>8.7922E-2</v>
      </c>
      <c r="N107" s="31">
        <v>0.11445</v>
      </c>
      <c r="O107" s="31">
        <v>0.115204</v>
      </c>
      <c r="P107" s="31">
        <v>0.115203786200029</v>
      </c>
    </row>
    <row r="108" spans="1:16" x14ac:dyDescent="0.3">
      <c r="A108" s="11" t="s">
        <v>1272</v>
      </c>
      <c r="B108" s="11" t="s">
        <v>720</v>
      </c>
      <c r="C108" s="31">
        <v>3</v>
      </c>
      <c r="D108" s="31">
        <v>3</v>
      </c>
      <c r="E108" s="31">
        <v>3</v>
      </c>
      <c r="F108" s="31">
        <v>2</v>
      </c>
      <c r="G108" s="31">
        <v>3</v>
      </c>
      <c r="H108" s="31">
        <v>4</v>
      </c>
      <c r="I108" s="31">
        <v>4.1154000000000002</v>
      </c>
      <c r="J108" s="31">
        <v>0.103061</v>
      </c>
      <c r="K108" s="31">
        <v>9.5301999999999998E-2</v>
      </c>
      <c r="L108" s="31">
        <v>0.190974</v>
      </c>
      <c r="M108" s="31">
        <v>8.7922E-2</v>
      </c>
      <c r="N108" s="31">
        <v>0.11445</v>
      </c>
      <c r="O108" s="31">
        <v>0.115204</v>
      </c>
      <c r="P108" s="31">
        <v>0.115203786200029</v>
      </c>
    </row>
    <row r="109" spans="1:16" x14ac:dyDescent="0.3">
      <c r="A109" s="11" t="s">
        <v>1271</v>
      </c>
      <c r="B109" s="11" t="s">
        <v>718</v>
      </c>
      <c r="C109" s="31">
        <v>319</v>
      </c>
      <c r="D109" s="31">
        <v>319</v>
      </c>
      <c r="E109" s="31">
        <v>321</v>
      </c>
      <c r="F109" s="31">
        <v>324</v>
      </c>
      <c r="G109" s="31">
        <v>327</v>
      </c>
      <c r="H109" s="31">
        <v>323</v>
      </c>
      <c r="I109" s="31">
        <v>326.62049999999999</v>
      </c>
      <c r="J109" s="31">
        <v>328.06436708080003</v>
      </c>
      <c r="K109" s="31">
        <v>319.17046869640001</v>
      </c>
      <c r="L109" s="31">
        <v>318.83061862080001</v>
      </c>
      <c r="M109" s="31">
        <v>321.49896981979998</v>
      </c>
      <c r="N109" s="31">
        <v>319.12188065060002</v>
      </c>
      <c r="O109" s="31">
        <v>322.78750184389997</v>
      </c>
      <c r="P109" s="31">
        <v>328.51696434870701</v>
      </c>
    </row>
    <row r="110" spans="1:16" x14ac:dyDescent="0.3">
      <c r="A110" s="11" t="s">
        <v>1270</v>
      </c>
      <c r="B110" s="11" t="s">
        <v>716</v>
      </c>
      <c r="C110" s="23"/>
      <c r="D110" s="23"/>
      <c r="E110" s="23"/>
      <c r="F110" s="23"/>
      <c r="G110" s="23"/>
      <c r="H110" s="23"/>
      <c r="I110" s="23"/>
      <c r="J110" s="23"/>
      <c r="K110" s="23"/>
      <c r="L110" s="23"/>
      <c r="M110" s="23"/>
      <c r="N110" s="23"/>
      <c r="O110" s="23"/>
      <c r="P110" s="23"/>
    </row>
    <row r="111" spans="1:16" x14ac:dyDescent="0.3">
      <c r="A111" s="11" t="s">
        <v>1269</v>
      </c>
      <c r="B111" s="11" t="s">
        <v>714</v>
      </c>
      <c r="C111" s="23"/>
      <c r="D111" s="23"/>
      <c r="E111" s="23"/>
      <c r="F111" s="23"/>
      <c r="G111" s="23"/>
      <c r="H111" s="23"/>
      <c r="I111" s="23"/>
      <c r="J111" s="23"/>
      <c r="K111" s="23"/>
      <c r="L111" s="23"/>
      <c r="M111" s="23"/>
      <c r="N111" s="23"/>
      <c r="O111" s="23"/>
      <c r="P111" s="23"/>
    </row>
    <row r="112" spans="1:16" x14ac:dyDescent="0.3">
      <c r="A112" s="11" t="s">
        <v>1268</v>
      </c>
      <c r="B112" s="11" t="s">
        <v>712</v>
      </c>
      <c r="C112" s="23"/>
      <c r="D112" s="23"/>
      <c r="E112" s="23"/>
      <c r="F112" s="23"/>
      <c r="G112" s="23"/>
      <c r="H112" s="23"/>
      <c r="I112" s="23"/>
      <c r="J112" s="23"/>
      <c r="K112" s="23"/>
      <c r="L112" s="23"/>
      <c r="M112" s="23"/>
      <c r="N112" s="23"/>
      <c r="O112" s="23"/>
      <c r="P112" s="23"/>
    </row>
    <row r="113" spans="1:16" x14ac:dyDescent="0.3">
      <c r="A113" s="11" t="s">
        <v>1267</v>
      </c>
      <c r="B113" s="11" t="s">
        <v>710</v>
      </c>
      <c r="C113" s="23"/>
      <c r="D113" s="23"/>
      <c r="E113" s="23"/>
      <c r="F113" s="23"/>
      <c r="G113" s="23"/>
      <c r="H113" s="23"/>
      <c r="I113" s="23"/>
      <c r="J113" s="23"/>
      <c r="K113" s="23"/>
      <c r="L113" s="23"/>
      <c r="M113" s="23"/>
      <c r="N113" s="23"/>
      <c r="O113" s="23"/>
      <c r="P113" s="23"/>
    </row>
    <row r="114" spans="1:16" x14ac:dyDescent="0.3">
      <c r="A114" s="11" t="s">
        <v>1266</v>
      </c>
      <c r="B114" s="11" t="s">
        <v>708</v>
      </c>
      <c r="C114" s="31">
        <v>3</v>
      </c>
      <c r="D114" s="31">
        <v>3</v>
      </c>
      <c r="E114" s="31">
        <v>3</v>
      </c>
      <c r="F114" s="31">
        <v>2</v>
      </c>
      <c r="G114" s="31">
        <v>3</v>
      </c>
      <c r="H114" s="31">
        <v>4</v>
      </c>
      <c r="I114" s="31">
        <v>4.1154000000000002</v>
      </c>
      <c r="J114" s="31">
        <v>0.103061</v>
      </c>
      <c r="K114" s="31">
        <v>9.5301999999999998E-2</v>
      </c>
      <c r="L114" s="31">
        <v>0.190974</v>
      </c>
      <c r="M114" s="31">
        <v>8.7922E-2</v>
      </c>
      <c r="N114" s="31">
        <v>0.11445</v>
      </c>
      <c r="O114" s="31">
        <v>0.115204</v>
      </c>
      <c r="P114" s="31">
        <v>0.11520378620000001</v>
      </c>
    </row>
    <row r="115" spans="1:16" x14ac:dyDescent="0.3">
      <c r="A115" s="11" t="s">
        <v>1265</v>
      </c>
      <c r="B115" s="11" t="s">
        <v>706</v>
      </c>
      <c r="C115" s="23">
        <v>0</v>
      </c>
      <c r="D115" s="23">
        <v>0</v>
      </c>
      <c r="E115" s="23">
        <v>0</v>
      </c>
      <c r="F115" s="23">
        <v>0</v>
      </c>
      <c r="G115" s="23">
        <v>0</v>
      </c>
      <c r="H115" s="23">
        <v>0</v>
      </c>
      <c r="I115" s="23">
        <v>4.1154000000000002</v>
      </c>
      <c r="J115" s="23">
        <v>0</v>
      </c>
      <c r="K115" s="23">
        <v>0</v>
      </c>
      <c r="L115" s="23">
        <v>0</v>
      </c>
      <c r="M115" s="23">
        <v>0</v>
      </c>
      <c r="N115" s="23">
        <v>0</v>
      </c>
      <c r="O115" s="23">
        <v>0</v>
      </c>
      <c r="P115" s="23">
        <v>0</v>
      </c>
    </row>
    <row r="116" spans="1:16" x14ac:dyDescent="0.3">
      <c r="A116" s="11" t="s">
        <v>1264</v>
      </c>
      <c r="B116" s="11" t="s">
        <v>704</v>
      </c>
      <c r="C116" s="31">
        <v>3</v>
      </c>
      <c r="D116" s="31">
        <v>3</v>
      </c>
      <c r="E116" s="31">
        <v>3</v>
      </c>
      <c r="F116" s="31">
        <v>2</v>
      </c>
      <c r="G116" s="31">
        <v>3</v>
      </c>
      <c r="H116" s="31">
        <v>4</v>
      </c>
      <c r="I116" s="31">
        <v>4.1154000000000002</v>
      </c>
      <c r="J116" s="31">
        <v>0.103061</v>
      </c>
      <c r="K116" s="31">
        <v>9.5301999999999998E-2</v>
      </c>
      <c r="L116" s="31">
        <v>0.190974</v>
      </c>
      <c r="M116" s="31">
        <v>8.7922E-2</v>
      </c>
      <c r="N116" s="31">
        <v>0.11445</v>
      </c>
      <c r="O116" s="31">
        <v>0.115204</v>
      </c>
      <c r="P116" s="31">
        <v>0.11520378620000001</v>
      </c>
    </row>
    <row r="117" spans="1:16" x14ac:dyDescent="0.3">
      <c r="A117" s="11" t="s">
        <v>1263</v>
      </c>
      <c r="B117" s="11" t="s">
        <v>702</v>
      </c>
      <c r="C117" s="31">
        <v>319</v>
      </c>
      <c r="D117" s="31">
        <v>319</v>
      </c>
      <c r="E117" s="31">
        <v>321</v>
      </c>
      <c r="F117" s="31">
        <v>324</v>
      </c>
      <c r="G117" s="31">
        <v>327</v>
      </c>
      <c r="H117" s="31">
        <v>323</v>
      </c>
      <c r="I117" s="31">
        <v>326.25439999999998</v>
      </c>
      <c r="J117" s="31">
        <v>328.06436708080003</v>
      </c>
      <c r="K117" s="31">
        <v>319.17046869640001</v>
      </c>
      <c r="L117" s="31">
        <v>318.83061862080001</v>
      </c>
      <c r="M117" s="31">
        <v>321.49896981979998</v>
      </c>
      <c r="N117" s="31">
        <v>319.12188065060002</v>
      </c>
      <c r="O117" s="31">
        <v>322.78750184389997</v>
      </c>
      <c r="P117" s="31">
        <v>328.01960882129799</v>
      </c>
    </row>
    <row r="118" spans="1:16" x14ac:dyDescent="0.3">
      <c r="A118" s="11" t="s">
        <v>1262</v>
      </c>
      <c r="B118" s="11" t="s">
        <v>700</v>
      </c>
      <c r="C118" s="31">
        <v>3</v>
      </c>
      <c r="D118" s="31">
        <v>3</v>
      </c>
      <c r="E118" s="31">
        <v>3</v>
      </c>
      <c r="F118" s="31">
        <v>2</v>
      </c>
      <c r="G118" s="31">
        <v>3</v>
      </c>
      <c r="H118" s="31">
        <v>4</v>
      </c>
      <c r="I118" s="31">
        <v>4.1154000000000002</v>
      </c>
      <c r="J118" s="31">
        <v>0.103061</v>
      </c>
      <c r="K118" s="31">
        <v>9.5301999999999998E-2</v>
      </c>
      <c r="L118" s="31">
        <v>0.190974</v>
      </c>
      <c r="M118" s="31">
        <v>8.7922E-2</v>
      </c>
      <c r="N118" s="31">
        <v>0.11445</v>
      </c>
      <c r="O118" s="31">
        <v>0.115204</v>
      </c>
      <c r="P118" s="31">
        <v>0.11520378620000001</v>
      </c>
    </row>
    <row r="119" spans="1:16" x14ac:dyDescent="0.3">
      <c r="A119" s="11"/>
      <c r="B119" s="11" t="s">
        <v>1261</v>
      </c>
      <c r="C119" s="23"/>
      <c r="D119" s="23"/>
      <c r="E119" s="23"/>
      <c r="F119" s="23"/>
      <c r="G119" s="23"/>
      <c r="H119" s="23"/>
      <c r="I119" s="23"/>
      <c r="J119" s="23"/>
      <c r="K119" s="23"/>
      <c r="L119" s="23"/>
      <c r="M119" s="23"/>
      <c r="N119" s="23"/>
      <c r="O119" s="23"/>
      <c r="P119" s="23"/>
    </row>
    <row r="120" spans="1:16" x14ac:dyDescent="0.3">
      <c r="A120" s="11" t="s">
        <v>1260</v>
      </c>
      <c r="B120" s="11" t="s">
        <v>698</v>
      </c>
      <c r="C120" s="31">
        <v>4238</v>
      </c>
      <c r="D120" s="31">
        <v>4238</v>
      </c>
      <c r="E120" s="31">
        <v>4336</v>
      </c>
      <c r="F120" s="31">
        <v>4378</v>
      </c>
      <c r="G120" s="31">
        <v>4478</v>
      </c>
      <c r="H120" s="31">
        <v>4546</v>
      </c>
      <c r="I120" s="31">
        <v>4716.0360000000001</v>
      </c>
      <c r="J120" s="31">
        <v>4812.3076799999999</v>
      </c>
      <c r="K120" s="31">
        <v>4896.2954638000001</v>
      </c>
      <c r="L120" s="31">
        <v>4987.0272181999999</v>
      </c>
      <c r="M120" s="31">
        <v>5056.1033533999998</v>
      </c>
      <c r="N120" s="31">
        <v>5176.6997431999998</v>
      </c>
      <c r="O120" s="31">
        <v>5225.2094129999996</v>
      </c>
      <c r="P120" s="31">
        <v>5309.5291466922399</v>
      </c>
    </row>
    <row r="121" spans="1:16" x14ac:dyDescent="0.3">
      <c r="A121" s="11" t="s">
        <v>1259</v>
      </c>
      <c r="B121" s="11" t="s">
        <v>696</v>
      </c>
      <c r="C121" s="31">
        <v>1495</v>
      </c>
      <c r="D121" s="31">
        <v>1495</v>
      </c>
      <c r="E121" s="31">
        <v>1515</v>
      </c>
      <c r="F121" s="31">
        <v>1549</v>
      </c>
      <c r="G121" s="31">
        <v>1516</v>
      </c>
      <c r="H121" s="31">
        <v>1514</v>
      </c>
      <c r="I121" s="31">
        <v>1549.6633999999999</v>
      </c>
      <c r="J121" s="31">
        <v>1525.5787444148</v>
      </c>
      <c r="K121" s="31">
        <v>1496.2229354015001</v>
      </c>
      <c r="L121" s="31">
        <v>1508.5749712339</v>
      </c>
      <c r="M121" s="31">
        <v>1527.5327059737999</v>
      </c>
      <c r="N121" s="31">
        <v>1526.5703595964001</v>
      </c>
      <c r="O121" s="31">
        <v>1579.7066306813999</v>
      </c>
      <c r="P121" s="31">
        <v>1612.5613460019599</v>
      </c>
    </row>
    <row r="122" spans="1:16" x14ac:dyDescent="0.3">
      <c r="A122" s="11" t="s">
        <v>1258</v>
      </c>
      <c r="B122" s="11" t="s">
        <v>694</v>
      </c>
      <c r="C122" s="31">
        <v>830</v>
      </c>
      <c r="D122" s="31">
        <v>830</v>
      </c>
      <c r="E122" s="31">
        <v>842</v>
      </c>
      <c r="F122" s="31">
        <v>861</v>
      </c>
      <c r="G122" s="31">
        <v>842</v>
      </c>
      <c r="H122" s="31">
        <v>841</v>
      </c>
      <c r="I122" s="31">
        <v>860.92409999999995</v>
      </c>
      <c r="J122" s="31">
        <v>847.54374689710005</v>
      </c>
      <c r="K122" s="31">
        <v>831.23496411199994</v>
      </c>
      <c r="L122" s="31">
        <v>838.09720624099998</v>
      </c>
      <c r="M122" s="31">
        <v>848.62928109649999</v>
      </c>
      <c r="N122" s="31">
        <v>848.09464422020005</v>
      </c>
      <c r="O122" s="31">
        <v>877.61479482300001</v>
      </c>
      <c r="P122" s="31">
        <v>895.867414445534</v>
      </c>
    </row>
    <row r="123" spans="1:16" x14ac:dyDescent="0.3">
      <c r="A123" s="11" t="s">
        <v>1257</v>
      </c>
      <c r="B123" s="11" t="s">
        <v>692</v>
      </c>
      <c r="C123" s="31">
        <v>0</v>
      </c>
      <c r="D123" s="31">
        <v>0</v>
      </c>
      <c r="E123" s="31">
        <v>0</v>
      </c>
      <c r="F123" s="31">
        <v>0</v>
      </c>
      <c r="G123" s="31">
        <v>0</v>
      </c>
      <c r="H123" s="31">
        <v>0</v>
      </c>
      <c r="I123" s="31">
        <v>0</v>
      </c>
      <c r="J123" s="31">
        <v>0</v>
      </c>
      <c r="K123" s="31">
        <v>0</v>
      </c>
      <c r="L123" s="31">
        <v>0</v>
      </c>
      <c r="M123" s="31">
        <v>0</v>
      </c>
      <c r="N123" s="31">
        <v>0</v>
      </c>
      <c r="O123" s="31">
        <v>0</v>
      </c>
      <c r="P123" s="31">
        <v>0</v>
      </c>
    </row>
    <row r="124" spans="1:16" x14ac:dyDescent="0.3">
      <c r="A124" s="11" t="s">
        <v>1256</v>
      </c>
      <c r="B124" s="11" t="s">
        <v>690</v>
      </c>
      <c r="C124" s="31">
        <v>0</v>
      </c>
      <c r="D124" s="31">
        <v>0</v>
      </c>
      <c r="E124" s="31">
        <v>0</v>
      </c>
      <c r="F124" s="31">
        <v>0</v>
      </c>
      <c r="G124" s="31">
        <v>0</v>
      </c>
      <c r="H124" s="31">
        <v>0</v>
      </c>
      <c r="I124" s="31">
        <v>0</v>
      </c>
      <c r="J124" s="31">
        <v>0</v>
      </c>
      <c r="K124" s="31">
        <v>0</v>
      </c>
      <c r="L124" s="31">
        <v>0</v>
      </c>
      <c r="M124" s="31">
        <v>0</v>
      </c>
      <c r="N124" s="31">
        <v>0</v>
      </c>
      <c r="O124" s="31">
        <v>0</v>
      </c>
      <c r="P124" s="31">
        <v>0</v>
      </c>
    </row>
    <row r="125" spans="1:16" x14ac:dyDescent="0.3">
      <c r="A125" s="11" t="s">
        <v>1255</v>
      </c>
      <c r="B125" s="11" t="s">
        <v>688</v>
      </c>
      <c r="C125" s="31">
        <v>1913</v>
      </c>
      <c r="D125" s="31">
        <v>1913</v>
      </c>
      <c r="E125" s="31">
        <v>1979</v>
      </c>
      <c r="F125" s="31">
        <v>1968</v>
      </c>
      <c r="G125" s="31">
        <v>2119</v>
      </c>
      <c r="H125" s="31">
        <v>2191</v>
      </c>
      <c r="I125" s="31">
        <v>2305.4484000000002</v>
      </c>
      <c r="J125" s="31">
        <v>2439.1851886879999</v>
      </c>
      <c r="K125" s="31">
        <v>2568.8375642864999</v>
      </c>
      <c r="L125" s="31">
        <v>2640.3550407251</v>
      </c>
      <c r="M125" s="31">
        <v>2679.9413663297</v>
      </c>
      <c r="N125" s="31">
        <v>2802.0347393832999</v>
      </c>
      <c r="O125" s="31">
        <v>2767.8879874956001</v>
      </c>
      <c r="P125" s="31">
        <v>2801.1003862447501</v>
      </c>
    </row>
    <row r="126" spans="1:16" x14ac:dyDescent="0.3">
      <c r="A126" s="11" t="s">
        <v>1254</v>
      </c>
      <c r="B126" s="11" t="s">
        <v>686</v>
      </c>
      <c r="C126" s="23">
        <v>0</v>
      </c>
      <c r="D126" s="23">
        <v>0</v>
      </c>
      <c r="E126" s="23">
        <v>0</v>
      </c>
      <c r="F126" s="23">
        <v>0</v>
      </c>
      <c r="G126" s="23">
        <v>0</v>
      </c>
      <c r="H126" s="31">
        <v>0</v>
      </c>
      <c r="I126" s="31">
        <v>0</v>
      </c>
      <c r="J126" s="31">
        <v>0</v>
      </c>
      <c r="K126" s="31">
        <v>0</v>
      </c>
      <c r="L126" s="31">
        <v>0</v>
      </c>
      <c r="M126" s="31">
        <v>0</v>
      </c>
      <c r="N126" s="31">
        <v>0</v>
      </c>
      <c r="O126" s="31">
        <v>0</v>
      </c>
      <c r="P126" s="31">
        <v>0</v>
      </c>
    </row>
    <row r="127" spans="1:16" x14ac:dyDescent="0.3">
      <c r="A127" s="11" t="s">
        <v>1253</v>
      </c>
      <c r="B127" s="11" t="s">
        <v>684</v>
      </c>
      <c r="C127" s="31">
        <v>4238</v>
      </c>
      <c r="D127" s="31">
        <v>4238</v>
      </c>
      <c r="E127" s="31">
        <v>4336</v>
      </c>
      <c r="F127" s="31">
        <v>4378</v>
      </c>
      <c r="G127" s="31">
        <v>4478</v>
      </c>
      <c r="H127" s="23">
        <v>4546</v>
      </c>
      <c r="I127" s="23">
        <v>4716.0360000000001</v>
      </c>
      <c r="J127" s="23">
        <v>4812.3076799999999</v>
      </c>
      <c r="K127" s="23">
        <v>4896.2954638000001</v>
      </c>
      <c r="L127" s="23">
        <v>4987.0272181999999</v>
      </c>
      <c r="M127" s="23">
        <v>5056.1033533999998</v>
      </c>
      <c r="N127" s="23">
        <v>5176.6997431999998</v>
      </c>
      <c r="O127" s="23">
        <v>5225.2094129999996</v>
      </c>
      <c r="P127" s="23">
        <v>5309.5291466922399</v>
      </c>
    </row>
    <row r="128" spans="1:16" x14ac:dyDescent="0.3">
      <c r="A128" s="11" t="s">
        <v>1252</v>
      </c>
      <c r="B128" s="11" t="s">
        <v>682</v>
      </c>
      <c r="C128" s="31">
        <v>3</v>
      </c>
      <c r="D128" s="31">
        <v>3</v>
      </c>
      <c r="E128" s="31">
        <v>3</v>
      </c>
      <c r="F128" s="31">
        <v>2</v>
      </c>
      <c r="G128" s="31">
        <v>3</v>
      </c>
      <c r="H128" s="23">
        <v>4</v>
      </c>
      <c r="I128" s="23">
        <v>4.1154000000000002</v>
      </c>
      <c r="J128" s="23">
        <v>0.103061</v>
      </c>
      <c r="K128" s="23">
        <v>9.5301999999999998E-2</v>
      </c>
      <c r="L128" s="23">
        <v>0.190974</v>
      </c>
      <c r="M128" s="23">
        <v>8.7922E-2</v>
      </c>
      <c r="N128" s="23">
        <v>0.11445</v>
      </c>
      <c r="O128" s="23">
        <v>0.115204</v>
      </c>
      <c r="P128" s="23">
        <v>0.11520378620000001</v>
      </c>
    </row>
    <row r="129" spans="1:16" x14ac:dyDescent="0.3">
      <c r="A129" s="11" t="s">
        <v>1251</v>
      </c>
      <c r="B129" s="11" t="s">
        <v>680</v>
      </c>
      <c r="C129" s="31">
        <v>4241</v>
      </c>
      <c r="D129" s="31">
        <v>4241</v>
      </c>
      <c r="E129" s="31">
        <v>4338.16</v>
      </c>
      <c r="F129" s="31">
        <v>4380</v>
      </c>
      <c r="G129" s="31">
        <v>4481</v>
      </c>
      <c r="H129" s="23">
        <v>4550</v>
      </c>
      <c r="I129" s="23">
        <v>4720.1513999999997</v>
      </c>
      <c r="J129" s="23">
        <v>4812.4107409999997</v>
      </c>
      <c r="K129" s="23">
        <v>4896.3907657999998</v>
      </c>
      <c r="L129" s="23">
        <v>4987.2181922</v>
      </c>
      <c r="M129" s="23">
        <v>5056.1912754000004</v>
      </c>
      <c r="N129" s="23">
        <v>5176.8141931999999</v>
      </c>
      <c r="O129" s="23">
        <v>5225.3246170000002</v>
      </c>
      <c r="P129" s="23">
        <v>5309.6443504784402</v>
      </c>
    </row>
    <row r="130" spans="1:16" x14ac:dyDescent="0.3">
      <c r="A130" s="11" t="s">
        <v>1250</v>
      </c>
      <c r="B130" s="11" t="s">
        <v>678</v>
      </c>
      <c r="C130" s="23"/>
      <c r="D130" s="23"/>
      <c r="E130" s="23"/>
      <c r="F130" s="23"/>
      <c r="G130" s="23"/>
      <c r="H130" s="23"/>
      <c r="I130" s="23"/>
      <c r="J130" s="23"/>
      <c r="K130" s="23"/>
      <c r="L130" s="23"/>
      <c r="M130" s="23"/>
      <c r="N130" s="23"/>
      <c r="O130" s="23"/>
      <c r="P130" s="23"/>
    </row>
    <row r="131" spans="1:16" x14ac:dyDescent="0.3">
      <c r="A131" s="11" t="s">
        <v>1249</v>
      </c>
      <c r="B131" s="11" t="s">
        <v>676</v>
      </c>
      <c r="C131" s="31">
        <v>33217</v>
      </c>
      <c r="D131" s="31">
        <v>33217</v>
      </c>
      <c r="E131" s="31">
        <v>33668</v>
      </c>
      <c r="F131" s="31">
        <v>34433</v>
      </c>
      <c r="G131" s="31">
        <v>33700</v>
      </c>
      <c r="H131" s="23">
        <v>33641</v>
      </c>
      <c r="I131" s="23">
        <v>34436.965199999999</v>
      </c>
      <c r="J131" s="23">
        <v>33901.749875900001</v>
      </c>
      <c r="K131" s="23">
        <v>33249.398564499999</v>
      </c>
      <c r="L131" s="23">
        <v>33523.888249600001</v>
      </c>
      <c r="M131" s="23">
        <v>33945.171243899997</v>
      </c>
      <c r="N131" s="23">
        <v>33923.7857688</v>
      </c>
      <c r="O131" s="23">
        <v>35104.591792899999</v>
      </c>
      <c r="P131" s="23">
        <v>35834.6965778214</v>
      </c>
    </row>
    <row r="132" spans="1:16" x14ac:dyDescent="0.3">
      <c r="A132" s="11" t="s">
        <v>1248</v>
      </c>
      <c r="B132" s="11" t="s">
        <v>674</v>
      </c>
      <c r="C132" s="31">
        <v>4875</v>
      </c>
      <c r="D132" s="31">
        <v>4875</v>
      </c>
      <c r="E132" s="31">
        <v>5159</v>
      </c>
      <c r="F132" s="31">
        <v>5655</v>
      </c>
      <c r="G132" s="31">
        <v>4646</v>
      </c>
      <c r="H132" s="23">
        <v>4842</v>
      </c>
      <c r="I132" s="23">
        <v>5303.6543000000001</v>
      </c>
      <c r="J132" s="23">
        <v>4648.2280602999999</v>
      </c>
      <c r="K132" s="23">
        <v>4673.7766717000004</v>
      </c>
      <c r="L132" s="23">
        <v>4972.4555254999996</v>
      </c>
      <c r="M132" s="23">
        <v>5181.0270718000002</v>
      </c>
      <c r="N132" s="23">
        <v>5332.2925257999996</v>
      </c>
      <c r="O132" s="23">
        <v>6242.6290626</v>
      </c>
      <c r="P132" s="23">
        <v>6484.4268857142697</v>
      </c>
    </row>
    <row r="133" spans="1:16" x14ac:dyDescent="0.3">
      <c r="A133" s="11" t="s">
        <v>1247</v>
      </c>
      <c r="B133" s="11" t="s">
        <v>672</v>
      </c>
      <c r="C133" s="31">
        <v>26766</v>
      </c>
      <c r="D133" s="31">
        <v>26766</v>
      </c>
      <c r="E133" s="31">
        <v>26889</v>
      </c>
      <c r="F133" s="31">
        <v>27140</v>
      </c>
      <c r="G133" s="31">
        <v>27407</v>
      </c>
      <c r="H133" s="23">
        <v>27128</v>
      </c>
      <c r="I133" s="23">
        <v>27438.021000000001</v>
      </c>
      <c r="J133" s="23">
        <v>27526.723886200001</v>
      </c>
      <c r="K133" s="23">
        <v>26835.037094700001</v>
      </c>
      <c r="L133" s="23">
        <v>26789.579571499999</v>
      </c>
      <c r="M133" s="23">
        <v>26988.939478299999</v>
      </c>
      <c r="N133" s="23">
        <v>26805.7510153</v>
      </c>
      <c r="O133" s="23">
        <v>27065.543010400001</v>
      </c>
      <c r="P133" s="23">
        <v>27544.159975448201</v>
      </c>
    </row>
    <row r="134" spans="1:16" x14ac:dyDescent="0.3">
      <c r="A134" s="11" t="s">
        <v>1246</v>
      </c>
      <c r="B134" s="11" t="s">
        <v>290</v>
      </c>
      <c r="C134" s="31">
        <v>1576</v>
      </c>
      <c r="D134" s="31">
        <v>1576</v>
      </c>
      <c r="E134" s="31">
        <v>1620</v>
      </c>
      <c r="F134" s="31">
        <v>1638</v>
      </c>
      <c r="G134" s="31">
        <v>1646</v>
      </c>
      <c r="H134" s="23">
        <v>1671</v>
      </c>
      <c r="I134" s="23">
        <v>1695.29</v>
      </c>
      <c r="J134" s="23">
        <v>1726.7979293999999</v>
      </c>
      <c r="K134" s="23">
        <v>1740.5847980999999</v>
      </c>
      <c r="L134" s="23">
        <v>1761.8531527</v>
      </c>
      <c r="M134" s="23">
        <v>1775.2046937</v>
      </c>
      <c r="N134" s="23">
        <v>1785.7422277000001</v>
      </c>
      <c r="O134" s="23">
        <v>1796.4197200000001</v>
      </c>
      <c r="P134" s="23">
        <v>1806.10971665889</v>
      </c>
    </row>
    <row r="135" spans="1:16" x14ac:dyDescent="0.3">
      <c r="A135" s="11" t="s">
        <v>1245</v>
      </c>
      <c r="B135" s="11" t="s">
        <v>669</v>
      </c>
      <c r="C135" s="23"/>
      <c r="D135" s="23"/>
      <c r="E135" s="23"/>
      <c r="F135" s="23"/>
      <c r="G135" s="23"/>
      <c r="H135" s="23"/>
      <c r="I135" s="23"/>
      <c r="J135" s="23"/>
      <c r="K135" s="23"/>
      <c r="L135" s="23"/>
      <c r="M135" s="23"/>
      <c r="N135" s="23"/>
      <c r="O135" s="23"/>
      <c r="P135" s="23"/>
    </row>
    <row r="136" spans="1:16" x14ac:dyDescent="0.3">
      <c r="A136" s="11" t="s">
        <v>1244</v>
      </c>
      <c r="B136" s="11" t="s">
        <v>667</v>
      </c>
      <c r="C136" s="31">
        <v>2657</v>
      </c>
      <c r="D136" s="31">
        <v>2657</v>
      </c>
      <c r="E136" s="31">
        <v>2693</v>
      </c>
      <c r="F136" s="31">
        <v>2755</v>
      </c>
      <c r="G136" s="31">
        <v>2696</v>
      </c>
      <c r="H136" s="23">
        <v>2691</v>
      </c>
      <c r="I136" s="23">
        <v>2754.9571999999998</v>
      </c>
      <c r="J136" s="23">
        <v>2712.1399901</v>
      </c>
      <c r="K136" s="23">
        <v>2659.9518852000001</v>
      </c>
      <c r="L136" s="23">
        <v>2681.9110599999999</v>
      </c>
      <c r="M136" s="23">
        <v>2715.6136995000002</v>
      </c>
      <c r="N136" s="23">
        <v>2713.9028615000002</v>
      </c>
      <c r="O136" s="23">
        <v>2808.3673434000002</v>
      </c>
      <c r="P136" s="23">
        <v>2866.7757262257101</v>
      </c>
    </row>
    <row r="137" spans="1:16" x14ac:dyDescent="0.3">
      <c r="A137" s="11" t="s">
        <v>1243</v>
      </c>
      <c r="B137" s="11" t="s">
        <v>665</v>
      </c>
      <c r="C137" s="31">
        <v>390</v>
      </c>
      <c r="D137" s="31">
        <v>390</v>
      </c>
      <c r="E137" s="31">
        <v>413</v>
      </c>
      <c r="F137" s="31">
        <v>452</v>
      </c>
      <c r="G137" s="31">
        <v>372</v>
      </c>
      <c r="H137" s="23">
        <v>387</v>
      </c>
      <c r="I137" s="23">
        <v>424.29230000000001</v>
      </c>
      <c r="J137" s="23">
        <v>371.85824480000002</v>
      </c>
      <c r="K137" s="23">
        <v>373.90213369999998</v>
      </c>
      <c r="L137" s="23">
        <v>397.79644200000001</v>
      </c>
      <c r="M137" s="23">
        <v>414.4821657</v>
      </c>
      <c r="N137" s="23">
        <v>426.5834021</v>
      </c>
      <c r="O137" s="23">
        <v>499.410325</v>
      </c>
      <c r="P137" s="23">
        <v>518.75415085714201</v>
      </c>
    </row>
    <row r="138" spans="1:16" x14ac:dyDescent="0.3">
      <c r="A138" s="11" t="s">
        <v>1242</v>
      </c>
      <c r="B138" s="11" t="s">
        <v>663</v>
      </c>
      <c r="C138" s="31">
        <v>357</v>
      </c>
      <c r="D138" s="31">
        <v>357</v>
      </c>
      <c r="E138" s="31">
        <v>378</v>
      </c>
      <c r="F138" s="31">
        <v>415</v>
      </c>
      <c r="G138" s="31">
        <v>353</v>
      </c>
      <c r="H138" s="23">
        <v>370</v>
      </c>
      <c r="I138" s="23">
        <v>407.00810000000001</v>
      </c>
      <c r="J138" s="23">
        <v>336.9590786</v>
      </c>
      <c r="K138" s="23">
        <v>350.8935214</v>
      </c>
      <c r="L138" s="23">
        <v>372.79656999999997</v>
      </c>
      <c r="M138" s="23">
        <v>393.56022430000002</v>
      </c>
      <c r="N138" s="23">
        <v>405.7600387</v>
      </c>
      <c r="O138" s="23">
        <v>476.80390829999999</v>
      </c>
      <c r="P138" s="23">
        <v>497.17844662208398</v>
      </c>
    </row>
    <row r="139" spans="1:16" x14ac:dyDescent="0.3">
      <c r="A139" s="11" t="s">
        <v>1241</v>
      </c>
      <c r="B139" s="11" t="s">
        <v>661</v>
      </c>
      <c r="C139" s="23"/>
      <c r="D139" s="23"/>
      <c r="E139" s="23"/>
      <c r="F139" s="23"/>
      <c r="G139" s="23"/>
      <c r="H139" s="23"/>
      <c r="I139" s="23">
        <v>0</v>
      </c>
      <c r="J139" s="23">
        <v>0</v>
      </c>
      <c r="K139" s="23">
        <v>0</v>
      </c>
      <c r="L139" s="23"/>
      <c r="M139" s="23"/>
      <c r="N139" s="23"/>
      <c r="O139" s="23"/>
      <c r="P139" s="23"/>
    </row>
    <row r="140" spans="1:16" x14ac:dyDescent="0.3">
      <c r="A140" s="11" t="s">
        <v>1240</v>
      </c>
      <c r="B140" s="11" t="s">
        <v>659</v>
      </c>
      <c r="C140" s="23"/>
      <c r="D140" s="23"/>
      <c r="E140" s="23"/>
      <c r="F140" s="23"/>
      <c r="G140" s="23"/>
      <c r="H140" s="23"/>
      <c r="I140" s="23">
        <v>0</v>
      </c>
      <c r="J140" s="23">
        <v>0</v>
      </c>
      <c r="K140" s="23">
        <v>0</v>
      </c>
      <c r="L140" s="23"/>
      <c r="M140" s="23"/>
      <c r="N140" s="23"/>
      <c r="O140" s="23"/>
      <c r="P140" s="23"/>
    </row>
    <row r="141" spans="1:16" x14ac:dyDescent="0.3">
      <c r="A141" s="11" t="s">
        <v>1239</v>
      </c>
      <c r="B141" s="11" t="s">
        <v>657</v>
      </c>
      <c r="C141" s="31">
        <v>22</v>
      </c>
      <c r="D141" s="31">
        <v>22</v>
      </c>
      <c r="E141" s="31">
        <v>22</v>
      </c>
      <c r="F141" s="31">
        <v>22</v>
      </c>
      <c r="G141" s="31">
        <v>4</v>
      </c>
      <c r="H141" s="31">
        <v>4</v>
      </c>
      <c r="I141" s="31">
        <v>4.7763999999999998</v>
      </c>
      <c r="J141" s="31">
        <v>8.8205144999999998</v>
      </c>
      <c r="K141" s="31">
        <v>9.1995004999999992</v>
      </c>
      <c r="L141" s="31">
        <v>9.6556403</v>
      </c>
      <c r="M141" s="31">
        <v>9.4298335000000009</v>
      </c>
      <c r="N141" s="31">
        <v>9.0401810999999999</v>
      </c>
      <c r="O141" s="31">
        <v>8.9398275999999992</v>
      </c>
      <c r="P141" s="31">
        <v>7.9091151350576103</v>
      </c>
    </row>
    <row r="142" spans="1:16" x14ac:dyDescent="0.3">
      <c r="A142" s="11" t="s">
        <v>1238</v>
      </c>
      <c r="B142" s="11" t="s">
        <v>655</v>
      </c>
      <c r="C142" s="23"/>
      <c r="D142" s="23"/>
      <c r="E142" s="23"/>
      <c r="F142" s="23"/>
      <c r="G142" s="23"/>
      <c r="H142" s="23"/>
      <c r="I142" s="23">
        <v>0</v>
      </c>
      <c r="J142" s="23">
        <v>0</v>
      </c>
      <c r="K142" s="23">
        <v>0</v>
      </c>
      <c r="L142" s="23"/>
      <c r="M142" s="23"/>
      <c r="N142" s="23"/>
      <c r="O142" s="23"/>
      <c r="P142" s="23"/>
    </row>
    <row r="143" spans="1:16" x14ac:dyDescent="0.3">
      <c r="A143" s="11" t="s">
        <v>1237</v>
      </c>
      <c r="B143" s="11" t="s">
        <v>653</v>
      </c>
      <c r="C143" s="23"/>
      <c r="D143" s="23"/>
      <c r="E143" s="23"/>
      <c r="F143" s="23"/>
      <c r="G143" s="23"/>
      <c r="H143" s="23"/>
      <c r="I143" s="23">
        <v>0</v>
      </c>
      <c r="J143" s="23">
        <v>0</v>
      </c>
      <c r="K143" s="23">
        <v>0</v>
      </c>
      <c r="L143" s="23"/>
      <c r="M143" s="23"/>
      <c r="N143" s="23"/>
      <c r="O143" s="23"/>
      <c r="P143" s="23"/>
    </row>
    <row r="144" spans="1:16" x14ac:dyDescent="0.3">
      <c r="A144" s="11" t="s">
        <v>1236</v>
      </c>
      <c r="B144" s="11" t="s">
        <v>651</v>
      </c>
      <c r="C144" s="31">
        <v>11</v>
      </c>
      <c r="D144" s="31">
        <v>11</v>
      </c>
      <c r="E144" s="31">
        <v>13</v>
      </c>
      <c r="F144" s="31">
        <v>15</v>
      </c>
      <c r="G144" s="31">
        <v>15</v>
      </c>
      <c r="H144" s="31">
        <v>13</v>
      </c>
      <c r="I144" s="31">
        <v>12.507899999999999</v>
      </c>
      <c r="J144" s="31">
        <v>26.078651700000002</v>
      </c>
      <c r="K144" s="31">
        <v>13.8091118</v>
      </c>
      <c r="L144" s="31">
        <v>15.344231799999999</v>
      </c>
      <c r="M144" s="31">
        <v>11.492108</v>
      </c>
      <c r="N144" s="31">
        <v>11.7831823</v>
      </c>
      <c r="O144" s="31">
        <v>13.666589099999999</v>
      </c>
      <c r="P144" s="31">
        <v>13.666589099999999</v>
      </c>
    </row>
    <row r="145" spans="1:16" x14ac:dyDescent="0.3">
      <c r="A145" s="11" t="s">
        <v>1235</v>
      </c>
      <c r="B145" s="11" t="s">
        <v>649</v>
      </c>
      <c r="C145" s="23"/>
      <c r="D145" s="23"/>
      <c r="E145" s="23"/>
      <c r="F145" s="23"/>
      <c r="G145" s="23"/>
      <c r="H145" s="23"/>
      <c r="I145" s="23"/>
      <c r="J145" s="23"/>
      <c r="K145" s="23"/>
      <c r="L145" s="23"/>
      <c r="M145" s="23"/>
      <c r="N145" s="23"/>
      <c r="O145" s="23"/>
      <c r="P145" s="23"/>
    </row>
    <row r="146" spans="1:16" x14ac:dyDescent="0.3">
      <c r="A146" s="11" t="s">
        <v>1234</v>
      </c>
      <c r="B146" s="11" t="s">
        <v>647</v>
      </c>
      <c r="C146" s="23"/>
      <c r="D146" s="23"/>
      <c r="E146" s="23"/>
      <c r="F146" s="23"/>
      <c r="G146" s="23"/>
      <c r="H146" s="23"/>
      <c r="I146" s="23"/>
      <c r="J146" s="23"/>
      <c r="K146" s="23"/>
      <c r="L146" s="23"/>
      <c r="M146" s="23"/>
      <c r="N146" s="23"/>
      <c r="O146" s="23"/>
      <c r="P146" s="23"/>
    </row>
    <row r="147" spans="1:16" x14ac:dyDescent="0.3">
      <c r="A147" s="11" t="s">
        <v>1233</v>
      </c>
      <c r="B147" s="11" t="s">
        <v>645</v>
      </c>
      <c r="C147" s="23"/>
      <c r="D147" s="23"/>
      <c r="E147" s="23"/>
      <c r="F147" s="23"/>
      <c r="G147" s="23"/>
      <c r="H147" s="23"/>
      <c r="I147" s="23"/>
      <c r="J147" s="23"/>
      <c r="K147" s="23"/>
      <c r="L147" s="23"/>
      <c r="M147" s="23"/>
      <c r="N147" s="23"/>
      <c r="O147" s="23"/>
      <c r="P147" s="23"/>
    </row>
    <row r="148" spans="1:16" x14ac:dyDescent="0.3">
      <c r="A148" s="11" t="s">
        <v>1232</v>
      </c>
      <c r="B148" s="11" t="s">
        <v>643</v>
      </c>
      <c r="C148" s="23"/>
      <c r="D148" s="23"/>
      <c r="E148" s="23"/>
      <c r="F148" s="23"/>
      <c r="G148" s="23"/>
      <c r="H148" s="23"/>
      <c r="I148" s="23"/>
      <c r="J148" s="23"/>
      <c r="K148" s="23"/>
      <c r="L148" s="23"/>
      <c r="M148" s="23"/>
      <c r="N148" s="23"/>
      <c r="O148" s="23"/>
      <c r="P148" s="23"/>
    </row>
    <row r="149" spans="1:16" x14ac:dyDescent="0.3">
      <c r="A149" s="11" t="s">
        <v>1231</v>
      </c>
      <c r="B149" s="11" t="s">
        <v>641</v>
      </c>
      <c r="C149" s="23"/>
      <c r="D149" s="23"/>
      <c r="E149" s="23"/>
      <c r="F149" s="23"/>
      <c r="G149" s="23"/>
      <c r="H149" s="23"/>
      <c r="I149" s="23"/>
      <c r="J149" s="23"/>
      <c r="K149" s="23"/>
      <c r="L149" s="23"/>
      <c r="M149" s="23"/>
      <c r="N149" s="23"/>
      <c r="O149" s="23"/>
      <c r="P149" s="23"/>
    </row>
    <row r="150" spans="1:16" x14ac:dyDescent="0.3">
      <c r="A150" s="11" t="s">
        <v>1230</v>
      </c>
      <c r="B150" s="11" t="s">
        <v>639</v>
      </c>
      <c r="C150" s="23"/>
      <c r="D150" s="23"/>
      <c r="E150" s="23"/>
      <c r="F150" s="23"/>
      <c r="G150" s="23"/>
      <c r="H150" s="23"/>
      <c r="I150" s="23"/>
      <c r="J150" s="23"/>
      <c r="K150" s="23"/>
      <c r="L150" s="23"/>
      <c r="M150" s="23"/>
      <c r="N150" s="23"/>
      <c r="O150" s="23"/>
      <c r="P150" s="23"/>
    </row>
    <row r="151" spans="1:16" x14ac:dyDescent="0.3">
      <c r="A151" s="11" t="s">
        <v>1229</v>
      </c>
      <c r="B151" s="11" t="s">
        <v>637</v>
      </c>
      <c r="C151" s="31">
        <v>2141</v>
      </c>
      <c r="D151" s="31">
        <v>2141</v>
      </c>
      <c r="E151" s="31">
        <v>2151</v>
      </c>
      <c r="F151" s="31">
        <v>2171</v>
      </c>
      <c r="G151" s="31">
        <v>2193</v>
      </c>
      <c r="H151" s="31">
        <v>2170</v>
      </c>
      <c r="I151" s="31">
        <v>2195.0417000000002</v>
      </c>
      <c r="J151" s="31">
        <v>2202.1379109</v>
      </c>
      <c r="K151" s="31">
        <v>2146.8029676000001</v>
      </c>
      <c r="L151" s="31">
        <v>2143.1663656999999</v>
      </c>
      <c r="M151" s="31">
        <v>2159.1151583000001</v>
      </c>
      <c r="N151" s="31">
        <v>2144.4600811999999</v>
      </c>
      <c r="O151" s="31">
        <v>2165.2434407999999</v>
      </c>
      <c r="P151" s="31">
        <v>2203.5327980358602</v>
      </c>
    </row>
    <row r="152" spans="1:16" x14ac:dyDescent="0.3">
      <c r="A152" s="11" t="s">
        <v>1228</v>
      </c>
      <c r="B152" s="11" t="s">
        <v>635</v>
      </c>
      <c r="C152" s="23"/>
      <c r="D152" s="23"/>
      <c r="E152" s="23"/>
      <c r="F152" s="23"/>
      <c r="G152" s="23"/>
      <c r="H152" s="23"/>
      <c r="I152" s="23">
        <v>0</v>
      </c>
      <c r="J152" s="23">
        <v>0</v>
      </c>
      <c r="K152" s="23">
        <v>0</v>
      </c>
      <c r="L152" s="23"/>
      <c r="M152" s="23"/>
      <c r="N152" s="23"/>
      <c r="O152" s="23"/>
      <c r="P152" s="23"/>
    </row>
    <row r="153" spans="1:16" x14ac:dyDescent="0.3">
      <c r="A153" s="11" t="s">
        <v>1227</v>
      </c>
      <c r="B153" s="11" t="s">
        <v>633</v>
      </c>
      <c r="C153" s="23">
        <v>0</v>
      </c>
      <c r="D153" s="23">
        <v>0</v>
      </c>
      <c r="E153" s="23">
        <v>0</v>
      </c>
      <c r="F153" s="23">
        <v>0</v>
      </c>
      <c r="G153" s="23">
        <v>0</v>
      </c>
      <c r="H153" s="23">
        <v>0</v>
      </c>
      <c r="I153" s="23">
        <v>0.21029999999999999</v>
      </c>
      <c r="J153" s="23">
        <v>0.16754620000000001</v>
      </c>
      <c r="K153" s="23">
        <v>0.16208829999999999</v>
      </c>
      <c r="L153" s="23">
        <v>0.13605120000000001</v>
      </c>
      <c r="M153" s="23">
        <v>9.3244199999999999E-2</v>
      </c>
      <c r="N153" s="23">
        <v>9.0436299999999997E-2</v>
      </c>
      <c r="O153" s="23">
        <v>7.6497899999999994E-2</v>
      </c>
      <c r="P153" s="23">
        <v>6.3620159999999995E-2</v>
      </c>
    </row>
    <row r="154" spans="1:16" x14ac:dyDescent="0.3">
      <c r="A154" s="11" t="s">
        <v>1226</v>
      </c>
      <c r="B154" s="11" t="s">
        <v>631</v>
      </c>
      <c r="C154" s="23"/>
      <c r="D154" s="23"/>
      <c r="E154" s="23"/>
      <c r="F154" s="23"/>
      <c r="G154" s="23"/>
      <c r="H154" s="23"/>
      <c r="I154" s="23">
        <v>0</v>
      </c>
      <c r="J154" s="23">
        <v>0</v>
      </c>
      <c r="K154" s="23">
        <v>0</v>
      </c>
      <c r="L154" s="23"/>
      <c r="M154" s="23"/>
      <c r="N154" s="23"/>
      <c r="O154" s="23"/>
      <c r="P154" s="23"/>
    </row>
    <row r="155" spans="1:16" x14ac:dyDescent="0.3">
      <c r="A155" s="11" t="s">
        <v>1225</v>
      </c>
      <c r="B155" s="11" t="s">
        <v>629</v>
      </c>
      <c r="C155" s="23"/>
      <c r="D155" s="23"/>
      <c r="E155" s="23"/>
      <c r="F155" s="23"/>
      <c r="G155" s="23"/>
      <c r="H155" s="23"/>
      <c r="I155" s="23">
        <v>0</v>
      </c>
      <c r="J155" s="23">
        <v>0</v>
      </c>
      <c r="K155" s="23">
        <v>0</v>
      </c>
      <c r="L155" s="23"/>
      <c r="M155" s="23"/>
      <c r="N155" s="23"/>
      <c r="O155" s="23"/>
      <c r="P155" s="23"/>
    </row>
    <row r="156" spans="1:16" x14ac:dyDescent="0.3">
      <c r="A156" s="11" t="s">
        <v>1224</v>
      </c>
      <c r="B156" s="11" t="s">
        <v>627</v>
      </c>
      <c r="C156" s="31">
        <v>1702</v>
      </c>
      <c r="D156" s="31">
        <v>1702</v>
      </c>
      <c r="E156" s="31">
        <v>1711</v>
      </c>
      <c r="F156" s="31">
        <v>1737</v>
      </c>
      <c r="G156" s="31">
        <v>1762</v>
      </c>
      <c r="H156" s="31">
        <v>1736</v>
      </c>
      <c r="I156" s="31">
        <v>1762.4365</v>
      </c>
      <c r="J156" s="31">
        <v>1773.9291459999999</v>
      </c>
      <c r="K156" s="31">
        <v>1618.3031994999999</v>
      </c>
      <c r="L156" s="31">
        <v>1640.2173783000001</v>
      </c>
      <c r="M156" s="31">
        <v>1673.8676270999999</v>
      </c>
      <c r="N156" s="31">
        <v>1665.4343623</v>
      </c>
      <c r="O156" s="31">
        <v>1689.4073512</v>
      </c>
      <c r="P156" s="31">
        <v>1712.7600598153699</v>
      </c>
    </row>
    <row r="157" spans="1:16" x14ac:dyDescent="0.3">
      <c r="A157" s="11" t="s">
        <v>1223</v>
      </c>
      <c r="B157" s="11" t="s">
        <v>1001</v>
      </c>
      <c r="C157" s="23"/>
      <c r="D157" s="23"/>
      <c r="E157" s="23"/>
      <c r="F157" s="23"/>
      <c r="G157" s="23"/>
      <c r="H157" s="23"/>
      <c r="I157" s="23"/>
      <c r="J157" s="23"/>
      <c r="K157" s="23"/>
      <c r="L157" s="23"/>
      <c r="M157" s="23"/>
      <c r="N157" s="23"/>
      <c r="O157" s="23"/>
      <c r="P157" s="23"/>
    </row>
    <row r="158" spans="1:16" x14ac:dyDescent="0.3">
      <c r="A158" s="11" t="s">
        <v>1222</v>
      </c>
      <c r="B158" s="11" t="s">
        <v>623</v>
      </c>
      <c r="C158" s="31">
        <v>318</v>
      </c>
      <c r="D158" s="31">
        <v>318</v>
      </c>
      <c r="E158" s="31">
        <v>315</v>
      </c>
      <c r="F158" s="31">
        <v>307</v>
      </c>
      <c r="G158" s="31">
        <v>308</v>
      </c>
      <c r="H158" s="31">
        <v>312</v>
      </c>
      <c r="I158" s="31">
        <v>310.59190000000001</v>
      </c>
      <c r="J158" s="31">
        <v>305.6017501</v>
      </c>
      <c r="K158" s="31">
        <v>409.689708</v>
      </c>
      <c r="L158" s="31">
        <v>385.92891420000001</v>
      </c>
      <c r="M158" s="31">
        <v>370.22323540000002</v>
      </c>
      <c r="N158" s="31">
        <v>363.37740980000001</v>
      </c>
      <c r="O158" s="31">
        <v>363.02497620000003</v>
      </c>
      <c r="P158" s="31">
        <v>377.36397407213701</v>
      </c>
    </row>
    <row r="159" spans="1:16" x14ac:dyDescent="0.3">
      <c r="A159" s="11" t="s">
        <v>1221</v>
      </c>
      <c r="B159" s="11" t="s">
        <v>621</v>
      </c>
      <c r="C159" s="23"/>
      <c r="D159" s="23"/>
      <c r="E159" s="23"/>
      <c r="F159" s="23"/>
      <c r="G159" s="23"/>
      <c r="H159" s="23"/>
      <c r="I159" s="23"/>
      <c r="J159" s="23"/>
      <c r="K159" s="23"/>
      <c r="L159" s="23"/>
      <c r="M159" s="23"/>
      <c r="N159" s="23"/>
      <c r="O159" s="23"/>
      <c r="P159" s="23"/>
    </row>
    <row r="160" spans="1:16" x14ac:dyDescent="0.3">
      <c r="A160" s="11" t="s">
        <v>1220</v>
      </c>
      <c r="B160" s="11" t="s">
        <v>1219</v>
      </c>
      <c r="C160" s="23"/>
      <c r="D160" s="23"/>
      <c r="E160" s="23"/>
      <c r="F160" s="23"/>
      <c r="G160" s="23"/>
      <c r="H160" s="23"/>
      <c r="I160" s="23"/>
      <c r="J160" s="23"/>
    </row>
    <row r="161" spans="1:16" x14ac:dyDescent="0.3">
      <c r="A161" s="11" t="s">
        <v>1218</v>
      </c>
      <c r="B161" s="11" t="s">
        <v>619</v>
      </c>
      <c r="C161" s="31">
        <v>4</v>
      </c>
      <c r="D161" s="31">
        <v>4</v>
      </c>
      <c r="E161" s="31">
        <v>4</v>
      </c>
      <c r="F161" s="31">
        <v>3</v>
      </c>
      <c r="G161" s="31">
        <v>3</v>
      </c>
      <c r="H161" s="31">
        <v>3</v>
      </c>
      <c r="I161" s="31">
        <v>2.1328</v>
      </c>
      <c r="J161" s="31">
        <v>1.9500375999999999</v>
      </c>
      <c r="K161" s="23">
        <v>2.5286620000000002</v>
      </c>
      <c r="L161" s="23">
        <v>2.4599033000000001</v>
      </c>
      <c r="M161" s="23">
        <v>2.2135691999999998</v>
      </c>
      <c r="N161" s="23">
        <v>2.2071171999999999</v>
      </c>
      <c r="O161" s="23">
        <v>3.1194552</v>
      </c>
      <c r="P161" s="23">
        <v>3.1194552154127999</v>
      </c>
    </row>
    <row r="162" spans="1:16" x14ac:dyDescent="0.3">
      <c r="A162" s="11" t="s">
        <v>1217</v>
      </c>
      <c r="B162" s="11" t="s">
        <v>617</v>
      </c>
      <c r="C162" s="31">
        <v>100</v>
      </c>
      <c r="D162" s="31">
        <v>100</v>
      </c>
      <c r="E162" s="31">
        <v>105</v>
      </c>
      <c r="F162" s="31">
        <v>109</v>
      </c>
      <c r="G162" s="31">
        <v>104</v>
      </c>
      <c r="H162" s="31">
        <v>103</v>
      </c>
      <c r="I162" s="31">
        <v>103.74169999999999</v>
      </c>
      <c r="J162" s="31">
        <v>104.4429578</v>
      </c>
      <c r="K162" s="31">
        <v>104.6349499</v>
      </c>
      <c r="L162" s="23">
        <v>103.00581080000001</v>
      </c>
      <c r="M162" s="31">
        <v>102.350765</v>
      </c>
      <c r="N162" s="23">
        <v>102.9496996</v>
      </c>
      <c r="O162" s="31">
        <v>99.126412700000003</v>
      </c>
      <c r="P162" s="31">
        <v>99.744055346852704</v>
      </c>
    </row>
    <row r="163" spans="1:16" x14ac:dyDescent="0.3">
      <c r="A163" s="11" t="s">
        <v>1216</v>
      </c>
      <c r="B163" s="11" t="s">
        <v>615</v>
      </c>
      <c r="C163" s="31">
        <v>15</v>
      </c>
      <c r="D163" s="31">
        <v>15</v>
      </c>
      <c r="E163" s="31">
        <v>15</v>
      </c>
      <c r="F163" s="31">
        <v>15</v>
      </c>
      <c r="G163" s="31">
        <v>15</v>
      </c>
      <c r="H163" s="31">
        <v>15</v>
      </c>
      <c r="I163" s="31">
        <v>14.999599999999999</v>
      </c>
      <c r="J163" s="31">
        <v>15.165491400000001</v>
      </c>
      <c r="K163" s="31">
        <v>10.2849621</v>
      </c>
      <c r="L163" s="31">
        <v>10.249183</v>
      </c>
      <c r="M163" s="31">
        <v>9.0864232000000005</v>
      </c>
      <c r="N163" s="31">
        <v>9.0860296999999992</v>
      </c>
      <c r="O163" s="31">
        <v>9.2014625999999993</v>
      </c>
      <c r="P163" s="31">
        <v>9.2014625688000002</v>
      </c>
    </row>
    <row r="164" spans="1:16" x14ac:dyDescent="0.3">
      <c r="A164" s="11" t="s">
        <v>1215</v>
      </c>
      <c r="B164" s="11" t="s">
        <v>613</v>
      </c>
      <c r="C164" s="31">
        <v>0.89</v>
      </c>
      <c r="D164" s="31">
        <v>0.89</v>
      </c>
      <c r="E164" s="31">
        <v>0.88</v>
      </c>
      <c r="F164" s="31">
        <v>0.89</v>
      </c>
      <c r="G164" s="31">
        <v>0.86</v>
      </c>
      <c r="H164" s="31">
        <v>1</v>
      </c>
      <c r="I164" s="31">
        <v>0.81930000000000003</v>
      </c>
      <c r="J164" s="31">
        <v>0.79759480000000005</v>
      </c>
      <c r="K164" s="31">
        <v>1.1237344</v>
      </c>
      <c r="L164" s="31">
        <v>1.1083388000000001</v>
      </c>
      <c r="M164" s="31">
        <v>1.2414232000000001</v>
      </c>
      <c r="N164" s="31">
        <v>1.2792037999999999</v>
      </c>
      <c r="O164" s="31">
        <v>1.2598834000000001</v>
      </c>
      <c r="P164" s="31">
        <v>1.25988342</v>
      </c>
    </row>
    <row r="165" spans="1:16" x14ac:dyDescent="0.3">
      <c r="A165" s="11" t="s">
        <v>1214</v>
      </c>
      <c r="B165" s="11" t="s">
        <v>611</v>
      </c>
      <c r="C165" s="23"/>
      <c r="D165" s="23"/>
      <c r="E165" s="23"/>
      <c r="F165" s="23"/>
      <c r="G165" s="23"/>
      <c r="H165" s="23"/>
      <c r="I165" s="23"/>
      <c r="J165" s="23"/>
      <c r="K165" s="23"/>
      <c r="L165" s="23"/>
      <c r="M165" s="23"/>
      <c r="N165" s="23"/>
      <c r="O165" s="23"/>
      <c r="P165" s="23"/>
    </row>
    <row r="166" spans="1:16" x14ac:dyDescent="0.3">
      <c r="A166" s="11" t="s">
        <v>1213</v>
      </c>
      <c r="B166" s="11" t="s">
        <v>609</v>
      </c>
      <c r="C166" s="31">
        <v>0</v>
      </c>
      <c r="D166" s="31">
        <v>0</v>
      </c>
      <c r="E166" s="31">
        <v>0</v>
      </c>
      <c r="F166" s="31">
        <v>0</v>
      </c>
      <c r="G166" s="31">
        <v>0.17</v>
      </c>
      <c r="H166" s="31">
        <v>0.13</v>
      </c>
      <c r="I166" s="31">
        <v>0.1096</v>
      </c>
      <c r="J166" s="31">
        <v>8.3387000000000003E-2</v>
      </c>
      <c r="K166" s="31">
        <v>7.5663499999999995E-2</v>
      </c>
      <c r="L166" s="31">
        <v>6.0786199999999999E-2</v>
      </c>
      <c r="M166" s="31">
        <v>3.8871000000000003E-2</v>
      </c>
      <c r="N166" s="31">
        <v>3.58225E-2</v>
      </c>
      <c r="O166" s="31">
        <v>2.7401600000000002E-2</v>
      </c>
      <c r="P166" s="31">
        <v>2.0287437281239901E-2</v>
      </c>
    </row>
    <row r="167" spans="1:16" x14ac:dyDescent="0.3">
      <c r="A167" s="11" t="s">
        <v>1212</v>
      </c>
      <c r="B167" s="11" t="s">
        <v>607</v>
      </c>
      <c r="C167" s="23">
        <v>0</v>
      </c>
      <c r="D167" s="23">
        <v>0</v>
      </c>
      <c r="E167" s="23">
        <v>0</v>
      </c>
      <c r="F167" s="23">
        <v>0</v>
      </c>
      <c r="G167" s="23">
        <v>0</v>
      </c>
      <c r="H167" s="23"/>
      <c r="I167" s="23"/>
      <c r="J167" s="23"/>
      <c r="K167" s="23"/>
      <c r="L167" s="23"/>
      <c r="M167" s="23"/>
      <c r="N167" s="23"/>
      <c r="O167" s="23"/>
      <c r="P167" s="23"/>
    </row>
    <row r="168" spans="1:16" x14ac:dyDescent="0.3">
      <c r="A168" s="11" t="s">
        <v>1211</v>
      </c>
      <c r="B168" s="11" t="s">
        <v>605</v>
      </c>
      <c r="C168" s="23">
        <v>0</v>
      </c>
      <c r="D168" s="23">
        <v>0</v>
      </c>
      <c r="E168" s="23">
        <v>0</v>
      </c>
      <c r="F168" s="23">
        <v>0</v>
      </c>
      <c r="G168" s="23">
        <v>0</v>
      </c>
      <c r="H168" s="23"/>
      <c r="I168" s="23"/>
      <c r="J168" s="23"/>
      <c r="K168" s="23"/>
      <c r="L168" s="23"/>
      <c r="M168" s="23"/>
      <c r="N168" s="23"/>
      <c r="O168" s="23"/>
      <c r="P168" s="23"/>
    </row>
    <row r="169" spans="1:16" x14ac:dyDescent="0.3">
      <c r="A169" s="11" t="s">
        <v>1210</v>
      </c>
      <c r="B169" s="11" t="s">
        <v>603</v>
      </c>
      <c r="C169" s="23">
        <v>126</v>
      </c>
      <c r="D169" s="23">
        <v>126</v>
      </c>
      <c r="E169" s="23">
        <v>130</v>
      </c>
      <c r="F169" s="23">
        <v>131</v>
      </c>
      <c r="G169" s="23">
        <v>132</v>
      </c>
      <c r="H169" s="23">
        <v>133.66</v>
      </c>
      <c r="I169" s="23">
        <v>135.6232</v>
      </c>
      <c r="J169" s="23">
        <v>138.1438344</v>
      </c>
      <c r="K169" s="23">
        <v>139.2467838</v>
      </c>
      <c r="L169" s="23">
        <v>140.94825220000001</v>
      </c>
      <c r="M169" s="23">
        <v>142.01637550000001</v>
      </c>
      <c r="N169" s="23">
        <v>142.85937820000001</v>
      </c>
      <c r="O169" s="23">
        <v>143.71357760000001</v>
      </c>
      <c r="P169" s="23">
        <v>144.48877733271101</v>
      </c>
    </row>
    <row r="170" spans="1:16" x14ac:dyDescent="0.3">
      <c r="A170" s="11" t="s">
        <v>1209</v>
      </c>
      <c r="B170" s="11" t="s">
        <v>601</v>
      </c>
      <c r="C170" s="31">
        <v>126</v>
      </c>
      <c r="D170" s="31">
        <v>126</v>
      </c>
      <c r="E170" s="31">
        <v>130</v>
      </c>
      <c r="F170" s="31">
        <v>131</v>
      </c>
      <c r="G170" s="31">
        <v>132</v>
      </c>
      <c r="H170" s="31">
        <v>133.66</v>
      </c>
      <c r="I170" s="31">
        <v>135.6232</v>
      </c>
      <c r="J170" s="31">
        <v>138.1438344</v>
      </c>
      <c r="K170" s="31">
        <v>139.2467838</v>
      </c>
      <c r="L170" s="31">
        <v>140.94825220000001</v>
      </c>
      <c r="M170" s="31">
        <v>142.01637550000001</v>
      </c>
      <c r="N170" s="31">
        <v>142.85937820000001</v>
      </c>
      <c r="O170" s="31">
        <v>143.71357760000001</v>
      </c>
      <c r="P170" s="31">
        <v>144.48877733271101</v>
      </c>
    </row>
    <row r="171" spans="1:16" x14ac:dyDescent="0.3">
      <c r="A171" s="11" t="s">
        <v>1208</v>
      </c>
      <c r="B171" s="11" t="s">
        <v>599</v>
      </c>
      <c r="C171" s="23"/>
      <c r="D171" s="23"/>
      <c r="E171" s="23"/>
      <c r="F171" s="23"/>
      <c r="G171" s="23"/>
      <c r="H171" s="23"/>
      <c r="I171" s="23">
        <v>0</v>
      </c>
      <c r="J171" s="23">
        <v>0</v>
      </c>
      <c r="K171" s="23">
        <v>0</v>
      </c>
      <c r="L171" s="23">
        <v>0</v>
      </c>
      <c r="M171" s="23">
        <v>0</v>
      </c>
      <c r="N171" s="23">
        <v>0</v>
      </c>
      <c r="O171" s="23"/>
      <c r="P171" s="23"/>
    </row>
    <row r="172" spans="1:16" x14ac:dyDescent="0.3">
      <c r="A172" s="11" t="s">
        <v>1207</v>
      </c>
      <c r="B172" s="11" t="s">
        <v>597</v>
      </c>
      <c r="C172" s="31">
        <v>126</v>
      </c>
      <c r="D172" s="31">
        <v>126</v>
      </c>
      <c r="E172" s="31">
        <v>130</v>
      </c>
      <c r="F172" s="31">
        <v>131</v>
      </c>
      <c r="G172" s="31">
        <v>132</v>
      </c>
      <c r="H172" s="31">
        <v>133.66</v>
      </c>
      <c r="I172" s="31">
        <v>135.6232</v>
      </c>
      <c r="J172" s="31">
        <v>138.1438344</v>
      </c>
      <c r="K172" s="31">
        <v>139.2467838</v>
      </c>
      <c r="L172" s="31">
        <v>140.94825220000001</v>
      </c>
      <c r="M172" s="31">
        <v>142.01637550000001</v>
      </c>
      <c r="N172" s="31">
        <v>142.85937820000001</v>
      </c>
      <c r="O172" s="31">
        <v>143.71357760000001</v>
      </c>
      <c r="P172" s="31">
        <v>144.48877733271101</v>
      </c>
    </row>
    <row r="173" spans="1:16" x14ac:dyDescent="0.3">
      <c r="A173" s="11" t="s">
        <v>1206</v>
      </c>
      <c r="B173" s="11" t="s">
        <v>979</v>
      </c>
      <c r="C173" s="23"/>
      <c r="D173" s="23"/>
      <c r="E173" s="23"/>
      <c r="F173" s="23"/>
      <c r="G173" s="23"/>
      <c r="H173" s="23"/>
      <c r="I173" s="23"/>
      <c r="J173" s="23"/>
      <c r="K173" s="23"/>
      <c r="L173" s="23"/>
      <c r="M173" s="23"/>
      <c r="N173" s="23"/>
      <c r="O173" s="23"/>
      <c r="P173" s="23"/>
    </row>
    <row r="174" spans="1:16" x14ac:dyDescent="0.3">
      <c r="A174" s="11" t="s">
        <v>1205</v>
      </c>
      <c r="B174" s="11" t="s">
        <v>977</v>
      </c>
      <c r="C174" s="31">
        <v>91.3</v>
      </c>
      <c r="D174" s="31">
        <v>91.3</v>
      </c>
      <c r="E174" s="31">
        <v>90.9</v>
      </c>
      <c r="F174" s="31">
        <v>90.6</v>
      </c>
      <c r="G174" s="31">
        <v>90.7</v>
      </c>
      <c r="H174" s="31">
        <v>90.59</v>
      </c>
      <c r="I174" s="31">
        <v>90.7684</v>
      </c>
      <c r="J174" s="31">
        <v>90.013099999999994</v>
      </c>
      <c r="K174" s="31">
        <v>90.208200000000005</v>
      </c>
      <c r="L174" s="31">
        <v>90.232500000000002</v>
      </c>
      <c r="M174" s="31">
        <v>90.491799999999998</v>
      </c>
      <c r="N174" s="31">
        <v>90.423400000000001</v>
      </c>
      <c r="O174" s="31">
        <v>90.642799999999994</v>
      </c>
      <c r="P174" s="31">
        <v>90.892099999999999</v>
      </c>
    </row>
    <row r="175" spans="1:16" x14ac:dyDescent="0.3">
      <c r="A175" s="11" t="s">
        <v>1204</v>
      </c>
      <c r="B175" s="11" t="s">
        <v>57</v>
      </c>
      <c r="C175" s="31">
        <v>74.5</v>
      </c>
      <c r="D175" s="31">
        <v>74.5</v>
      </c>
      <c r="E175" s="31">
        <v>73.599999999999994</v>
      </c>
      <c r="F175" s="31">
        <v>72.5</v>
      </c>
      <c r="G175" s="31">
        <v>72.599999999999994</v>
      </c>
      <c r="H175" s="31">
        <v>75.09</v>
      </c>
      <c r="I175" s="31">
        <v>74.085400000000007</v>
      </c>
      <c r="J175" s="31">
        <v>75.664100000000005</v>
      </c>
      <c r="K175" s="31">
        <v>75.117900000000006</v>
      </c>
      <c r="L175" s="31">
        <v>74.488299999999995</v>
      </c>
      <c r="M175" s="31">
        <v>74.078900000000004</v>
      </c>
      <c r="N175" s="31">
        <v>73.625200000000007</v>
      </c>
      <c r="O175" s="31">
        <v>71.1267</v>
      </c>
      <c r="P175" s="31">
        <v>71.082300000000004</v>
      </c>
    </row>
    <row r="176" spans="1:16" x14ac:dyDescent="0.3">
      <c r="A176" s="11" t="s">
        <v>1203</v>
      </c>
      <c r="B176" s="11" t="s">
        <v>58</v>
      </c>
      <c r="C176" s="31">
        <v>0.2</v>
      </c>
      <c r="D176" s="31">
        <v>0.2</v>
      </c>
      <c r="E176" s="31">
        <v>0.2</v>
      </c>
      <c r="F176" s="31">
        <v>0.2</v>
      </c>
      <c r="G176" s="31">
        <v>0.2</v>
      </c>
      <c r="H176" s="31">
        <v>0.23</v>
      </c>
      <c r="I176" s="31">
        <v>0.2339</v>
      </c>
      <c r="J176" s="31">
        <v>0.23499999999999999</v>
      </c>
      <c r="K176" s="31">
        <v>0.18740000000000001</v>
      </c>
      <c r="L176" s="31">
        <v>0.19</v>
      </c>
      <c r="M176" s="31">
        <v>0.23319999999999999</v>
      </c>
      <c r="N176" s="31">
        <v>0.24079999999999999</v>
      </c>
      <c r="O176" s="31">
        <v>0.2303</v>
      </c>
      <c r="P176" s="31">
        <v>0.16589999999999999</v>
      </c>
    </row>
    <row r="177" spans="1:16" x14ac:dyDescent="0.3">
      <c r="A177" s="11" t="s">
        <v>1202</v>
      </c>
      <c r="B177" s="11" t="s">
        <v>973</v>
      </c>
      <c r="C177" s="31">
        <v>0.14000000000000001</v>
      </c>
      <c r="D177" s="31">
        <v>0.14000000000000001</v>
      </c>
      <c r="E177" s="31">
        <v>0.14000000000000001</v>
      </c>
      <c r="F177" s="31">
        <v>0.1</v>
      </c>
      <c r="G177" s="31">
        <v>0.13</v>
      </c>
      <c r="H177" s="31">
        <v>0.11</v>
      </c>
      <c r="I177" s="31">
        <v>0.11020000000000001</v>
      </c>
      <c r="J177" s="31">
        <v>0.1077</v>
      </c>
      <c r="K177" s="31">
        <v>0.10920000000000001</v>
      </c>
      <c r="L177" s="31">
        <v>7.9799999999999996E-2</v>
      </c>
      <c r="M177" s="31">
        <v>8.0699999999999994E-2</v>
      </c>
      <c r="N177" s="31">
        <v>7.6399999999999996E-2</v>
      </c>
      <c r="O177" s="31">
        <v>7.0900000000000005E-2</v>
      </c>
      <c r="P177" s="31">
        <v>6.9500000000000006E-2</v>
      </c>
    </row>
    <row r="178" spans="1:16" x14ac:dyDescent="0.3">
      <c r="A178" s="11" t="s">
        <v>1201</v>
      </c>
      <c r="B178" s="11" t="s">
        <v>971</v>
      </c>
      <c r="C178" s="31">
        <v>1.8</v>
      </c>
      <c r="D178" s="31">
        <v>1.8</v>
      </c>
      <c r="E178" s="31">
        <v>1.7</v>
      </c>
      <c r="F178" s="31">
        <v>1.7</v>
      </c>
      <c r="G178" s="31">
        <v>1.7</v>
      </c>
      <c r="H178" s="31">
        <v>0.79</v>
      </c>
      <c r="I178" s="31">
        <v>0.74690000000000001</v>
      </c>
      <c r="J178" s="31">
        <v>0.73750000000000004</v>
      </c>
      <c r="K178" s="31">
        <v>0.72050000000000003</v>
      </c>
      <c r="L178" s="31">
        <v>0.68369999999999997</v>
      </c>
      <c r="M178" s="31">
        <v>0.63429999999999997</v>
      </c>
      <c r="N178" s="31">
        <v>0.64690000000000003</v>
      </c>
      <c r="O178" s="31">
        <v>1.6044</v>
      </c>
      <c r="P178" s="31">
        <v>1.5604</v>
      </c>
    </row>
    <row r="179" spans="1:16" x14ac:dyDescent="0.3">
      <c r="A179" s="11" t="s">
        <v>1200</v>
      </c>
      <c r="B179" s="11" t="s">
        <v>967</v>
      </c>
      <c r="C179" s="31">
        <v>0.2</v>
      </c>
      <c r="D179" s="31">
        <v>0.2</v>
      </c>
      <c r="E179" s="31">
        <v>0.2</v>
      </c>
      <c r="F179" s="31">
        <v>0.2</v>
      </c>
      <c r="G179" s="31">
        <v>0.2</v>
      </c>
      <c r="H179" s="31">
        <v>0.36</v>
      </c>
      <c r="I179" s="31">
        <v>0.64239999999999997</v>
      </c>
      <c r="J179" s="31">
        <v>0.41060000000000002</v>
      </c>
      <c r="K179" s="31">
        <v>0.42409999999999998</v>
      </c>
      <c r="L179" s="31">
        <v>0.3947</v>
      </c>
      <c r="M179" s="31">
        <v>0.44729999999999998</v>
      </c>
      <c r="N179" s="31">
        <v>0.41310000000000002</v>
      </c>
      <c r="O179" s="31">
        <v>0.3669</v>
      </c>
      <c r="P179" s="31">
        <v>0.42849999999999999</v>
      </c>
    </row>
    <row r="180" spans="1:16" x14ac:dyDescent="0.3">
      <c r="A180" s="11" t="s">
        <v>1199</v>
      </c>
      <c r="B180" s="11" t="s">
        <v>965</v>
      </c>
      <c r="C180" s="31">
        <v>14.5</v>
      </c>
      <c r="D180" s="31">
        <v>14.5</v>
      </c>
      <c r="E180" s="31">
        <v>15</v>
      </c>
      <c r="F180" s="31">
        <v>15.8</v>
      </c>
      <c r="G180" s="31">
        <v>15.9</v>
      </c>
      <c r="H180" s="31">
        <v>14.02</v>
      </c>
      <c r="I180" s="31">
        <v>14.9496</v>
      </c>
      <c r="J180" s="31">
        <v>12.8582</v>
      </c>
      <c r="K180" s="31">
        <v>13.648999999999999</v>
      </c>
      <c r="L180" s="31">
        <v>14.396000000000001</v>
      </c>
      <c r="M180" s="31">
        <v>15.0174</v>
      </c>
      <c r="N180" s="31">
        <v>15.420999999999999</v>
      </c>
      <c r="O180" s="31">
        <v>17.243600000000001</v>
      </c>
      <c r="P180" s="31">
        <v>17.5855</v>
      </c>
    </row>
    <row r="181" spans="1:16" x14ac:dyDescent="0.3">
      <c r="A181" s="11" t="s">
        <v>1198</v>
      </c>
      <c r="B181" s="11" t="s">
        <v>963</v>
      </c>
      <c r="C181" s="31">
        <v>4.2</v>
      </c>
      <c r="D181" s="31">
        <v>4.2</v>
      </c>
      <c r="E181" s="31">
        <v>4.4000000000000004</v>
      </c>
      <c r="F181" s="31">
        <v>4.5999999999999996</v>
      </c>
      <c r="G181" s="31">
        <v>4.5999999999999996</v>
      </c>
      <c r="H181" s="31">
        <v>4.4400000000000004</v>
      </c>
      <c r="I181" s="31">
        <v>4.3087</v>
      </c>
      <c r="J181" s="31">
        <v>4.8936999999999999</v>
      </c>
      <c r="K181" s="31">
        <v>4.5568999999999997</v>
      </c>
      <c r="L181" s="31">
        <v>4.5119999999999996</v>
      </c>
      <c r="M181" s="31">
        <v>4.2785000000000002</v>
      </c>
      <c r="N181" s="31">
        <v>4.3122999999999996</v>
      </c>
      <c r="O181" s="31">
        <v>4.1281999999999996</v>
      </c>
      <c r="P181" s="31">
        <v>4.0678000000000001</v>
      </c>
    </row>
    <row r="182" spans="1:16" x14ac:dyDescent="0.3">
      <c r="A182" s="11" t="s">
        <v>1197</v>
      </c>
      <c r="B182" s="11" t="s">
        <v>961</v>
      </c>
      <c r="C182" s="31">
        <v>4.5999999999999996</v>
      </c>
      <c r="D182" s="31">
        <v>4.5999999999999996</v>
      </c>
      <c r="E182" s="31">
        <v>4.7</v>
      </c>
      <c r="F182" s="31">
        <v>4.8</v>
      </c>
      <c r="G182" s="31">
        <v>4.7</v>
      </c>
      <c r="H182" s="31">
        <v>4.97</v>
      </c>
      <c r="I182" s="31">
        <v>4.9229000000000003</v>
      </c>
      <c r="J182" s="31">
        <v>5.0932000000000004</v>
      </c>
      <c r="K182" s="31">
        <v>5.2348999999999997</v>
      </c>
      <c r="L182" s="31">
        <v>5.2554999999999996</v>
      </c>
      <c r="M182" s="31">
        <v>5.2295999999999996</v>
      </c>
      <c r="N182" s="31">
        <v>5.2643000000000004</v>
      </c>
      <c r="O182" s="31">
        <v>5.2290000000000001</v>
      </c>
      <c r="P182" s="31">
        <v>5.0400999999999998</v>
      </c>
    </row>
    <row r="183" spans="1:16" x14ac:dyDescent="0.3">
      <c r="A183" s="11" t="s">
        <v>1196</v>
      </c>
      <c r="B183" s="11" t="s">
        <v>959</v>
      </c>
      <c r="C183" s="31">
        <v>100</v>
      </c>
      <c r="D183" s="31">
        <v>100</v>
      </c>
      <c r="E183" s="31">
        <v>100</v>
      </c>
      <c r="F183" s="31">
        <v>100</v>
      </c>
      <c r="G183" s="31">
        <v>100</v>
      </c>
      <c r="H183" s="31">
        <v>100</v>
      </c>
      <c r="I183" s="31">
        <v>100</v>
      </c>
      <c r="J183" s="31">
        <v>100</v>
      </c>
      <c r="K183" s="31">
        <v>100</v>
      </c>
      <c r="L183" s="31">
        <v>100</v>
      </c>
      <c r="M183" s="31">
        <v>100</v>
      </c>
      <c r="N183" s="31">
        <v>100</v>
      </c>
      <c r="O183" s="31">
        <v>100</v>
      </c>
      <c r="P183" s="31">
        <v>100</v>
      </c>
    </row>
    <row r="184" spans="1:16" x14ac:dyDescent="0.3">
      <c r="A184" s="11" t="s">
        <v>1195</v>
      </c>
      <c r="B184" s="11" t="s">
        <v>595</v>
      </c>
      <c r="C184" s="31">
        <f t="shared" ref="C184:H184" si="0">C3-C185/100</f>
        <v>10.420000000000002</v>
      </c>
      <c r="D184" s="31">
        <f t="shared" si="0"/>
        <v>10.420000000000002</v>
      </c>
      <c r="E184" s="31">
        <f t="shared" si="0"/>
        <v>10.620000000000001</v>
      </c>
      <c r="F184" s="31">
        <f t="shared" si="0"/>
        <v>10.59</v>
      </c>
      <c r="G184" s="31">
        <f t="shared" si="0"/>
        <v>10.8</v>
      </c>
      <c r="H184" s="31">
        <f t="shared" si="0"/>
        <v>11.014900000000001</v>
      </c>
      <c r="I184" s="31">
        <v>11.4069</v>
      </c>
      <c r="J184" s="31">
        <v>11.5532744764</v>
      </c>
      <c r="K184" s="31">
        <v>11.9959174628</v>
      </c>
      <c r="L184" s="31">
        <v>12.234959500599999</v>
      </c>
      <c r="M184" s="31">
        <v>12.3504136877</v>
      </c>
      <c r="N184" s="31">
        <v>12.708821239800001</v>
      </c>
      <c r="O184" s="31">
        <v>12.733521404499999</v>
      </c>
      <c r="P184" s="31">
        <v>12.771756615001701</v>
      </c>
    </row>
    <row r="185" spans="1:16" x14ac:dyDescent="0.3">
      <c r="A185" s="11" t="s">
        <v>1194</v>
      </c>
      <c r="B185" s="11" t="s">
        <v>593</v>
      </c>
      <c r="C185" s="31">
        <v>238</v>
      </c>
      <c r="D185" s="31">
        <v>238</v>
      </c>
      <c r="E185" s="31">
        <v>228</v>
      </c>
      <c r="F185" s="31">
        <v>211</v>
      </c>
      <c r="G185" s="31">
        <v>250</v>
      </c>
      <c r="H185" s="31">
        <v>248.51</v>
      </c>
      <c r="I185" s="31">
        <v>229.97819999999999</v>
      </c>
      <c r="J185" s="31">
        <v>264.18947235999997</v>
      </c>
      <c r="K185" s="31">
        <v>273.03361372000001</v>
      </c>
      <c r="L185" s="31">
        <v>264.16506994000002</v>
      </c>
      <c r="M185" s="31">
        <v>254.47572123</v>
      </c>
      <c r="N185" s="31">
        <v>255.13098601999999</v>
      </c>
      <c r="O185" s="31">
        <v>215.14960954999998</v>
      </c>
      <c r="P185" s="31">
        <v>204.52918255999998</v>
      </c>
    </row>
    <row r="186" spans="1:16" x14ac:dyDescent="0.3">
      <c r="A186" s="11" t="s">
        <v>1193</v>
      </c>
      <c r="B186" s="11" t="s">
        <v>587</v>
      </c>
      <c r="C186" s="31">
        <v>8</v>
      </c>
      <c r="D186" s="31">
        <v>8</v>
      </c>
      <c r="E186" s="31">
        <v>7</v>
      </c>
      <c r="F186" s="31">
        <v>6</v>
      </c>
      <c r="G186" s="31">
        <v>6</v>
      </c>
      <c r="H186" s="31">
        <v>6.48</v>
      </c>
      <c r="I186" s="31">
        <v>5.3650000000000002</v>
      </c>
      <c r="J186" s="31">
        <v>5.4245911099999997</v>
      </c>
      <c r="K186" s="31">
        <v>7.1109183199999997</v>
      </c>
      <c r="L186" s="31">
        <v>7.1227419100000002</v>
      </c>
      <c r="M186" s="31">
        <v>6.48600653</v>
      </c>
      <c r="N186" s="31">
        <v>6.7289759299999998</v>
      </c>
      <c r="O186" s="31">
        <v>8.5507440100000007</v>
      </c>
      <c r="P186" s="31">
        <v>8.5507440100000007</v>
      </c>
    </row>
    <row r="187" spans="1:16" x14ac:dyDescent="0.3">
      <c r="A187" s="11" t="s">
        <v>1192</v>
      </c>
      <c r="B187" s="11" t="s">
        <v>1191</v>
      </c>
      <c r="C187" s="31">
        <v>230</v>
      </c>
      <c r="D187" s="31">
        <v>230</v>
      </c>
      <c r="E187" s="31">
        <v>221</v>
      </c>
      <c r="F187" s="31">
        <v>204</v>
      </c>
      <c r="G187" s="37">
        <v>243</v>
      </c>
      <c r="H187" s="37">
        <v>242.04</v>
      </c>
      <c r="I187" s="37">
        <v>224.61320000000001</v>
      </c>
      <c r="J187" s="37">
        <v>258.76488124999997</v>
      </c>
      <c r="K187" s="37">
        <v>265.92269540000001</v>
      </c>
      <c r="L187" s="37">
        <v>257.04232803000002</v>
      </c>
      <c r="M187" s="37">
        <v>247.98971470000001</v>
      </c>
      <c r="N187" s="37">
        <v>248.40201009</v>
      </c>
      <c r="O187" s="37">
        <v>205.71834670999999</v>
      </c>
      <c r="P187" s="37">
        <v>196</v>
      </c>
    </row>
    <row r="188" spans="1:16" x14ac:dyDescent="0.3">
      <c r="A188" s="11" t="s">
        <v>1190</v>
      </c>
      <c r="B188" s="11" t="s">
        <v>1189</v>
      </c>
      <c r="C188" s="23">
        <v>21</v>
      </c>
      <c r="D188" s="23">
        <v>21</v>
      </c>
      <c r="E188" s="23">
        <v>20</v>
      </c>
      <c r="F188" s="23">
        <v>22</v>
      </c>
      <c r="G188" s="23">
        <v>21</v>
      </c>
      <c r="H188" s="31">
        <v>20</v>
      </c>
      <c r="I188" s="37">
        <v>23</v>
      </c>
      <c r="J188" s="37">
        <v>28</v>
      </c>
      <c r="K188" s="37">
        <v>28</v>
      </c>
      <c r="L188" s="37">
        <v>26</v>
      </c>
      <c r="M188" s="31">
        <v>25</v>
      </c>
      <c r="N188" s="37">
        <v>24</v>
      </c>
      <c r="O188" s="31">
        <v>34</v>
      </c>
      <c r="P188" s="31">
        <v>31</v>
      </c>
    </row>
    <row r="189" spans="1:16" x14ac:dyDescent="0.3">
      <c r="A189" s="11" t="s">
        <v>1188</v>
      </c>
      <c r="B189" s="11" t="s">
        <v>1187</v>
      </c>
      <c r="C189" s="23">
        <v>67</v>
      </c>
      <c r="D189" s="23">
        <v>67</v>
      </c>
      <c r="E189" s="23">
        <v>66</v>
      </c>
      <c r="F189" s="23">
        <v>58</v>
      </c>
      <c r="G189" s="23">
        <v>58</v>
      </c>
      <c r="H189" s="31">
        <v>57</v>
      </c>
      <c r="I189" s="37">
        <v>52</v>
      </c>
      <c r="J189" s="37">
        <v>44</v>
      </c>
      <c r="K189" s="37">
        <v>45</v>
      </c>
      <c r="L189" s="37">
        <v>40</v>
      </c>
      <c r="M189" s="31">
        <v>39</v>
      </c>
      <c r="N189" s="37">
        <v>39</v>
      </c>
      <c r="O189" s="31">
        <v>32</v>
      </c>
      <c r="P189" s="31">
        <v>30</v>
      </c>
    </row>
    <row r="190" spans="1:16" x14ac:dyDescent="0.3">
      <c r="A190" s="11" t="s">
        <v>1186</v>
      </c>
      <c r="B190" s="11" t="s">
        <v>1185</v>
      </c>
      <c r="C190" s="23">
        <v>142</v>
      </c>
      <c r="D190" s="23">
        <v>142</v>
      </c>
      <c r="E190" s="23">
        <v>135</v>
      </c>
      <c r="F190" s="23">
        <v>124</v>
      </c>
      <c r="G190" s="23">
        <v>163</v>
      </c>
      <c r="H190" s="23">
        <v>165</v>
      </c>
      <c r="I190" s="22">
        <v>150</v>
      </c>
      <c r="J190" s="22">
        <v>187</v>
      </c>
      <c r="K190" s="22">
        <v>193</v>
      </c>
      <c r="L190" s="22">
        <v>190</v>
      </c>
      <c r="M190" s="22">
        <v>184</v>
      </c>
      <c r="N190" s="22">
        <v>185</v>
      </c>
      <c r="O190" s="22">
        <v>141</v>
      </c>
      <c r="P190" s="22">
        <v>135</v>
      </c>
    </row>
    <row r="191" spans="1:16" x14ac:dyDescent="0.3">
      <c r="A191" s="11" t="s">
        <v>1184</v>
      </c>
      <c r="B191" s="11" t="s">
        <v>585</v>
      </c>
      <c r="C191" s="31">
        <v>965</v>
      </c>
      <c r="D191" s="31">
        <v>965.34490989999995</v>
      </c>
      <c r="E191" s="31">
        <v>926.78523059999998</v>
      </c>
      <c r="F191" s="31">
        <v>725.91612562316459</v>
      </c>
      <c r="G191" s="31">
        <v>840.72942700371686</v>
      </c>
      <c r="H191" s="31">
        <v>836.0162243558666</v>
      </c>
      <c r="I191" s="31">
        <v>791.97526599800813</v>
      </c>
      <c r="J191" s="31">
        <v>895.64852553467608</v>
      </c>
      <c r="K191" s="31">
        <v>907.82035712517199</v>
      </c>
      <c r="L191" s="37">
        <v>885.58404183503808</v>
      </c>
      <c r="M191" s="37">
        <v>863.8221997801711</v>
      </c>
      <c r="N191" s="37">
        <v>865.50090207049561</v>
      </c>
      <c r="O191" s="37">
        <v>755.27510758000005</v>
      </c>
      <c r="P191" s="37">
        <v>732.10997000999998</v>
      </c>
    </row>
    <row r="192" spans="1:16" x14ac:dyDescent="0.3">
      <c r="A192" s="11" t="s">
        <v>1183</v>
      </c>
      <c r="B192" s="11" t="s">
        <v>1182</v>
      </c>
      <c r="C192" s="31">
        <v>933</v>
      </c>
      <c r="D192" s="31">
        <v>764.91946405627323</v>
      </c>
      <c r="E192" s="31">
        <v>742.85612168364014</v>
      </c>
      <c r="F192" s="31">
        <v>703.6993321712057</v>
      </c>
      <c r="G192" s="31">
        <v>818.89135497407506</v>
      </c>
      <c r="H192" s="31">
        <v>814.22578926036294</v>
      </c>
      <c r="I192" s="31">
        <v>773.49972464142138</v>
      </c>
      <c r="J192" s="31">
        <v>877.25821243565042</v>
      </c>
      <c r="K192" s="31">
        <v>884.17698138704418</v>
      </c>
      <c r="L192" s="37">
        <v>861.70584145287921</v>
      </c>
      <c r="M192" s="37">
        <v>841.80533954517978</v>
      </c>
      <c r="N192" s="37">
        <v>842.67366828122249</v>
      </c>
      <c r="O192" s="37">
        <v>725.25802266000005</v>
      </c>
      <c r="P192" s="37">
        <v>702.09288508999998</v>
      </c>
    </row>
    <row r="193" spans="1:16" x14ac:dyDescent="0.3">
      <c r="A193" s="11" t="s">
        <v>1181</v>
      </c>
      <c r="B193" s="11" t="s">
        <v>579</v>
      </c>
      <c r="C193" s="31">
        <v>32</v>
      </c>
      <c r="D193" s="31">
        <v>26.111532474762043</v>
      </c>
      <c r="E193" s="31">
        <v>25.052828802666681</v>
      </c>
      <c r="F193" s="31">
        <v>22.216793451958893</v>
      </c>
      <c r="G193" s="31">
        <v>21.838072029641808</v>
      </c>
      <c r="H193" s="31">
        <v>21.790435095503653</v>
      </c>
      <c r="I193" s="31">
        <v>18.475541356586746</v>
      </c>
      <c r="J193" s="31">
        <v>18.390313099025661</v>
      </c>
      <c r="K193" s="31">
        <v>23.643375738127816</v>
      </c>
      <c r="L193" s="22">
        <v>23.878200382158866</v>
      </c>
      <c r="M193" s="22">
        <v>22.016860234991327</v>
      </c>
      <c r="N193" s="22">
        <v>22.827233789273123</v>
      </c>
      <c r="O193" s="22">
        <v>30.017084919999999</v>
      </c>
      <c r="P193" s="22">
        <v>30.017084919999999</v>
      </c>
    </row>
    <row r="194" spans="1:16" x14ac:dyDescent="0.3">
      <c r="A194" s="11" t="s">
        <v>1180</v>
      </c>
      <c r="B194" s="11" t="s">
        <v>577</v>
      </c>
      <c r="C194" s="31">
        <v>700</v>
      </c>
      <c r="D194" s="31">
        <v>700</v>
      </c>
      <c r="E194" s="31">
        <v>700</v>
      </c>
      <c r="F194" s="31">
        <v>700</v>
      </c>
      <c r="G194" s="31">
        <v>900</v>
      </c>
      <c r="H194" s="31">
        <v>900</v>
      </c>
      <c r="I194" s="31">
        <v>1000</v>
      </c>
      <c r="J194" s="31">
        <v>1200</v>
      </c>
      <c r="K194" s="31">
        <v>1300</v>
      </c>
      <c r="L194" s="31">
        <v>1400</v>
      </c>
      <c r="M194" s="31">
        <v>1400</v>
      </c>
      <c r="N194" s="31">
        <v>1500</v>
      </c>
      <c r="O194" s="31">
        <v>1500</v>
      </c>
      <c r="P194" s="31">
        <v>1500</v>
      </c>
    </row>
    <row r="195" spans="1:16" x14ac:dyDescent="0.3">
      <c r="A195" s="11" t="s">
        <v>1179</v>
      </c>
      <c r="B195" s="11" t="s">
        <v>575</v>
      </c>
      <c r="C195" s="23">
        <v>6791.46</v>
      </c>
      <c r="D195" s="23">
        <v>6791.46</v>
      </c>
      <c r="E195" s="23">
        <v>7258.08</v>
      </c>
      <c r="F195" s="23">
        <v>6891.5</v>
      </c>
      <c r="G195" s="23">
        <v>8571.01</v>
      </c>
      <c r="H195" s="31">
        <v>9282</v>
      </c>
      <c r="I195" s="31">
        <v>10092.7646</v>
      </c>
      <c r="J195" s="31">
        <v>11498.351454288677</v>
      </c>
      <c r="K195" s="31">
        <v>12942.967150594341</v>
      </c>
      <c r="L195" s="31">
        <v>13525.339978701886</v>
      </c>
      <c r="M195" s="31">
        <v>13754.74644855284</v>
      </c>
      <c r="N195" s="31">
        <v>14914.08397836981</v>
      </c>
      <c r="O195" s="31">
        <v>14190.923461816987</v>
      </c>
      <c r="P195" s="31">
        <v>14256.287860654455</v>
      </c>
    </row>
    <row r="196" spans="1:16" x14ac:dyDescent="0.3">
      <c r="A196" s="11">
        <v>12212</v>
      </c>
      <c r="B196" s="11" t="s">
        <v>1178</v>
      </c>
      <c r="C196" s="31">
        <v>0</v>
      </c>
      <c r="D196" s="31">
        <v>0</v>
      </c>
      <c r="E196" s="31">
        <v>0</v>
      </c>
      <c r="F196" s="31">
        <v>0</v>
      </c>
      <c r="G196" s="31">
        <v>0</v>
      </c>
      <c r="H196" s="31">
        <v>0</v>
      </c>
      <c r="I196" s="31">
        <v>0</v>
      </c>
      <c r="J196" s="31">
        <v>0</v>
      </c>
      <c r="K196" s="31">
        <v>0</v>
      </c>
      <c r="L196" s="31">
        <v>0</v>
      </c>
      <c r="M196" s="31">
        <v>0</v>
      </c>
      <c r="N196" s="31">
        <v>0</v>
      </c>
      <c r="O196" s="31">
        <v>0</v>
      </c>
      <c r="P196" s="31">
        <v>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6"/>
  <sheetViews>
    <sheetView zoomScaleNormal="100" workbookViewId="0">
      <pane xSplit="2" ySplit="2" topLeftCell="W3" activePane="bottomRight" state="frozen"/>
      <selection pane="topRight" activeCell="C1" sqref="C1"/>
      <selection pane="bottomLeft" activeCell="A3" sqref="A3"/>
      <selection pane="bottomRight" activeCell="AC9" sqref="AC9"/>
    </sheetView>
  </sheetViews>
  <sheetFormatPr baseColWidth="10" defaultColWidth="8.5546875" defaultRowHeight="14.4" x14ac:dyDescent="0.3"/>
  <cols>
    <col min="2" max="2" width="35.44140625" customWidth="1"/>
    <col min="3" max="15" width="13.5546875" style="42" customWidth="1"/>
    <col min="16" max="17" width="13.5546875" style="43" customWidth="1"/>
    <col min="18" max="19" width="13.5546875" style="1" customWidth="1"/>
    <col min="20" max="27" width="13.5546875" customWidth="1"/>
  </cols>
  <sheetData>
    <row r="1" spans="1:27" x14ac:dyDescent="0.3">
      <c r="C1" s="1" t="s">
        <v>2013</v>
      </c>
      <c r="D1" s="1" t="s">
        <v>92</v>
      </c>
      <c r="E1" s="1" t="s">
        <v>92</v>
      </c>
      <c r="F1" s="1" t="s">
        <v>92</v>
      </c>
      <c r="G1" s="1" t="s">
        <v>92</v>
      </c>
      <c r="H1" s="1" t="s">
        <v>92</v>
      </c>
      <c r="I1" s="1" t="s">
        <v>92</v>
      </c>
      <c r="J1" s="1" t="s">
        <v>92</v>
      </c>
      <c r="K1" s="1" t="s">
        <v>92</v>
      </c>
      <c r="L1" s="1" t="s">
        <v>92</v>
      </c>
      <c r="M1" s="1" t="s">
        <v>92</v>
      </c>
      <c r="N1" s="1" t="s">
        <v>92</v>
      </c>
      <c r="O1" s="1" t="s">
        <v>92</v>
      </c>
      <c r="P1" s="1" t="s">
        <v>92</v>
      </c>
      <c r="Q1" s="1" t="s">
        <v>92</v>
      </c>
      <c r="R1" s="1" t="s">
        <v>92</v>
      </c>
      <c r="S1" s="1" t="s">
        <v>92</v>
      </c>
      <c r="T1" s="1" t="s">
        <v>92</v>
      </c>
      <c r="U1" s="1" t="s">
        <v>92</v>
      </c>
      <c r="V1" s="1" t="s">
        <v>920</v>
      </c>
      <c r="W1" s="1" t="s">
        <v>920</v>
      </c>
      <c r="X1" s="1" t="s">
        <v>920</v>
      </c>
      <c r="Y1" s="1" t="s">
        <v>920</v>
      </c>
      <c r="Z1" s="1" t="s">
        <v>920</v>
      </c>
      <c r="AA1" s="1" t="s">
        <v>2945</v>
      </c>
    </row>
    <row r="2" spans="1:27" x14ac:dyDescent="0.3">
      <c r="A2" s="9" t="s">
        <v>206</v>
      </c>
      <c r="B2" s="9" t="s">
        <v>205</v>
      </c>
      <c r="C2" s="7">
        <v>45261</v>
      </c>
      <c r="D2" s="7">
        <v>45292</v>
      </c>
      <c r="E2" s="7">
        <v>45323</v>
      </c>
      <c r="F2" s="7">
        <v>45352</v>
      </c>
      <c r="G2" s="7">
        <v>45383</v>
      </c>
      <c r="H2" s="7">
        <v>45413</v>
      </c>
      <c r="I2" s="7">
        <v>45444</v>
      </c>
      <c r="J2" s="7">
        <v>45474</v>
      </c>
      <c r="K2" s="7">
        <v>45505</v>
      </c>
      <c r="L2" s="7">
        <v>45536</v>
      </c>
      <c r="M2" s="7">
        <v>45566</v>
      </c>
      <c r="N2" s="7">
        <v>45597</v>
      </c>
      <c r="O2" s="7">
        <v>45627</v>
      </c>
      <c r="P2" s="7">
        <v>45658</v>
      </c>
      <c r="Q2" s="7">
        <v>45689</v>
      </c>
      <c r="R2" s="7">
        <v>45717</v>
      </c>
      <c r="S2" s="7">
        <v>45748</v>
      </c>
      <c r="T2" s="7">
        <v>45778</v>
      </c>
      <c r="U2" s="7">
        <v>45809</v>
      </c>
      <c r="V2" s="7">
        <v>45839</v>
      </c>
      <c r="W2" s="7">
        <v>45870</v>
      </c>
      <c r="X2" s="7">
        <v>45901</v>
      </c>
      <c r="Y2" s="7">
        <v>45931</v>
      </c>
      <c r="Z2" s="7">
        <v>45962</v>
      </c>
      <c r="AA2" s="7">
        <v>45992</v>
      </c>
    </row>
    <row r="3" spans="1:27" x14ac:dyDescent="0.3">
      <c r="A3" t="s">
        <v>1417</v>
      </c>
      <c r="B3" t="s">
        <v>1416</v>
      </c>
      <c r="C3" s="38">
        <v>9.2715063650844004E-2</v>
      </c>
      <c r="D3" s="38"/>
      <c r="E3" s="38"/>
      <c r="F3" s="38"/>
      <c r="G3" s="38"/>
      <c r="H3" s="38"/>
      <c r="I3" s="38"/>
      <c r="J3" s="38"/>
      <c r="K3" s="38"/>
      <c r="L3" s="38"/>
      <c r="M3" s="38"/>
      <c r="N3" s="38"/>
      <c r="O3" s="38">
        <v>9.3799999999999994E-2</v>
      </c>
      <c r="P3" s="38">
        <v>9.4818146502952727E-2</v>
      </c>
      <c r="Q3" s="38">
        <v>9.4162416287945055E-2</v>
      </c>
      <c r="R3" s="39">
        <v>9.6541886059690288E-2</v>
      </c>
      <c r="S3" s="38">
        <v>9.7114640766987656E-2</v>
      </c>
      <c r="T3" s="38">
        <v>9.1089668621653075E-2</v>
      </c>
      <c r="U3" s="38">
        <v>9.2835440807E-2</v>
      </c>
      <c r="V3" s="38">
        <v>9.5415087704049995E-2</v>
      </c>
      <c r="W3" s="38">
        <v>9.5688048844999998E-2</v>
      </c>
      <c r="X3" s="38">
        <v>9.5481141726184077E-2</v>
      </c>
      <c r="Y3" s="38">
        <v>9.6534128914209663E-2</v>
      </c>
      <c r="Z3" s="38">
        <v>9.2488678825957224E-2</v>
      </c>
      <c r="AA3" s="38">
        <v>9.4008605105000004E-2</v>
      </c>
    </row>
    <row r="4" spans="1:27" x14ac:dyDescent="0.3">
      <c r="A4">
        <v>15017</v>
      </c>
      <c r="B4" t="s">
        <v>298</v>
      </c>
      <c r="C4" s="40">
        <v>22775.639818</v>
      </c>
      <c r="D4" s="40">
        <v>22013</v>
      </c>
      <c r="E4" s="40">
        <v>22438</v>
      </c>
      <c r="F4" s="40">
        <v>22817</v>
      </c>
      <c r="G4" s="40">
        <v>23226</v>
      </c>
      <c r="H4" s="40">
        <v>22274</v>
      </c>
      <c r="I4" s="40">
        <v>22727</v>
      </c>
      <c r="J4" s="40">
        <v>23098</v>
      </c>
      <c r="K4" s="40">
        <v>22809</v>
      </c>
      <c r="L4" s="40">
        <v>22560</v>
      </c>
      <c r="M4" s="40">
        <v>22935</v>
      </c>
      <c r="N4" s="40">
        <v>22370</v>
      </c>
      <c r="O4" s="40">
        <v>23076</v>
      </c>
      <c r="P4" s="40">
        <v>23465.960165</v>
      </c>
      <c r="Q4" s="40">
        <v>23929.112986</v>
      </c>
      <c r="R4" s="40">
        <v>24390.763016000001</v>
      </c>
      <c r="S4" s="40">
        <v>24801.859973999999</v>
      </c>
      <c r="T4" s="40">
        <v>23676.107385000003</v>
      </c>
      <c r="U4" s="40">
        <v>24074.573951999999</v>
      </c>
      <c r="V4" s="40">
        <v>24490.394394999999</v>
      </c>
      <c r="W4" s="40">
        <v>24918.061452000002</v>
      </c>
      <c r="X4" s="40">
        <v>25397.798491000001</v>
      </c>
      <c r="Y4" s="40">
        <v>25838.025324999999</v>
      </c>
      <c r="Z4" s="40">
        <v>25111.483046879988</v>
      </c>
      <c r="AA4" s="40">
        <v>25594.679140880002</v>
      </c>
    </row>
    <row r="5" spans="1:27" x14ac:dyDescent="0.3">
      <c r="A5" s="76" t="s">
        <v>1415</v>
      </c>
      <c r="B5" t="s">
        <v>1414</v>
      </c>
      <c r="C5" s="40">
        <v>245651.9892363</v>
      </c>
      <c r="D5" s="40"/>
      <c r="E5" s="40"/>
      <c r="F5" s="40"/>
      <c r="G5" s="40"/>
      <c r="H5" s="40"/>
      <c r="I5" s="40"/>
      <c r="J5" s="40"/>
      <c r="K5" s="40"/>
      <c r="L5" s="40"/>
      <c r="M5" s="40"/>
      <c r="N5" s="40"/>
      <c r="O5" s="40">
        <v>245952</v>
      </c>
      <c r="P5" s="40">
        <v>247483.85230531002</v>
      </c>
      <c r="Q5" s="40">
        <v>254125.94461070001</v>
      </c>
      <c r="R5" s="40">
        <v>252644.35999229999</v>
      </c>
      <c r="S5" s="40">
        <v>255387.44496320002</v>
      </c>
      <c r="T5" s="40">
        <v>259920.88612530002</v>
      </c>
      <c r="U5" s="40">
        <v>259325.25060289999</v>
      </c>
      <c r="V5" s="40">
        <v>256672.1362869</v>
      </c>
      <c r="W5" s="40">
        <v>260409.33797689999</v>
      </c>
      <c r="X5" s="40">
        <v>265998.06026444997</v>
      </c>
      <c r="Y5" s="40">
        <v>267656.89622539998</v>
      </c>
      <c r="Z5" s="40">
        <v>271508.72264197998</v>
      </c>
      <c r="AA5" s="40">
        <v>272258.89706857997</v>
      </c>
    </row>
    <row r="6" spans="1:27" x14ac:dyDescent="0.3">
      <c r="A6" t="s">
        <v>1413</v>
      </c>
      <c r="B6" t="s">
        <v>93</v>
      </c>
      <c r="C6" s="41">
        <v>243132.953702</v>
      </c>
      <c r="D6" s="41"/>
      <c r="E6" s="41"/>
      <c r="F6" s="41"/>
      <c r="G6" s="41"/>
      <c r="H6" s="41"/>
      <c r="I6" s="41"/>
      <c r="J6" s="41"/>
      <c r="K6" s="41"/>
      <c r="L6" s="41"/>
      <c r="M6" s="41"/>
      <c r="N6" s="41"/>
      <c r="O6" s="41">
        <v>243359</v>
      </c>
      <c r="P6" s="41">
        <v>245467.23946300001</v>
      </c>
      <c r="Q6" s="41">
        <v>251887.58070300001</v>
      </c>
      <c r="R6" s="41">
        <v>251245.794479</v>
      </c>
      <c r="S6" s="40">
        <v>254389.512617</v>
      </c>
      <c r="T6" s="40">
        <v>259040.28495599999</v>
      </c>
      <c r="U6" s="40">
        <v>258533.74091399999</v>
      </c>
      <c r="V6" s="40">
        <v>257067.60112199999</v>
      </c>
      <c r="W6" s="40">
        <v>260829.66519199999</v>
      </c>
      <c r="X6" s="40">
        <v>266422.927073</v>
      </c>
      <c r="Y6" s="40">
        <v>268141.68017000001</v>
      </c>
      <c r="Z6" s="40">
        <v>272081.77688199998</v>
      </c>
      <c r="AA6" s="40">
        <v>272974.653666</v>
      </c>
    </row>
    <row r="7" spans="1:27" x14ac:dyDescent="0.3">
      <c r="A7" s="76" t="s">
        <v>1412</v>
      </c>
      <c r="B7" t="s">
        <v>1411</v>
      </c>
      <c r="C7" s="40">
        <v>235208.89059</v>
      </c>
      <c r="D7" s="40"/>
      <c r="E7" s="40"/>
      <c r="F7" s="40"/>
      <c r="G7" s="40"/>
      <c r="H7" s="40"/>
      <c r="I7" s="40"/>
      <c r="J7" s="40"/>
      <c r="K7" s="40"/>
      <c r="L7" s="40"/>
      <c r="M7" s="40"/>
      <c r="N7" s="40"/>
      <c r="O7" s="40">
        <v>235509</v>
      </c>
      <c r="P7" s="40">
        <v>237476.75915</v>
      </c>
      <c r="Q7" s="40">
        <v>243846.461308</v>
      </c>
      <c r="R7" s="40">
        <v>243090.18520899999</v>
      </c>
      <c r="S7" s="40">
        <v>246104.04939599999</v>
      </c>
      <c r="T7" s="40">
        <v>250617.269378</v>
      </c>
      <c r="U7" s="40">
        <v>250016.547609</v>
      </c>
      <c r="V7" s="40">
        <v>256754.071054</v>
      </c>
      <c r="W7" s="40">
        <v>252098.18355099999</v>
      </c>
      <c r="X7" s="40">
        <v>257580.09643000001</v>
      </c>
      <c r="Y7" s="40">
        <v>259181.67648299999</v>
      </c>
      <c r="Z7" s="40">
        <v>262884.57079688</v>
      </c>
      <c r="AA7" s="40">
        <v>263710.20070187998</v>
      </c>
    </row>
    <row r="8" spans="1:27" x14ac:dyDescent="0.3">
      <c r="A8" t="s">
        <v>1410</v>
      </c>
      <c r="B8" t="s">
        <v>1409</v>
      </c>
      <c r="C8" s="40">
        <v>12997.925743</v>
      </c>
      <c r="D8" s="40"/>
      <c r="E8" s="40"/>
      <c r="F8" s="40"/>
      <c r="G8" s="40"/>
      <c r="H8" s="40"/>
      <c r="I8" s="40"/>
      <c r="J8" s="40"/>
      <c r="K8" s="40"/>
      <c r="L8" s="40"/>
      <c r="M8" s="40"/>
      <c r="N8" s="40"/>
      <c r="O8" s="40">
        <v>12998</v>
      </c>
      <c r="P8" s="40">
        <v>14696.558461000001</v>
      </c>
      <c r="Q8" s="40">
        <v>13309.973569</v>
      </c>
      <c r="R8" s="40">
        <v>12529.862363</v>
      </c>
      <c r="S8" s="40">
        <v>14641.270238999999</v>
      </c>
      <c r="T8" s="40">
        <v>14454.469472999999</v>
      </c>
      <c r="U8" s="40">
        <v>16426.224278000002</v>
      </c>
      <c r="V8" s="40">
        <v>15884.406343000001</v>
      </c>
      <c r="W8" s="40">
        <v>16316.027563</v>
      </c>
      <c r="X8" s="40">
        <v>15751.816843000001</v>
      </c>
      <c r="Y8" s="40">
        <v>14090.420541</v>
      </c>
      <c r="Z8" s="40">
        <v>15936.044739999999</v>
      </c>
      <c r="AA8" s="40">
        <v>18046.195366</v>
      </c>
    </row>
    <row r="9" spans="1:27" x14ac:dyDescent="0.3">
      <c r="A9" t="s">
        <v>1408</v>
      </c>
      <c r="B9" t="s">
        <v>1407</v>
      </c>
      <c r="C9" s="40">
        <v>43929.063800000004</v>
      </c>
      <c r="D9" s="40"/>
      <c r="E9" s="40"/>
      <c r="F9" s="40"/>
      <c r="G9" s="40"/>
      <c r="H9" s="40"/>
      <c r="I9" s="40"/>
      <c r="J9" s="40"/>
      <c r="K9" s="40"/>
      <c r="L9" s="40"/>
      <c r="M9" s="40"/>
      <c r="N9" s="40"/>
      <c r="O9" s="40">
        <v>43929</v>
      </c>
      <c r="P9" s="40">
        <v>40605.789949999998</v>
      </c>
      <c r="Q9" s="40">
        <v>44434.063932999998</v>
      </c>
      <c r="R9" s="40">
        <v>46163.89847</v>
      </c>
      <c r="S9" s="40">
        <v>48181.19025</v>
      </c>
      <c r="T9" s="40">
        <v>50588.109283999998</v>
      </c>
      <c r="U9" s="40">
        <v>49181.408970999903</v>
      </c>
      <c r="V9" s="40">
        <v>48548.964268000003</v>
      </c>
      <c r="W9" s="40">
        <v>50042.132560999999</v>
      </c>
      <c r="X9" s="40">
        <v>54460.140798</v>
      </c>
      <c r="Y9" s="40">
        <v>56596.615175999999</v>
      </c>
      <c r="Z9" s="40">
        <v>58043.620135999998</v>
      </c>
      <c r="AA9" s="40">
        <v>56031.091403999999</v>
      </c>
    </row>
    <row r="10" spans="1:27" x14ac:dyDescent="0.3">
      <c r="A10" t="s">
        <v>1406</v>
      </c>
      <c r="B10" t="s">
        <v>230</v>
      </c>
      <c r="C10" s="40">
        <v>166204.61176199999</v>
      </c>
      <c r="D10" s="40"/>
      <c r="E10" s="40"/>
      <c r="F10" s="40"/>
      <c r="G10" s="40"/>
      <c r="H10" s="40"/>
      <c r="I10" s="40"/>
      <c r="J10" s="40"/>
      <c r="K10" s="40"/>
      <c r="L10" s="40"/>
      <c r="M10" s="40"/>
      <c r="N10" s="40"/>
      <c r="O10" s="40">
        <v>166205</v>
      </c>
      <c r="P10" s="40">
        <v>168276.465551</v>
      </c>
      <c r="Q10" s="40">
        <v>167783.92212</v>
      </c>
      <c r="R10" s="40">
        <v>169819.71793499999</v>
      </c>
      <c r="S10" s="40">
        <v>169723.18787299999</v>
      </c>
      <c r="T10" s="40">
        <v>171720.45698300001</v>
      </c>
      <c r="U10" s="40">
        <v>172000.046229</v>
      </c>
      <c r="V10" s="40">
        <v>172124.959787</v>
      </c>
      <c r="W10" s="40">
        <v>173881.014478</v>
      </c>
      <c r="X10" s="40">
        <v>176004.948175</v>
      </c>
      <c r="Y10" s="40">
        <v>176262.576019</v>
      </c>
      <c r="Z10" s="40">
        <v>176396.58807100001</v>
      </c>
      <c r="AA10" s="40">
        <v>178757.70061500001</v>
      </c>
    </row>
    <row r="11" spans="1:27" x14ac:dyDescent="0.3">
      <c r="A11" t="s">
        <v>1405</v>
      </c>
      <c r="B11" t="s">
        <v>171</v>
      </c>
      <c r="C11" s="40">
        <v>4925.3183650000001</v>
      </c>
      <c r="D11" s="40"/>
      <c r="E11" s="40"/>
      <c r="F11" s="40"/>
      <c r="G11" s="40"/>
      <c r="H11" s="40"/>
      <c r="I11" s="40"/>
      <c r="J11" s="40"/>
      <c r="K11" s="40"/>
      <c r="L11" s="40"/>
      <c r="M11" s="40"/>
      <c r="N11" s="40"/>
      <c r="O11" s="40">
        <v>4925</v>
      </c>
      <c r="P11" s="40">
        <v>6310.3201369999997</v>
      </c>
      <c r="Q11" s="40">
        <v>10324.032598</v>
      </c>
      <c r="R11" s="40">
        <v>6547.6607830000003</v>
      </c>
      <c r="S11" s="40">
        <v>5453.0343499999999</v>
      </c>
      <c r="T11" s="40">
        <v>5786.1055219999998</v>
      </c>
      <c r="U11" s="40">
        <v>4356.0037130000001</v>
      </c>
      <c r="V11" s="40">
        <v>3735.2488469999998</v>
      </c>
      <c r="W11" s="40">
        <v>3841.4901669999999</v>
      </c>
      <c r="X11" s="40">
        <v>3347.8750679999998</v>
      </c>
      <c r="Y11" s="40">
        <v>4242.2920020000001</v>
      </c>
      <c r="Z11" s="40">
        <v>4485.4102979999998</v>
      </c>
      <c r="AA11" s="40">
        <v>2599.5687349999998</v>
      </c>
    </row>
    <row r="12" spans="1:27" x14ac:dyDescent="0.3">
      <c r="A12" t="s">
        <v>1404</v>
      </c>
      <c r="B12" t="s">
        <v>170</v>
      </c>
      <c r="C12" s="40">
        <v>1788.2491419999999</v>
      </c>
      <c r="D12" s="40"/>
      <c r="E12" s="40"/>
      <c r="F12" s="40"/>
      <c r="G12" s="40"/>
      <c r="H12" s="40"/>
      <c r="I12" s="40"/>
      <c r="J12" s="40"/>
      <c r="K12" s="40"/>
      <c r="L12" s="40"/>
      <c r="M12" s="40"/>
      <c r="N12" s="40"/>
      <c r="O12" s="40">
        <v>1788</v>
      </c>
      <c r="P12" s="40">
        <v>1769.895992</v>
      </c>
      <c r="Q12" s="40">
        <v>1915.759051</v>
      </c>
      <c r="R12" s="40">
        <v>1903.453606</v>
      </c>
      <c r="S12" s="40">
        <v>1928.2669679999999</v>
      </c>
      <c r="T12" s="40">
        <v>1846.1117079999999</v>
      </c>
      <c r="U12" s="40">
        <v>1850.8429140000001</v>
      </c>
      <c r="V12" s="40">
        <v>1826.2864649999999</v>
      </c>
      <c r="W12" s="40">
        <v>1831.0004080000001</v>
      </c>
      <c r="X12" s="40">
        <v>1866.860449</v>
      </c>
      <c r="Y12" s="40">
        <v>1850.6372409999999</v>
      </c>
      <c r="Z12" s="40">
        <v>1834.995596</v>
      </c>
      <c r="AA12" s="40">
        <v>2009.0415740000001</v>
      </c>
    </row>
    <row r="13" spans="1:27" x14ac:dyDescent="0.3">
      <c r="A13" t="s">
        <v>1403</v>
      </c>
      <c r="B13" t="s">
        <v>1402</v>
      </c>
      <c r="C13" s="40">
        <v>810.65041499999995</v>
      </c>
      <c r="D13" s="40"/>
      <c r="E13" s="40"/>
      <c r="F13" s="40"/>
      <c r="G13" s="40"/>
      <c r="H13" s="40"/>
      <c r="I13" s="40"/>
      <c r="J13" s="40"/>
      <c r="K13" s="40"/>
      <c r="L13" s="40"/>
      <c r="M13" s="40"/>
      <c r="N13" s="40"/>
      <c r="O13" s="40">
        <v>811</v>
      </c>
      <c r="P13" s="40">
        <v>813.37496899999996</v>
      </c>
      <c r="Q13" s="40">
        <v>803.99939400000005</v>
      </c>
      <c r="R13" s="40">
        <v>797.61655499999995</v>
      </c>
      <c r="S13" s="40">
        <v>796.28666999999996</v>
      </c>
      <c r="T13" s="40">
        <v>793.06242699999996</v>
      </c>
      <c r="U13" s="40">
        <v>788.76962600000002</v>
      </c>
      <c r="V13" s="40">
        <v>789.40908100000001</v>
      </c>
      <c r="W13" s="40">
        <v>781.78322700000001</v>
      </c>
      <c r="X13" s="40">
        <v>774.01315599999998</v>
      </c>
      <c r="Y13" s="40">
        <v>779.48057900000003</v>
      </c>
      <c r="Z13" s="40">
        <v>774.52059199999997</v>
      </c>
      <c r="AA13" s="40">
        <v>828.18926399999998</v>
      </c>
    </row>
    <row r="14" spans="1:27" x14ac:dyDescent="0.3">
      <c r="A14" t="s">
        <v>1401</v>
      </c>
      <c r="B14" t="s">
        <v>164</v>
      </c>
      <c r="C14" s="40">
        <v>5839.401425</v>
      </c>
      <c r="D14" s="40"/>
      <c r="E14" s="40"/>
      <c r="F14" s="40"/>
      <c r="G14" s="40"/>
      <c r="H14" s="40"/>
      <c r="I14" s="40"/>
      <c r="J14" s="40"/>
      <c r="K14" s="40"/>
      <c r="L14" s="40"/>
      <c r="M14" s="40"/>
      <c r="N14" s="40"/>
      <c r="O14" s="40">
        <v>6065</v>
      </c>
      <c r="P14" s="40">
        <v>6171.4413260000001</v>
      </c>
      <c r="Q14" s="40">
        <v>6248.9184839999998</v>
      </c>
      <c r="R14" s="40">
        <v>6378.5226759999996</v>
      </c>
      <c r="S14" s="40">
        <v>6490.0699119999999</v>
      </c>
      <c r="T14" s="40">
        <v>6615.2735789999997</v>
      </c>
      <c r="U14" s="40">
        <v>6714.173546</v>
      </c>
      <c r="V14" s="40">
        <v>6818.4276030000001</v>
      </c>
      <c r="W14" s="40">
        <v>6908.3259330000001</v>
      </c>
      <c r="X14" s="40">
        <v>7042.7843800000001</v>
      </c>
      <c r="Y14" s="40">
        <v>7158.7444830000004</v>
      </c>
      <c r="Z14" s="40">
        <v>7254.0066109999998</v>
      </c>
      <c r="AA14" s="40">
        <v>7355.9216020000003</v>
      </c>
    </row>
    <row r="15" spans="1:27" x14ac:dyDescent="0.3">
      <c r="A15" t="s">
        <v>1400</v>
      </c>
      <c r="B15" t="s">
        <v>1399</v>
      </c>
      <c r="C15" s="40">
        <v>629.46629499999995</v>
      </c>
      <c r="D15" s="40"/>
      <c r="E15" s="40"/>
      <c r="F15" s="40"/>
      <c r="G15" s="40"/>
      <c r="H15" s="40"/>
      <c r="I15" s="40"/>
      <c r="J15" s="40"/>
      <c r="K15" s="40"/>
      <c r="L15" s="40"/>
      <c r="M15" s="40"/>
      <c r="N15" s="40"/>
      <c r="O15" s="40">
        <v>629</v>
      </c>
      <c r="P15" s="40">
        <v>624.62848099999997</v>
      </c>
      <c r="Q15" s="40">
        <v>640.31135400000005</v>
      </c>
      <c r="R15" s="40">
        <v>612.72798799999998</v>
      </c>
      <c r="S15" s="40">
        <v>568.17527600000005</v>
      </c>
      <c r="T15" s="40">
        <v>597.26251600000001</v>
      </c>
      <c r="U15" s="40">
        <v>612.761934</v>
      </c>
      <c r="V15" s="40">
        <v>656.26888799999995</v>
      </c>
      <c r="W15" s="40">
        <v>606.10514799999999</v>
      </c>
      <c r="X15" s="40">
        <v>610.45595900000001</v>
      </c>
      <c r="Y15" s="40">
        <v>633.96955700000001</v>
      </c>
      <c r="Z15" s="40">
        <v>703.97676200000001</v>
      </c>
      <c r="AA15" s="40">
        <v>702.28216499999996</v>
      </c>
    </row>
    <row r="16" spans="1:27" x14ac:dyDescent="0.3">
      <c r="A16" t="s">
        <v>1398</v>
      </c>
      <c r="B16" t="s">
        <v>47</v>
      </c>
      <c r="C16" s="40">
        <v>5594.8192509999999</v>
      </c>
      <c r="D16" s="40"/>
      <c r="E16" s="40"/>
      <c r="F16" s="40"/>
      <c r="G16" s="40"/>
      <c r="H16" s="40"/>
      <c r="I16" s="40"/>
      <c r="J16" s="40"/>
      <c r="K16" s="40"/>
      <c r="L16" s="40"/>
      <c r="M16" s="40"/>
      <c r="N16" s="40"/>
      <c r="O16" s="40">
        <v>5595</v>
      </c>
      <c r="P16" s="40">
        <v>5838.7225760000001</v>
      </c>
      <c r="Q16" s="40">
        <v>6093.7482110000001</v>
      </c>
      <c r="R16" s="40">
        <v>6183.7437040000004</v>
      </c>
      <c r="S16" s="40">
        <v>6279.5429620000004</v>
      </c>
      <c r="T16" s="40">
        <v>6306.4937849999997</v>
      </c>
      <c r="U16" s="40">
        <v>6287.4843129999999</v>
      </c>
      <c r="V16" s="40">
        <v>6370.0997719999996</v>
      </c>
      <c r="W16" s="40">
        <v>6303.4968339999996</v>
      </c>
      <c r="X16" s="40">
        <v>6228.6480430000001</v>
      </c>
      <c r="Y16" s="40">
        <v>6187.0008710000002</v>
      </c>
      <c r="Z16" s="40">
        <v>6151.9580699999997</v>
      </c>
      <c r="AA16" s="40">
        <v>6153.4143590000003</v>
      </c>
    </row>
    <row r="17" spans="1:27" x14ac:dyDescent="0.3">
      <c r="A17" t="s">
        <v>1397</v>
      </c>
      <c r="B17" t="s">
        <v>1396</v>
      </c>
      <c r="C17" s="40">
        <v>-7510.6156080000001</v>
      </c>
      <c r="D17" s="40"/>
      <c r="E17" s="40"/>
      <c r="F17" s="40"/>
      <c r="G17" s="40"/>
      <c r="H17" s="40"/>
      <c r="I17" s="40"/>
      <c r="J17" s="40"/>
      <c r="K17" s="40"/>
      <c r="L17" s="40"/>
      <c r="M17" s="40"/>
      <c r="N17" s="40"/>
      <c r="O17" s="40">
        <v>-7437</v>
      </c>
      <c r="P17" s="40">
        <v>-7630.4382930000002</v>
      </c>
      <c r="Q17" s="40">
        <v>-7708.267405999999</v>
      </c>
      <c r="R17" s="40">
        <v>-7847.0188710000002</v>
      </c>
      <c r="S17" s="40">
        <v>-7956.9751039999992</v>
      </c>
      <c r="T17" s="40">
        <v>-8090.0758989999995</v>
      </c>
      <c r="U17" s="40">
        <v>-8201.167915</v>
      </c>
      <c r="V17" s="40">
        <v>-8314.2421410000006</v>
      </c>
      <c r="W17" s="40">
        <v>-8413.1927680000008</v>
      </c>
      <c r="X17" s="40">
        <v>-8507.4464409999982</v>
      </c>
      <c r="Y17" s="40">
        <v>-8620.0599860000002</v>
      </c>
      <c r="Z17" s="40">
        <v>-8696.5500791200011</v>
      </c>
      <c r="AA17" s="40">
        <v>-8773.2043821200004</v>
      </c>
    </row>
    <row r="18" spans="1:27" x14ac:dyDescent="0.3">
      <c r="A18" t="s">
        <v>1395</v>
      </c>
      <c r="B18" t="s">
        <v>1394</v>
      </c>
      <c r="C18" s="40">
        <v>614.16196399999978</v>
      </c>
      <c r="D18" s="40"/>
      <c r="E18" s="40"/>
      <c r="F18" s="40"/>
      <c r="G18" s="40"/>
      <c r="H18" s="40"/>
      <c r="I18" s="40"/>
      <c r="J18" s="40"/>
      <c r="K18" s="40"/>
      <c r="L18" s="40"/>
      <c r="M18" s="40"/>
      <c r="N18" s="40"/>
      <c r="O18" s="40">
        <v>614</v>
      </c>
      <c r="P18" s="40">
        <v>582.38287371000001</v>
      </c>
      <c r="Q18" s="40">
        <v>548.46971460000009</v>
      </c>
      <c r="R18" s="40">
        <v>566.91559619999998</v>
      </c>
      <c r="S18" s="40">
        <v>623.09313040000029</v>
      </c>
      <c r="T18" s="40">
        <v>639.37897399999997</v>
      </c>
      <c r="U18" s="40">
        <v>658.96454400000005</v>
      </c>
      <c r="V18" s="40">
        <v>625.76789099999996</v>
      </c>
      <c r="W18" s="40">
        <v>656.38867000000005</v>
      </c>
      <c r="X18" s="40">
        <v>701.16810475000011</v>
      </c>
      <c r="Y18" s="40">
        <v>645.33066099999996</v>
      </c>
      <c r="Z18" s="40">
        <v>674.83043299999997</v>
      </c>
      <c r="AA18" s="40">
        <v>642.13836100000003</v>
      </c>
    </row>
    <row r="19" spans="1:27" x14ac:dyDescent="0.3">
      <c r="A19" t="s">
        <v>1393</v>
      </c>
      <c r="B19" t="s">
        <v>1392</v>
      </c>
      <c r="C19" s="40">
        <v>446.20562399999983</v>
      </c>
      <c r="D19" s="40"/>
      <c r="E19" s="40"/>
      <c r="F19" s="40"/>
      <c r="G19" s="40"/>
      <c r="H19" s="40"/>
      <c r="I19" s="40"/>
      <c r="J19" s="40"/>
      <c r="K19" s="40"/>
      <c r="L19" s="40"/>
      <c r="M19" s="40"/>
      <c r="N19" s="40"/>
      <c r="O19" s="40">
        <v>446</v>
      </c>
      <c r="P19" s="40">
        <v>423.24851700000005</v>
      </c>
      <c r="Q19" s="40">
        <v>394.84558600000008</v>
      </c>
      <c r="R19" s="40">
        <v>407.99209399999995</v>
      </c>
      <c r="S19" s="40">
        <v>460.93780300000037</v>
      </c>
      <c r="T19" s="40">
        <v>467.02729799999997</v>
      </c>
      <c r="U19" s="40">
        <v>485.406994</v>
      </c>
      <c r="V19" s="40">
        <v>455.899089</v>
      </c>
      <c r="W19" s="40">
        <v>493.14320800000002</v>
      </c>
      <c r="X19" s="40">
        <v>531.17608900000016</v>
      </c>
      <c r="Y19" s="40">
        <v>482.59078299999999</v>
      </c>
      <c r="Z19" s="40">
        <v>502.14257199999997</v>
      </c>
      <c r="AA19" s="40">
        <v>473.42514999999997</v>
      </c>
    </row>
    <row r="20" spans="1:27" x14ac:dyDescent="0.3">
      <c r="A20" t="s">
        <v>1391</v>
      </c>
      <c r="B20" t="s">
        <v>1390</v>
      </c>
      <c r="C20" s="40">
        <v>167.95633999999995</v>
      </c>
      <c r="D20" s="40"/>
      <c r="E20" s="40"/>
      <c r="F20" s="40"/>
      <c r="G20" s="40"/>
      <c r="H20" s="40"/>
      <c r="I20" s="40"/>
      <c r="J20" s="40"/>
      <c r="K20" s="40"/>
      <c r="L20" s="40"/>
      <c r="M20" s="40"/>
      <c r="N20" s="40"/>
      <c r="O20" s="40">
        <v>168</v>
      </c>
      <c r="P20" s="40">
        <v>159.13435670999999</v>
      </c>
      <c r="Q20" s="40">
        <v>153.62412860000001</v>
      </c>
      <c r="R20" s="40">
        <v>158.9235022</v>
      </c>
      <c r="S20" s="40">
        <v>162.15532739999998</v>
      </c>
      <c r="T20" s="40">
        <v>172.35167599999997</v>
      </c>
      <c r="U20" s="40">
        <v>173.55754999999999</v>
      </c>
      <c r="V20" s="40">
        <v>169.86880199999999</v>
      </c>
      <c r="W20" s="40">
        <v>163.245462</v>
      </c>
      <c r="X20" s="40">
        <v>169.99201574999989</v>
      </c>
      <c r="Y20" s="40">
        <v>162.739878</v>
      </c>
      <c r="Z20" s="40">
        <v>172.68786099999991</v>
      </c>
      <c r="AA20" s="40">
        <v>168.713211</v>
      </c>
    </row>
    <row r="21" spans="1:27" x14ac:dyDescent="0.3">
      <c r="A21" t="s">
        <v>1389</v>
      </c>
      <c r="B21" t="s">
        <v>1388</v>
      </c>
      <c r="C21" s="40">
        <v>0.11548699999999999</v>
      </c>
      <c r="D21" s="40"/>
      <c r="E21" s="40"/>
      <c r="F21" s="40"/>
      <c r="G21" s="40"/>
      <c r="H21" s="40"/>
      <c r="I21" s="40"/>
      <c r="J21" s="40"/>
      <c r="K21" s="40"/>
      <c r="L21" s="40"/>
      <c r="M21" s="40"/>
      <c r="N21" s="40"/>
      <c r="O21" s="40">
        <v>0</v>
      </c>
      <c r="P21" s="40">
        <v>6.4266169999999994</v>
      </c>
      <c r="Q21" s="40">
        <v>18.828863999999999</v>
      </c>
      <c r="R21" s="40">
        <v>25.980636000000004</v>
      </c>
      <c r="S21" s="40">
        <v>19.533513999999997</v>
      </c>
      <c r="T21" s="40">
        <v>18.657356</v>
      </c>
      <c r="U21" s="40">
        <v>0.24232699999999999</v>
      </c>
      <c r="V21" s="40">
        <v>6.4925290000000002</v>
      </c>
      <c r="W21" s="40">
        <v>5.2432189999999999</v>
      </c>
      <c r="X21" s="40">
        <v>5.650443000000001</v>
      </c>
      <c r="Y21" s="40">
        <v>6.1524279999999996</v>
      </c>
      <c r="Z21" s="40">
        <v>2.0010509999999999</v>
      </c>
      <c r="AA21" s="40">
        <v>1.6925809999999999</v>
      </c>
    </row>
    <row r="22" spans="1:27" x14ac:dyDescent="0.3">
      <c r="A22" t="s">
        <v>1387</v>
      </c>
      <c r="B22" t="s">
        <v>1386</v>
      </c>
      <c r="C22" s="40">
        <v>0</v>
      </c>
      <c r="D22" s="40"/>
      <c r="E22" s="40"/>
      <c r="F22" s="40"/>
      <c r="G22" s="40"/>
      <c r="H22" s="40"/>
      <c r="I22" s="40"/>
      <c r="J22" s="40"/>
      <c r="K22" s="40"/>
      <c r="L22" s="40"/>
      <c r="M22" s="40"/>
      <c r="N22" s="40"/>
      <c r="O22" s="40">
        <v>0</v>
      </c>
      <c r="P22" s="40">
        <v>0</v>
      </c>
      <c r="Q22" s="40">
        <v>0</v>
      </c>
      <c r="R22" s="40">
        <v>0</v>
      </c>
      <c r="S22" s="40">
        <v>0</v>
      </c>
      <c r="T22" s="40">
        <v>0</v>
      </c>
      <c r="U22" s="40">
        <v>0</v>
      </c>
      <c r="V22" s="40">
        <v>0</v>
      </c>
      <c r="W22" s="40">
        <v>0</v>
      </c>
      <c r="X22" s="40">
        <v>0</v>
      </c>
      <c r="Y22" s="40">
        <v>0</v>
      </c>
      <c r="Z22" s="40">
        <v>0</v>
      </c>
      <c r="AA22" s="40">
        <v>0</v>
      </c>
    </row>
    <row r="23" spans="1:27" x14ac:dyDescent="0.3">
      <c r="A23" s="76" t="s">
        <v>1385</v>
      </c>
      <c r="B23" t="s">
        <v>1384</v>
      </c>
      <c r="C23" s="40">
        <v>0.11548699999999999</v>
      </c>
      <c r="D23" s="40"/>
      <c r="E23" s="40"/>
      <c r="F23" s="40"/>
      <c r="G23" s="40"/>
      <c r="H23" s="40"/>
      <c r="I23" s="40"/>
      <c r="J23" s="40"/>
      <c r="K23" s="40"/>
      <c r="L23" s="40"/>
      <c r="M23" s="40"/>
      <c r="N23" s="40"/>
      <c r="O23" s="40">
        <v>0</v>
      </c>
      <c r="P23" s="40">
        <v>6.4266169999999994</v>
      </c>
      <c r="Q23" s="40">
        <v>18.828863999999999</v>
      </c>
      <c r="R23" s="40">
        <v>25.980636000000004</v>
      </c>
      <c r="S23" s="40">
        <v>19.533513999999997</v>
      </c>
      <c r="T23" s="40">
        <v>18.657356</v>
      </c>
      <c r="U23" s="40">
        <v>0.24232699999999999</v>
      </c>
      <c r="V23" s="40">
        <v>6.4925290000000002</v>
      </c>
      <c r="W23" s="40">
        <v>5.2432189999999999</v>
      </c>
      <c r="X23" s="40">
        <v>5.650443000000001</v>
      </c>
      <c r="Y23" s="40">
        <v>6.1524279999999996</v>
      </c>
      <c r="Z23" s="40">
        <v>2.0010509999999999</v>
      </c>
      <c r="AA23" s="40">
        <v>1.6925809999999999</v>
      </c>
    </row>
    <row r="24" spans="1:27" x14ac:dyDescent="0.3">
      <c r="A24" s="76" t="s">
        <v>1383</v>
      </c>
      <c r="B24" t="s">
        <v>1382</v>
      </c>
      <c r="C24" s="40">
        <v>9828.8211952999991</v>
      </c>
      <c r="D24" s="40"/>
      <c r="E24" s="40"/>
      <c r="F24" s="40"/>
      <c r="G24" s="40"/>
      <c r="H24" s="40"/>
      <c r="I24" s="40"/>
      <c r="J24" s="40"/>
      <c r="K24" s="40"/>
      <c r="L24" s="40"/>
      <c r="M24" s="40"/>
      <c r="N24" s="40"/>
      <c r="O24" s="40">
        <v>9829</v>
      </c>
      <c r="P24" s="40">
        <v>9418.2836646000069</v>
      </c>
      <c r="Q24" s="40">
        <v>9712.1847241000069</v>
      </c>
      <c r="R24" s="40">
        <v>8961.2785510999965</v>
      </c>
      <c r="S24" s="40">
        <v>8640.768922800009</v>
      </c>
      <c r="T24" s="40">
        <v>8645.580417300007</v>
      </c>
      <c r="U24" s="40">
        <v>8649.4961229</v>
      </c>
      <c r="V24" s="40">
        <v>7600.0469538999996</v>
      </c>
      <c r="W24" s="40">
        <v>7649.5225369</v>
      </c>
      <c r="X24" s="40">
        <v>7711.1452866999971</v>
      </c>
      <c r="Y24" s="40">
        <v>7823.7366533999957</v>
      </c>
      <c r="Z24" s="40">
        <v>7947.320361099999</v>
      </c>
      <c r="AA24" s="40">
        <v>7904.8654247000004</v>
      </c>
    </row>
    <row r="25" spans="1:27" x14ac:dyDescent="0.3">
      <c r="A25" t="s">
        <v>1381</v>
      </c>
      <c r="B25" t="s">
        <v>1380</v>
      </c>
      <c r="C25" s="40">
        <v>88855.245917000007</v>
      </c>
      <c r="D25" s="40"/>
      <c r="E25" s="40"/>
      <c r="F25" s="40"/>
      <c r="G25" s="40"/>
      <c r="H25" s="40"/>
      <c r="I25" s="40"/>
      <c r="J25" s="40"/>
      <c r="K25" s="40"/>
      <c r="L25" s="40"/>
      <c r="M25" s="40"/>
      <c r="N25" s="40"/>
      <c r="O25" s="40">
        <v>88855</v>
      </c>
      <c r="P25" s="40">
        <v>85070.85871</v>
      </c>
      <c r="Q25" s="40">
        <v>86833.104257000014</v>
      </c>
      <c r="R25" s="40">
        <v>79210.310127000004</v>
      </c>
      <c r="S25" s="40">
        <v>76066.120020000002</v>
      </c>
      <c r="T25" s="40">
        <v>75926.472372999997</v>
      </c>
      <c r="U25" s="40">
        <v>76087.356524999996</v>
      </c>
      <c r="V25" s="40">
        <v>65571.433183000001</v>
      </c>
      <c r="W25" s="40">
        <v>66370.218017000007</v>
      </c>
      <c r="X25" s="40">
        <v>66986.433707000004</v>
      </c>
      <c r="Y25" s="40">
        <v>67993.120584999997</v>
      </c>
      <c r="Z25" s="40">
        <v>68369.919873999999</v>
      </c>
      <c r="AA25" s="40">
        <v>68254.716589999996</v>
      </c>
    </row>
    <row r="26" spans="1:27" x14ac:dyDescent="0.3">
      <c r="A26" t="s">
        <v>1379</v>
      </c>
      <c r="B26" t="s">
        <v>1378</v>
      </c>
      <c r="C26" s="40">
        <v>-79026.424721700008</v>
      </c>
      <c r="D26" s="40"/>
      <c r="E26" s="40"/>
      <c r="F26" s="40"/>
      <c r="G26" s="40"/>
      <c r="H26" s="40"/>
      <c r="I26" s="40"/>
      <c r="J26" s="40"/>
      <c r="K26" s="40"/>
      <c r="L26" s="40"/>
      <c r="M26" s="40"/>
      <c r="N26" s="40"/>
      <c r="O26" s="40">
        <v>-79026</v>
      </c>
      <c r="P26" s="40">
        <v>-75652.575045399994</v>
      </c>
      <c r="Q26" s="40">
        <v>-77120.919532900007</v>
      </c>
      <c r="R26" s="40">
        <v>-70249.031575900008</v>
      </c>
      <c r="S26" s="40">
        <v>-67425.351097199993</v>
      </c>
      <c r="T26" s="40">
        <v>-67280.89195569999</v>
      </c>
      <c r="U26" s="40">
        <v>-67437.860402100006</v>
      </c>
      <c r="V26" s="40">
        <v>-57971.386229099997</v>
      </c>
      <c r="W26" s="40">
        <v>-58720.695480100003</v>
      </c>
      <c r="X26" s="40">
        <v>-59275.288420300007</v>
      </c>
      <c r="Y26" s="40">
        <v>-60169.383931600001</v>
      </c>
      <c r="Z26" s="40">
        <v>-60422.5995129</v>
      </c>
      <c r="AA26" s="40">
        <v>-60349.851165300002</v>
      </c>
    </row>
  </sheetData>
  <autoFilter ref="A2:Q26" xr:uid="{00000000-0009-0000-0000-000009000000}">
    <sortState ref="A2:H25">
      <sortCondition ref="A1:A25"/>
    </sortState>
  </autoFilter>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6"/>
  <sheetViews>
    <sheetView zoomScale="102" zoomScaleNormal="100" workbookViewId="0">
      <pane xSplit="2" topLeftCell="L1" activePane="topRight" state="frozen"/>
      <selection pane="topRight" activeCell="P3" sqref="P3"/>
    </sheetView>
  </sheetViews>
  <sheetFormatPr baseColWidth="10" defaultColWidth="8.5546875" defaultRowHeight="14.4" x14ac:dyDescent="0.3"/>
  <cols>
    <col min="1" max="1" width="9" bestFit="1" customWidth="1"/>
    <col min="2" max="2" width="47.5546875" customWidth="1"/>
    <col min="3" max="4" width="11.5546875" bestFit="1" customWidth="1"/>
    <col min="5" max="5" width="12.44140625" bestFit="1" customWidth="1"/>
    <col min="6" max="6" width="11.5546875" bestFit="1" customWidth="1"/>
    <col min="7" max="7" width="12.44140625" bestFit="1" customWidth="1"/>
    <col min="8" max="8" width="11" bestFit="1" customWidth="1"/>
    <col min="9" max="9" width="10.21875" bestFit="1" customWidth="1"/>
    <col min="10" max="16" width="13.5546875" bestFit="1" customWidth="1"/>
  </cols>
  <sheetData>
    <row r="1" spans="1:16" x14ac:dyDescent="0.3">
      <c r="A1" s="11"/>
      <c r="B1" s="11"/>
      <c r="C1" s="12" t="s">
        <v>2013</v>
      </c>
      <c r="D1" s="12" t="s">
        <v>92</v>
      </c>
      <c r="E1" s="12" t="s">
        <v>92</v>
      </c>
      <c r="F1" s="12" t="s">
        <v>92</v>
      </c>
      <c r="G1" s="12" t="s">
        <v>92</v>
      </c>
      <c r="H1" s="12" t="s">
        <v>2210</v>
      </c>
      <c r="I1" s="12" t="s">
        <v>92</v>
      </c>
      <c r="J1" s="12" t="s">
        <v>92</v>
      </c>
      <c r="K1" s="12" t="s">
        <v>92</v>
      </c>
      <c r="L1" s="12" t="s">
        <v>92</v>
      </c>
      <c r="M1" s="12" t="s">
        <v>92</v>
      </c>
      <c r="N1" s="12" t="s">
        <v>92</v>
      </c>
      <c r="O1" s="12" t="s">
        <v>92</v>
      </c>
      <c r="P1" s="12" t="s">
        <v>91</v>
      </c>
    </row>
    <row r="2" spans="1:16" x14ac:dyDescent="0.3">
      <c r="A2" s="13" t="s">
        <v>206</v>
      </c>
      <c r="B2" s="13" t="s">
        <v>205</v>
      </c>
      <c r="C2" s="19">
        <v>45261</v>
      </c>
      <c r="D2" s="19">
        <v>45627</v>
      </c>
      <c r="E2" s="19">
        <v>45658</v>
      </c>
      <c r="F2" s="19">
        <v>45689</v>
      </c>
      <c r="G2" s="19">
        <v>45717</v>
      </c>
      <c r="H2" s="19">
        <v>45748</v>
      </c>
      <c r="I2" s="19">
        <v>45778</v>
      </c>
      <c r="J2" s="7">
        <v>45809</v>
      </c>
      <c r="K2" s="7">
        <v>45839</v>
      </c>
      <c r="L2" s="7">
        <v>45870</v>
      </c>
      <c r="M2" s="7">
        <v>45901</v>
      </c>
      <c r="N2" s="7">
        <v>45931</v>
      </c>
      <c r="O2" s="7">
        <v>45962</v>
      </c>
      <c r="P2" s="7">
        <v>45992</v>
      </c>
    </row>
    <row r="3" spans="1:16" x14ac:dyDescent="0.3">
      <c r="A3" s="11" t="s">
        <v>1440</v>
      </c>
      <c r="B3" s="11" t="s">
        <v>1416</v>
      </c>
      <c r="C3" s="44">
        <v>0.13997923543780119</v>
      </c>
      <c r="D3" s="44">
        <v>0.13997923543780119</v>
      </c>
      <c r="E3" s="44">
        <v>0.1426118063222073</v>
      </c>
      <c r="F3" s="44">
        <v>0.14303611524482257</v>
      </c>
      <c r="G3" s="44">
        <v>0.14500466943564869</v>
      </c>
      <c r="H3" s="44">
        <v>0.14884319361364748</v>
      </c>
      <c r="I3" s="47">
        <v>0.15288012734121706</v>
      </c>
      <c r="J3" s="44">
        <v>0.15450303185565073</v>
      </c>
      <c r="K3" s="44">
        <v>0.15799759915028386</v>
      </c>
      <c r="L3" s="44">
        <v>0.1615259342357033</v>
      </c>
      <c r="M3" s="44">
        <v>0.16331354748777979</v>
      </c>
      <c r="N3" s="44">
        <v>0.16878616804957228</v>
      </c>
      <c r="O3" s="44">
        <v>0.1677439138769935</v>
      </c>
      <c r="P3" s="44">
        <v>0.16844880564498038</v>
      </c>
    </row>
    <row r="4" spans="1:16" x14ac:dyDescent="0.3">
      <c r="A4" s="11">
        <v>16017</v>
      </c>
      <c r="B4" s="11" t="s">
        <v>298</v>
      </c>
      <c r="C4" s="23">
        <v>4238.3466221999997</v>
      </c>
      <c r="D4" s="23">
        <v>4238.3466221999997</v>
      </c>
      <c r="E4" s="23">
        <v>4335.5320118</v>
      </c>
      <c r="F4" s="23">
        <v>4377.9296790999997</v>
      </c>
      <c r="G4" s="23">
        <v>4477.9480267999998</v>
      </c>
      <c r="H4" s="23">
        <v>4546.2587763000001</v>
      </c>
      <c r="I4" s="23">
        <v>4716.035965751058</v>
      </c>
      <c r="J4" s="23">
        <v>4812.3076802795249</v>
      </c>
      <c r="K4" s="23">
        <v>4896.2954638000001</v>
      </c>
      <c r="L4" s="23">
        <v>4987.0272181999999</v>
      </c>
      <c r="M4" s="23">
        <v>5056.1033533999998</v>
      </c>
      <c r="N4" s="23">
        <v>5176.6997431999998</v>
      </c>
      <c r="O4" s="23">
        <v>5225.2094129999996</v>
      </c>
      <c r="P4" s="23">
        <v>5309.5291466922445</v>
      </c>
    </row>
    <row r="5" spans="1:16" x14ac:dyDescent="0.3">
      <c r="A5" s="11" t="s">
        <v>1439</v>
      </c>
      <c r="B5" s="11" t="s">
        <v>1414</v>
      </c>
      <c r="C5" s="23">
        <v>30278.395284444028</v>
      </c>
      <c r="D5" s="23">
        <v>30278.395284444028</v>
      </c>
      <c r="E5" s="23">
        <v>30400.933300042474</v>
      </c>
      <c r="F5" s="23">
        <v>30607.162894536636</v>
      </c>
      <c r="G5" s="23">
        <v>30881.405710781328</v>
      </c>
      <c r="H5" s="23">
        <v>30543.948069944883</v>
      </c>
      <c r="I5" s="23">
        <v>30847.933264898562</v>
      </c>
      <c r="J5" s="23">
        <v>31147.011307684712</v>
      </c>
      <c r="K5" s="23">
        <v>30989.682692220853</v>
      </c>
      <c r="L5" s="23">
        <v>30874.46756954079</v>
      </c>
      <c r="M5" s="23">
        <v>30959.48518158502</v>
      </c>
      <c r="N5" s="23">
        <v>30670.165707415137</v>
      </c>
      <c r="O5" s="23">
        <v>31149.919494734349</v>
      </c>
      <c r="P5" s="23">
        <v>31520.135309730311</v>
      </c>
    </row>
    <row r="6" spans="1:16" x14ac:dyDescent="0.3">
      <c r="A6" s="11" t="s">
        <v>1438</v>
      </c>
      <c r="B6" s="11" t="s">
        <v>93</v>
      </c>
      <c r="C6" s="23">
        <v>29358.591366046567</v>
      </c>
      <c r="D6" s="23">
        <v>29358.591366046567</v>
      </c>
      <c r="E6" s="23">
        <v>29442.54179081913</v>
      </c>
      <c r="F6" s="23">
        <v>29596.924839786712</v>
      </c>
      <c r="G6" s="23">
        <v>29826.656869488659</v>
      </c>
      <c r="H6" s="3">
        <v>29501.385340081655</v>
      </c>
      <c r="I6" s="3">
        <v>29677.317504586212</v>
      </c>
      <c r="J6">
        <v>29794.191537760587</v>
      </c>
      <c r="K6" s="1">
        <v>29447.396363885553</v>
      </c>
      <c r="L6" s="1">
        <v>29388.072219569916</v>
      </c>
      <c r="M6" s="1">
        <v>29387.286507318531</v>
      </c>
      <c r="N6" s="1">
        <v>268141.68017000001</v>
      </c>
      <c r="O6" s="1">
        <v>272974.653666</v>
      </c>
      <c r="P6" s="1">
        <v>272974.653666</v>
      </c>
    </row>
    <row r="7" spans="1:16" x14ac:dyDescent="0.3">
      <c r="A7" s="11" t="s">
        <v>1437</v>
      </c>
      <c r="B7" s="11" t="s">
        <v>1411</v>
      </c>
      <c r="C7" s="23">
        <v>28603.882763246565</v>
      </c>
      <c r="D7" s="23">
        <v>28603.882763246565</v>
      </c>
      <c r="E7" s="23">
        <v>28702.970832619128</v>
      </c>
      <c r="F7" s="23">
        <v>28847.058202886714</v>
      </c>
      <c r="G7" s="23">
        <v>29073.568126288657</v>
      </c>
      <c r="H7" s="23">
        <v>28732.879605381655</v>
      </c>
      <c r="I7" s="23">
        <v>28974.149199683579</v>
      </c>
      <c r="J7" s="23">
        <v>29112.874099068726</v>
      </c>
      <c r="K7" s="23">
        <v>28766.963534685554</v>
      </c>
      <c r="L7" s="23">
        <v>28729.367747769917</v>
      </c>
      <c r="M7" s="23">
        <v>28715.29790871853</v>
      </c>
      <c r="N7" s="23">
        <v>28483.641369577192</v>
      </c>
      <c r="O7" s="23">
        <v>28733.918828173915</v>
      </c>
      <c r="P7" s="23">
        <v>29104.295615169878</v>
      </c>
    </row>
    <row r="8" spans="1:16" x14ac:dyDescent="0.3">
      <c r="A8" s="11" t="s">
        <v>1436</v>
      </c>
      <c r="B8" s="11" t="s">
        <v>1409</v>
      </c>
      <c r="C8" s="23">
        <v>10.581341</v>
      </c>
      <c r="D8" s="23">
        <v>10.581341</v>
      </c>
      <c r="E8" s="23">
        <v>14.948176</v>
      </c>
      <c r="F8" s="23">
        <v>31.737682</v>
      </c>
      <c r="G8" s="23">
        <v>38.124074</v>
      </c>
      <c r="H8" s="3">
        <v>26.304964786396944</v>
      </c>
      <c r="I8" s="3">
        <v>22.574326721498664</v>
      </c>
      <c r="J8">
        <v>47.967421373294286</v>
      </c>
      <c r="K8" s="1">
        <v>16.054614039653291</v>
      </c>
      <c r="L8" s="1">
        <v>25.880752566203153</v>
      </c>
      <c r="M8" s="1">
        <v>20.214524958688425</v>
      </c>
      <c r="N8" s="1">
        <v>15.370637327960564</v>
      </c>
      <c r="O8" s="1">
        <v>23.77772962967445</v>
      </c>
      <c r="P8" s="1">
        <v>4.9037004417256176</v>
      </c>
    </row>
    <row r="9" spans="1:16" x14ac:dyDescent="0.3">
      <c r="A9" s="11" t="s">
        <v>1435</v>
      </c>
      <c r="B9" s="11" t="s">
        <v>1407</v>
      </c>
      <c r="C9" s="23">
        <v>0</v>
      </c>
      <c r="D9" s="23">
        <v>0</v>
      </c>
      <c r="E9" s="23">
        <v>0</v>
      </c>
      <c r="F9" s="23">
        <v>0</v>
      </c>
      <c r="G9" s="23">
        <v>0</v>
      </c>
      <c r="H9" s="3">
        <v>0</v>
      </c>
      <c r="I9" s="3">
        <v>0</v>
      </c>
      <c r="J9">
        <v>0</v>
      </c>
      <c r="K9" s="1">
        <v>0</v>
      </c>
      <c r="L9" s="1">
        <v>0</v>
      </c>
      <c r="M9" s="1">
        <v>0</v>
      </c>
      <c r="N9" s="1">
        <v>0</v>
      </c>
      <c r="O9" s="1">
        <v>0</v>
      </c>
      <c r="P9" s="1">
        <v>0</v>
      </c>
    </row>
    <row r="10" spans="1:16" x14ac:dyDescent="0.3">
      <c r="A10" s="11" t="s">
        <v>1434</v>
      </c>
      <c r="B10" s="11" t="s">
        <v>230</v>
      </c>
      <c r="C10" s="23">
        <v>27103.644235002488</v>
      </c>
      <c r="D10" s="23">
        <v>27103.644235002488</v>
      </c>
      <c r="E10" s="23">
        <v>27127.707948989584</v>
      </c>
      <c r="F10" s="23">
        <v>27284.271556546155</v>
      </c>
      <c r="G10" s="23">
        <v>27613.048389062678</v>
      </c>
      <c r="H10" s="3">
        <v>27330.512197576842</v>
      </c>
      <c r="I10" s="3">
        <v>27602.149744783852</v>
      </c>
      <c r="J10">
        <v>27680.227201793463</v>
      </c>
      <c r="K10" s="1">
        <v>27407.925742407082</v>
      </c>
      <c r="L10" s="1">
        <v>27388.345776156646</v>
      </c>
      <c r="M10" s="1">
        <v>27431.986518387785</v>
      </c>
      <c r="N10" s="1">
        <v>27225.036423281625</v>
      </c>
      <c r="O10" s="1">
        <v>27576.203707218152</v>
      </c>
      <c r="P10" s="1">
        <v>27943.183310219683</v>
      </c>
    </row>
    <row r="11" spans="1:16" x14ac:dyDescent="0.3">
      <c r="A11" s="11" t="s">
        <v>1433</v>
      </c>
      <c r="B11" s="11" t="s">
        <v>171</v>
      </c>
      <c r="C11" s="23">
        <v>400.13396567255819</v>
      </c>
      <c r="D11" s="23">
        <v>400.13396567255819</v>
      </c>
      <c r="E11" s="23">
        <v>450.17270093642634</v>
      </c>
      <c r="F11" s="23">
        <v>480.6592894617674</v>
      </c>
      <c r="G11" s="23">
        <v>388.31837233114612</v>
      </c>
      <c r="H11" s="3">
        <v>312.93726129781948</v>
      </c>
      <c r="I11" s="3">
        <v>265.00462545952558</v>
      </c>
      <c r="J11">
        <v>280.06531020507111</v>
      </c>
      <c r="K11" s="1">
        <v>227.22146343217949</v>
      </c>
      <c r="L11" s="1">
        <v>187.27746161751631</v>
      </c>
      <c r="M11" s="1">
        <v>161.78901443233596</v>
      </c>
      <c r="N11" s="1">
        <v>123.53356988788944</v>
      </c>
      <c r="O11" s="1">
        <v>83.451446785562709</v>
      </c>
      <c r="P11" s="1">
        <v>47.667795318062488</v>
      </c>
    </row>
    <row r="12" spans="1:16" x14ac:dyDescent="0.3">
      <c r="A12" s="11" t="s">
        <v>1432</v>
      </c>
      <c r="B12" s="11" t="s">
        <v>170</v>
      </c>
      <c r="C12" s="23">
        <v>23.386402840799992</v>
      </c>
      <c r="D12" s="23">
        <v>23.386402840799992</v>
      </c>
      <c r="E12" s="23">
        <v>23.334863490799993</v>
      </c>
      <c r="F12" s="23">
        <v>23.334863490799986</v>
      </c>
      <c r="G12" s="23">
        <v>22.773437730799987</v>
      </c>
      <c r="H12" s="3">
        <v>22.773437730799952</v>
      </c>
      <c r="I12" s="3">
        <v>22.773437730799955</v>
      </c>
      <c r="J12">
        <v>20.497963280799983</v>
      </c>
      <c r="K12" s="1">
        <v>20.475217130799948</v>
      </c>
      <c r="L12" s="1">
        <v>20.475218130799949</v>
      </c>
      <c r="M12" s="1">
        <v>21.725085750799963</v>
      </c>
      <c r="N12" s="1">
        <v>21.72508575079997</v>
      </c>
      <c r="O12" s="1">
        <v>21.919465760799991</v>
      </c>
      <c r="P12" s="1">
        <v>20.590755908299965</v>
      </c>
    </row>
    <row r="13" spans="1:16" x14ac:dyDescent="0.3">
      <c r="A13" s="11" t="s">
        <v>1431</v>
      </c>
      <c r="B13" s="11" t="s">
        <v>1402</v>
      </c>
      <c r="C13" s="23">
        <v>685.83681373449849</v>
      </c>
      <c r="D13" s="23">
        <v>685.83681373449849</v>
      </c>
      <c r="E13" s="23">
        <v>662.38860459341015</v>
      </c>
      <c r="F13" s="23">
        <v>677.86549698759302</v>
      </c>
      <c r="G13" s="23">
        <v>653.81837664429736</v>
      </c>
      <c r="H13" s="3">
        <v>686.29247761552494</v>
      </c>
      <c r="I13" s="3">
        <v>698.6921884978882</v>
      </c>
      <c r="J13">
        <v>700.28596453338616</v>
      </c>
      <c r="K13" s="1">
        <v>705.65134263797677</v>
      </c>
      <c r="L13" s="1">
        <v>681.27049097830275</v>
      </c>
      <c r="M13" s="1">
        <v>661.93918634059787</v>
      </c>
      <c r="N13" s="1">
        <v>659.52512359779303</v>
      </c>
      <c r="O13" s="1">
        <v>607.51997376206111</v>
      </c>
      <c r="P13" s="1">
        <v>620.34995376599193</v>
      </c>
    </row>
    <row r="14" spans="1:16" x14ac:dyDescent="0.3">
      <c r="A14" s="11" t="s">
        <v>1430</v>
      </c>
      <c r="B14" s="11" t="s">
        <v>164</v>
      </c>
      <c r="C14" s="23">
        <v>0</v>
      </c>
      <c r="D14" s="23">
        <v>0</v>
      </c>
      <c r="E14" s="23">
        <v>0</v>
      </c>
      <c r="F14" s="23">
        <v>0</v>
      </c>
      <c r="G14" s="23">
        <v>0</v>
      </c>
      <c r="H14" s="3">
        <v>0</v>
      </c>
      <c r="I14" s="3">
        <v>0</v>
      </c>
      <c r="J14">
        <v>0</v>
      </c>
      <c r="K14" s="1">
        <v>0</v>
      </c>
      <c r="L14" s="1">
        <v>0</v>
      </c>
      <c r="M14" s="1">
        <v>0</v>
      </c>
      <c r="N14" s="1">
        <v>0</v>
      </c>
      <c r="O14" s="1">
        <v>0</v>
      </c>
      <c r="P14" s="1">
        <v>0</v>
      </c>
    </row>
    <row r="15" spans="1:16" x14ac:dyDescent="0.3">
      <c r="A15" s="11" t="s">
        <v>1429</v>
      </c>
      <c r="B15" s="11" t="s">
        <v>1399</v>
      </c>
      <c r="C15" s="23">
        <v>996.01973859000009</v>
      </c>
      <c r="D15" s="23">
        <v>996.01973859000009</v>
      </c>
      <c r="E15" s="23">
        <v>991.57771059000004</v>
      </c>
      <c r="F15" s="23">
        <v>1008.49283959</v>
      </c>
      <c r="G15" s="23">
        <v>1020.41164959</v>
      </c>
      <c r="H15" s="3">
        <v>1032.8840475900001</v>
      </c>
      <c r="I15" s="3">
        <v>976.31293559000005</v>
      </c>
      <c r="J15">
        <v>960.75825158999999</v>
      </c>
      <c r="K15" s="1">
        <v>964.53769399999999</v>
      </c>
      <c r="L15" s="1">
        <v>951.48427600000002</v>
      </c>
      <c r="M15" s="1">
        <v>966.76828899999998</v>
      </c>
      <c r="N15" s="1">
        <v>953.33565299999998</v>
      </c>
      <c r="O15" s="1">
        <v>986.05000900000005</v>
      </c>
      <c r="P15" s="1">
        <v>985.61976249999998</v>
      </c>
    </row>
    <row r="16" spans="1:16" x14ac:dyDescent="0.3">
      <c r="A16" s="11" t="s">
        <v>1428</v>
      </c>
      <c r="B16" s="11" t="s">
        <v>47</v>
      </c>
      <c r="C16" s="23">
        <v>122.4359214107683</v>
      </c>
      <c r="D16" s="23">
        <v>122.4359214107683</v>
      </c>
      <c r="E16" s="23">
        <v>156.00277706781131</v>
      </c>
      <c r="F16" s="23">
        <v>74.298041928444277</v>
      </c>
      <c r="G16" s="23">
        <v>90.162569746351892</v>
      </c>
      <c r="H16" s="3">
        <v>73.703760694667807</v>
      </c>
      <c r="I16" s="3">
        <v>89.810245802644246</v>
      </c>
      <c r="J16">
        <v>104.38942498456738</v>
      </c>
      <c r="K16" s="1">
        <v>105.53029023785903</v>
      </c>
      <c r="L16" s="1">
        <v>133.33824412044493</v>
      </c>
      <c r="M16" s="1">
        <v>122.86388844832524</v>
      </c>
      <c r="N16" s="1">
        <v>131.96649253111585</v>
      </c>
      <c r="O16" s="1">
        <v>105.58492401766333</v>
      </c>
      <c r="P16" s="1">
        <v>144.90333511046026</v>
      </c>
    </row>
    <row r="17" spans="1:16" x14ac:dyDescent="0.3">
      <c r="A17" s="11" t="s">
        <v>1427</v>
      </c>
      <c r="B17" s="11" t="s">
        <v>1396</v>
      </c>
      <c r="C17" s="23">
        <v>-754.70860279999999</v>
      </c>
      <c r="D17" s="23">
        <v>-754.70860279999999</v>
      </c>
      <c r="E17" s="23">
        <v>-739.57095820000006</v>
      </c>
      <c r="F17" s="23">
        <v>-749.8666369</v>
      </c>
      <c r="G17" s="23">
        <v>-753.08874319999995</v>
      </c>
      <c r="H17" s="3">
        <v>-768.50573469999995</v>
      </c>
      <c r="I17" s="3">
        <v>-703.16830490263112</v>
      </c>
      <c r="J17">
        <v>-681.31743869186118</v>
      </c>
      <c r="K17" s="1">
        <v>-680.43282920000001</v>
      </c>
      <c r="L17" s="1">
        <v>-658.70447179999996</v>
      </c>
      <c r="M17" s="1">
        <v>-671.98859860000005</v>
      </c>
      <c r="N17" s="1">
        <v>-646.85161579999999</v>
      </c>
      <c r="O17" s="1">
        <v>-670.58842800000002</v>
      </c>
      <c r="P17" s="1">
        <v>-662.92299809434121</v>
      </c>
    </row>
    <row r="18" spans="1:16" x14ac:dyDescent="0.3">
      <c r="A18" s="11" t="s">
        <v>1426</v>
      </c>
      <c r="B18" s="11" t="s">
        <v>1394</v>
      </c>
      <c r="C18" s="23">
        <v>4.9234460000000002</v>
      </c>
      <c r="D18" s="23">
        <v>4.9234460000000002</v>
      </c>
      <c r="E18" s="23">
        <v>4.3830720000000003</v>
      </c>
      <c r="F18" s="23">
        <v>4.0590469999999996</v>
      </c>
      <c r="G18" s="23">
        <v>3.8376389999999994</v>
      </c>
      <c r="H18" s="3">
        <v>2.9648659999999998</v>
      </c>
      <c r="I18" s="3">
        <v>0</v>
      </c>
      <c r="J18" s="3">
        <v>2.094328</v>
      </c>
      <c r="K18" s="42">
        <v>2.0261040000000001</v>
      </c>
      <c r="L18" s="42">
        <v>1.7006399999999999</v>
      </c>
      <c r="M18" s="42">
        <v>1.1655530000000003</v>
      </c>
      <c r="N18" s="42">
        <v>1.1304540000000001</v>
      </c>
      <c r="O18" s="42">
        <v>0.95622400000000007</v>
      </c>
      <c r="P18" s="42">
        <v>0.79525200000000007</v>
      </c>
    </row>
    <row r="19" spans="1:16" x14ac:dyDescent="0.3">
      <c r="A19" s="11" t="s">
        <v>1425</v>
      </c>
      <c r="B19" s="11" t="s">
        <v>1392</v>
      </c>
      <c r="C19" s="23">
        <v>4.187627</v>
      </c>
      <c r="D19" s="23">
        <v>4.187627</v>
      </c>
      <c r="E19" s="23">
        <v>3.6972360000000002</v>
      </c>
      <c r="F19" s="23">
        <v>3.4143140000000001</v>
      </c>
      <c r="G19" s="23">
        <v>3.2338049999999994</v>
      </c>
      <c r="H19" s="3">
        <v>2.4214500000000001</v>
      </c>
      <c r="I19" s="3">
        <v>2.1192490000000004</v>
      </c>
      <c r="J19">
        <v>1.6355600000000001</v>
      </c>
      <c r="K19" s="1">
        <v>1.588222</v>
      </c>
      <c r="L19" s="1">
        <v>1.393753</v>
      </c>
      <c r="M19" s="1">
        <v>1.0848860000000002</v>
      </c>
      <c r="N19" s="1">
        <v>1.0587960000000001</v>
      </c>
      <c r="O19" s="1">
        <v>0.89137000000000011</v>
      </c>
      <c r="P19" s="1">
        <v>0.73765400000000003</v>
      </c>
    </row>
    <row r="20" spans="1:16" x14ac:dyDescent="0.3">
      <c r="A20" s="11" t="s">
        <v>1424</v>
      </c>
      <c r="B20" s="11" t="s">
        <v>1390</v>
      </c>
      <c r="C20" s="23">
        <v>0.73581900000000011</v>
      </c>
      <c r="D20" s="23">
        <v>0.73581900000000011</v>
      </c>
      <c r="E20" s="23">
        <v>0.685836</v>
      </c>
      <c r="F20" s="23">
        <v>0.644733</v>
      </c>
      <c r="G20" s="23">
        <v>0.60383399999999998</v>
      </c>
      <c r="H20" s="3">
        <v>0.5434159999999999</v>
      </c>
      <c r="I20" s="3">
        <v>0.50901399999999997</v>
      </c>
      <c r="J20">
        <v>0.45876799999999995</v>
      </c>
      <c r="K20" s="1">
        <v>0.43788199999999999</v>
      </c>
      <c r="L20" s="1">
        <v>0.30688700000000002</v>
      </c>
      <c r="M20" s="1">
        <v>8.0666999999999989E-2</v>
      </c>
      <c r="N20" s="1">
        <v>7.1657999999999999E-2</v>
      </c>
      <c r="O20" s="1">
        <v>6.4853999999999995E-2</v>
      </c>
      <c r="P20" s="1">
        <v>5.7598000000000003E-2</v>
      </c>
    </row>
    <row r="21" spans="1:16" x14ac:dyDescent="0.3">
      <c r="A21" s="11" t="s">
        <v>1423</v>
      </c>
      <c r="B21" s="11" t="s">
        <v>1388</v>
      </c>
      <c r="C21" s="23">
        <v>0</v>
      </c>
      <c r="D21" s="23">
        <v>0</v>
      </c>
      <c r="E21" s="23">
        <v>0</v>
      </c>
      <c r="F21" s="23">
        <v>0</v>
      </c>
      <c r="G21" s="23">
        <v>0</v>
      </c>
      <c r="H21" s="3">
        <v>0</v>
      </c>
      <c r="I21" s="3">
        <v>0</v>
      </c>
      <c r="J21" s="3">
        <v>0</v>
      </c>
      <c r="K21" s="42">
        <v>0</v>
      </c>
      <c r="L21" s="42">
        <v>0</v>
      </c>
      <c r="M21" s="42">
        <v>0</v>
      </c>
      <c r="N21" s="42">
        <v>0</v>
      </c>
      <c r="O21" s="42">
        <v>0</v>
      </c>
      <c r="P21" s="42">
        <v>0</v>
      </c>
    </row>
    <row r="22" spans="1:16" x14ac:dyDescent="0.3">
      <c r="A22" s="11" t="s">
        <v>1422</v>
      </c>
      <c r="B22" s="11" t="s">
        <v>1386</v>
      </c>
      <c r="C22" s="23">
        <v>0</v>
      </c>
      <c r="D22" s="23">
        <v>0</v>
      </c>
      <c r="E22" s="23">
        <v>0</v>
      </c>
      <c r="F22" s="23">
        <v>0</v>
      </c>
      <c r="G22" s="23">
        <v>0</v>
      </c>
      <c r="H22" s="3">
        <v>0</v>
      </c>
      <c r="I22" s="3">
        <v>0</v>
      </c>
      <c r="J22">
        <v>0</v>
      </c>
      <c r="K22" s="1">
        <v>0</v>
      </c>
      <c r="L22" s="1">
        <v>0</v>
      </c>
      <c r="M22" s="1">
        <v>0</v>
      </c>
      <c r="N22" s="1">
        <v>0</v>
      </c>
      <c r="O22" s="1">
        <v>0</v>
      </c>
      <c r="P22" s="1">
        <v>0</v>
      </c>
    </row>
    <row r="23" spans="1:16" x14ac:dyDescent="0.3">
      <c r="A23" s="11" t="s">
        <v>1421</v>
      </c>
      <c r="B23" s="11" t="s">
        <v>1384</v>
      </c>
      <c r="C23" s="23">
        <v>0</v>
      </c>
      <c r="D23" s="23">
        <v>0</v>
      </c>
      <c r="E23" s="23">
        <v>0</v>
      </c>
      <c r="F23" s="23">
        <v>0</v>
      </c>
      <c r="G23" s="23">
        <v>0</v>
      </c>
      <c r="H23" s="3">
        <v>0</v>
      </c>
      <c r="I23" s="3">
        <v>0</v>
      </c>
      <c r="J23">
        <v>0</v>
      </c>
      <c r="K23" s="1">
        <v>0</v>
      </c>
      <c r="L23" s="1">
        <v>0</v>
      </c>
      <c r="M23" s="1">
        <v>0</v>
      </c>
      <c r="N23" s="1">
        <v>0</v>
      </c>
      <c r="O23" s="1">
        <v>0</v>
      </c>
      <c r="P23" s="1">
        <v>0</v>
      </c>
    </row>
    <row r="24" spans="1:16" x14ac:dyDescent="0.3">
      <c r="A24" s="11" t="s">
        <v>1420</v>
      </c>
      <c r="B24" s="11" t="s">
        <v>1382</v>
      </c>
      <c r="C24" s="23">
        <v>1669.5890751974603</v>
      </c>
      <c r="D24" s="23">
        <v>1669.5890751974603</v>
      </c>
      <c r="E24" s="23">
        <v>1693.5793954233468</v>
      </c>
      <c r="F24" s="23">
        <v>1756.0456446499229</v>
      </c>
      <c r="G24" s="23">
        <v>1803.9999454926692</v>
      </c>
      <c r="H24" s="3">
        <v>1808.1035985632298</v>
      </c>
      <c r="I24" s="3">
        <v>1871.1558022149839</v>
      </c>
      <c r="J24">
        <v>2032.0428806159871</v>
      </c>
      <c r="K24" s="1">
        <v>2220.6930535352985</v>
      </c>
      <c r="L24" s="1">
        <v>2143.3991817708738</v>
      </c>
      <c r="M24" s="1">
        <v>2243.0217198664905</v>
      </c>
      <c r="N24" s="1">
        <v>2185.3938838379472</v>
      </c>
      <c r="O24" s="1">
        <v>2415.0444425604328</v>
      </c>
      <c r="P24" s="1">
        <v>2415.0444425604328</v>
      </c>
    </row>
    <row r="25" spans="1:16" x14ac:dyDescent="0.3">
      <c r="A25" s="11" t="s">
        <v>1419</v>
      </c>
      <c r="B25" s="11" t="s">
        <v>1380</v>
      </c>
      <c r="C25" s="23">
        <v>16695.890751974628</v>
      </c>
      <c r="D25" s="23">
        <v>16695.890751974628</v>
      </c>
      <c r="E25" s="23">
        <v>16935.79395423345</v>
      </c>
      <c r="F25" s="23">
        <v>17560.456446499236</v>
      </c>
      <c r="G25" s="23">
        <v>18039.999454926699</v>
      </c>
      <c r="H25" s="3">
        <v>18081.035985632276</v>
      </c>
      <c r="I25" s="3">
        <v>18711.558022149853</v>
      </c>
      <c r="J25">
        <v>20320.428806159856</v>
      </c>
      <c r="K25" s="1">
        <v>22206.930535353018</v>
      </c>
      <c r="L25" s="1">
        <v>21433.991817708771</v>
      </c>
      <c r="M25" s="1">
        <v>22430.217198664883</v>
      </c>
      <c r="N25" s="1">
        <v>21853.938838379483</v>
      </c>
      <c r="O25" s="1">
        <v>24150.44442560435</v>
      </c>
      <c r="P25" s="1">
        <v>24150.44442560435</v>
      </c>
    </row>
    <row r="26" spans="1:16" x14ac:dyDescent="0.3">
      <c r="A26" s="11" t="s">
        <v>1418</v>
      </c>
      <c r="B26" s="11" t="s">
        <v>1378</v>
      </c>
      <c r="C26" s="23">
        <v>-15026.301676777168</v>
      </c>
      <c r="D26" s="23">
        <v>-15026.301676777168</v>
      </c>
      <c r="E26" s="23">
        <v>-15242.214558810103</v>
      </c>
      <c r="F26" s="23">
        <v>-15804.410801849313</v>
      </c>
      <c r="G26" s="23">
        <v>-16235.99950943403</v>
      </c>
      <c r="H26" s="3">
        <v>-16272.932387069046</v>
      </c>
      <c r="I26" s="3">
        <v>-16840.402219934869</v>
      </c>
      <c r="J26">
        <v>-18288.385925543869</v>
      </c>
      <c r="K26" s="1">
        <v>-19986.23748181772</v>
      </c>
      <c r="L26" s="1">
        <v>-19290.592635937897</v>
      </c>
      <c r="M26" s="1">
        <v>-20187.195478798392</v>
      </c>
      <c r="N26" s="1">
        <v>-19668.544954541536</v>
      </c>
      <c r="O26" s="1">
        <v>-21735.399983043917</v>
      </c>
      <c r="P26" s="1">
        <v>-21735.399983043917</v>
      </c>
    </row>
  </sheetData>
  <autoFilter ref="A2:G26"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176"/>
  <sheetViews>
    <sheetView zoomScaleNormal="100" workbookViewId="0">
      <pane xSplit="2" ySplit="2" topLeftCell="Z121" activePane="bottomRight" state="frozen"/>
      <selection activeCell="A2" sqref="A2:B2"/>
      <selection pane="topRight" activeCell="A2" sqref="A2:B2"/>
      <selection pane="bottomLeft" activeCell="A2" sqref="A2:B2"/>
      <selection pane="bottomRight" activeCell="A127" sqref="A127:XFD127"/>
    </sheetView>
  </sheetViews>
  <sheetFormatPr baseColWidth="10" defaultColWidth="9.44140625" defaultRowHeight="13.2" x14ac:dyDescent="0.25"/>
  <cols>
    <col min="1" max="1" width="13.5546875" style="11" bestFit="1" customWidth="1"/>
    <col min="2" max="2" width="39.5546875" style="11" bestFit="1" customWidth="1"/>
    <col min="3" max="7" width="13.5546875" style="12" bestFit="1" customWidth="1"/>
    <col min="8" max="18" width="13.5546875" style="12" customWidth="1"/>
    <col min="19" max="19" width="13.5546875" style="12" bestFit="1" customWidth="1"/>
    <col min="20" max="26" width="11.5546875" style="12" customWidth="1"/>
    <col min="27" max="27" width="9.44140625" style="11"/>
    <col min="28" max="31" width="11" style="11" bestFit="1" customWidth="1"/>
    <col min="32" max="16384" width="9.44140625" style="11"/>
  </cols>
  <sheetData>
    <row r="1" spans="1:31" x14ac:dyDescent="0.25">
      <c r="G1" s="12" t="s">
        <v>92</v>
      </c>
      <c r="H1" s="12" t="s">
        <v>92</v>
      </c>
      <c r="I1" s="12" t="s">
        <v>92</v>
      </c>
      <c r="J1" s="12" t="s">
        <v>92</v>
      </c>
      <c r="K1" s="12" t="s">
        <v>92</v>
      </c>
      <c r="L1" s="12" t="s">
        <v>92</v>
      </c>
      <c r="M1" s="12" t="s">
        <v>92</v>
      </c>
      <c r="N1" s="12" t="s">
        <v>92</v>
      </c>
      <c r="O1" s="12" t="s">
        <v>92</v>
      </c>
      <c r="P1" s="12" t="s">
        <v>92</v>
      </c>
      <c r="Q1" s="12" t="s">
        <v>92</v>
      </c>
      <c r="R1" s="12" t="s">
        <v>92</v>
      </c>
      <c r="S1" s="12" t="s">
        <v>92</v>
      </c>
      <c r="T1" s="12" t="s">
        <v>92</v>
      </c>
      <c r="U1" s="12" t="s">
        <v>92</v>
      </c>
      <c r="V1" s="12" t="s">
        <v>92</v>
      </c>
      <c r="W1" s="12" t="s">
        <v>92</v>
      </c>
      <c r="X1" s="12" t="s">
        <v>92</v>
      </c>
      <c r="Y1" s="12" t="s">
        <v>92</v>
      </c>
      <c r="Z1" s="12" t="s">
        <v>92</v>
      </c>
      <c r="AA1" s="11" t="s">
        <v>92</v>
      </c>
      <c r="AB1" s="11" t="s">
        <v>92</v>
      </c>
      <c r="AC1" s="11" t="s">
        <v>92</v>
      </c>
      <c r="AD1" s="11" t="s">
        <v>2937</v>
      </c>
      <c r="AE1" s="11" t="s">
        <v>91</v>
      </c>
    </row>
    <row r="2" spans="1:31" x14ac:dyDescent="0.25">
      <c r="A2" s="13" t="s">
        <v>206</v>
      </c>
      <c r="B2" s="13" t="s">
        <v>205</v>
      </c>
      <c r="C2" s="14">
        <v>45139</v>
      </c>
      <c r="D2" s="14">
        <v>45170</v>
      </c>
      <c r="E2" s="14">
        <v>45200</v>
      </c>
      <c r="F2" s="14">
        <v>45231</v>
      </c>
      <c r="G2" s="14">
        <v>45261</v>
      </c>
      <c r="H2" s="14">
        <v>45292</v>
      </c>
      <c r="I2" s="14">
        <v>45323</v>
      </c>
      <c r="J2" s="14">
        <v>45352</v>
      </c>
      <c r="K2" s="14">
        <v>45383</v>
      </c>
      <c r="L2" s="14">
        <v>45413</v>
      </c>
      <c r="M2" s="14">
        <v>45444</v>
      </c>
      <c r="N2" s="14">
        <v>45474</v>
      </c>
      <c r="O2" s="14">
        <v>45505</v>
      </c>
      <c r="P2" s="14">
        <v>45536</v>
      </c>
      <c r="Q2" s="14">
        <v>45566</v>
      </c>
      <c r="R2" s="14">
        <v>45597</v>
      </c>
      <c r="S2" s="14">
        <v>45627</v>
      </c>
      <c r="T2" s="14">
        <v>45658</v>
      </c>
      <c r="U2" s="14">
        <v>45689</v>
      </c>
      <c r="V2" s="14">
        <v>45717</v>
      </c>
      <c r="W2" s="14">
        <v>45748</v>
      </c>
      <c r="X2" s="14">
        <v>45778</v>
      </c>
      <c r="Y2" s="14">
        <v>45809</v>
      </c>
      <c r="Z2" s="14">
        <v>45839</v>
      </c>
      <c r="AA2" s="14">
        <v>45870</v>
      </c>
      <c r="AB2" s="14">
        <v>45901</v>
      </c>
      <c r="AC2" s="14">
        <v>45931</v>
      </c>
      <c r="AD2" s="14">
        <v>45962</v>
      </c>
      <c r="AE2" s="14">
        <v>45992</v>
      </c>
    </row>
    <row r="3" spans="1:31" x14ac:dyDescent="0.25">
      <c r="A3" s="11" t="s">
        <v>570</v>
      </c>
      <c r="B3" s="11" t="s">
        <v>330</v>
      </c>
      <c r="C3" s="22">
        <v>73540.04383699999</v>
      </c>
      <c r="D3" s="94">
        <v>70728.965781000006</v>
      </c>
      <c r="E3" s="22">
        <v>71046.416310000001</v>
      </c>
      <c r="F3" s="22">
        <v>70098.966565999988</v>
      </c>
      <c r="G3" s="22">
        <v>74725.244638999997</v>
      </c>
      <c r="H3" s="22">
        <v>71970.039562999998</v>
      </c>
      <c r="I3" s="22">
        <v>76158.276570999995</v>
      </c>
      <c r="J3" s="94">
        <v>72659.156721000007</v>
      </c>
      <c r="K3" s="22">
        <v>72790.90589699999</v>
      </c>
      <c r="L3" s="22">
        <v>73101.385670999996</v>
      </c>
      <c r="M3" s="22">
        <v>77556.090326999998</v>
      </c>
      <c r="N3" s="22">
        <v>75597.975049000001</v>
      </c>
      <c r="O3" s="22">
        <v>76794.736684999996</v>
      </c>
      <c r="P3" s="22">
        <v>75084.874655000021</v>
      </c>
      <c r="Q3" s="22">
        <v>79927.386610000001</v>
      </c>
      <c r="R3" s="22">
        <v>79405.485538000008</v>
      </c>
      <c r="S3" s="22">
        <v>76694.678138000003</v>
      </c>
      <c r="T3" s="22">
        <v>78539.945989999993</v>
      </c>
      <c r="U3" s="22">
        <v>79550.269667999994</v>
      </c>
      <c r="V3" s="22">
        <v>80016.933594999995</v>
      </c>
      <c r="W3" s="22">
        <v>80981.033613000007</v>
      </c>
      <c r="X3" s="22">
        <v>78828.600390000007</v>
      </c>
      <c r="Y3" s="22">
        <v>82301.15093600002</v>
      </c>
      <c r="Z3" s="22">
        <v>82263.964373000053</v>
      </c>
      <c r="AA3" s="22">
        <v>83745.577441000001</v>
      </c>
      <c r="AB3" s="22">
        <v>81695.419333000042</v>
      </c>
      <c r="AC3" s="22">
        <v>85048.005819999991</v>
      </c>
      <c r="AD3" s="22">
        <v>86526.856623999993</v>
      </c>
      <c r="AE3" s="22">
        <v>87172.495263000019</v>
      </c>
    </row>
    <row r="4" spans="1:31" x14ac:dyDescent="0.25">
      <c r="A4" s="11" t="s">
        <v>569</v>
      </c>
      <c r="B4" s="11" t="s">
        <v>566</v>
      </c>
      <c r="C4" s="22">
        <v>59237.62243045037</v>
      </c>
      <c r="D4" s="94">
        <v>56987.67927373539</v>
      </c>
      <c r="E4" s="22">
        <v>57183.102243854861</v>
      </c>
      <c r="F4" s="22">
        <v>55982.44544751104</v>
      </c>
      <c r="G4" s="22">
        <v>61098.473188932767</v>
      </c>
      <c r="H4" s="22">
        <v>58306.697951985312</v>
      </c>
      <c r="I4" s="22">
        <v>62192.052971446225</v>
      </c>
      <c r="J4" s="94">
        <v>58611.778352319583</v>
      </c>
      <c r="K4" s="22">
        <v>58672.909773426392</v>
      </c>
      <c r="L4" s="22">
        <v>58997.321658756795</v>
      </c>
      <c r="M4" s="22">
        <v>61982.902125812747</v>
      </c>
      <c r="N4" s="22">
        <v>59806.644808669123</v>
      </c>
      <c r="O4" s="22">
        <v>60126.673413457997</v>
      </c>
      <c r="P4" s="22">
        <v>57341.641305255216</v>
      </c>
      <c r="Q4" s="22">
        <v>62520.87599204143</v>
      </c>
      <c r="R4" s="22">
        <v>60693.457526623606</v>
      </c>
      <c r="S4" s="22">
        <v>59374.119600405633</v>
      </c>
      <c r="T4" s="22">
        <v>58785.272577782293</v>
      </c>
      <c r="U4" s="22">
        <v>60492.577419106099</v>
      </c>
      <c r="V4" s="22">
        <v>61704.167883387141</v>
      </c>
      <c r="W4" s="22">
        <v>61199.0369345453</v>
      </c>
      <c r="X4" s="22">
        <v>59718.866033241829</v>
      </c>
      <c r="Y4" s="22">
        <v>62255.053371954789</v>
      </c>
      <c r="Z4" s="22">
        <v>62787.313616990694</v>
      </c>
      <c r="AA4" s="22">
        <v>64132.291143555194</v>
      </c>
      <c r="AB4" s="22">
        <v>61935.854627631401</v>
      </c>
      <c r="AC4" s="22">
        <v>66398.801765973971</v>
      </c>
      <c r="AD4" s="22">
        <v>67013.801121712575</v>
      </c>
      <c r="AE4" s="22">
        <v>67719.610097420053</v>
      </c>
    </row>
    <row r="5" spans="1:31" x14ac:dyDescent="0.25">
      <c r="A5" s="11" t="s">
        <v>568</v>
      </c>
      <c r="B5" s="11" t="s">
        <v>428</v>
      </c>
      <c r="C5" s="22">
        <v>135003.36872449034</v>
      </c>
      <c r="D5" s="22"/>
      <c r="E5" s="22">
        <v>107713.59778276764</v>
      </c>
      <c r="F5" s="22">
        <v>90760.417252234009</v>
      </c>
      <c r="G5" s="22">
        <v>0</v>
      </c>
      <c r="H5" s="22">
        <v>106464.35280952562</v>
      </c>
      <c r="I5" s="22">
        <v>126714.11502461873</v>
      </c>
      <c r="J5" s="22"/>
      <c r="K5" s="22">
        <v>103841.72484297655</v>
      </c>
      <c r="L5" s="22">
        <v>102901.43127637102</v>
      </c>
      <c r="M5" s="22">
        <v>0</v>
      </c>
      <c r="N5" s="22">
        <v>107637.47246447299</v>
      </c>
      <c r="O5" s="22">
        <v>0</v>
      </c>
      <c r="P5" s="22">
        <v>104696.16683998489</v>
      </c>
      <c r="Q5" s="22">
        <v>134576.53085430371</v>
      </c>
      <c r="R5" s="22">
        <v>0</v>
      </c>
      <c r="S5" s="22">
        <v>77624.496876207442</v>
      </c>
      <c r="T5" s="22">
        <v>104826.08382255817</v>
      </c>
      <c r="U5" s="22">
        <v>107988.77444258852</v>
      </c>
      <c r="V5" s="22">
        <v>116306.67533876616</v>
      </c>
      <c r="W5" s="22">
        <v>119502.00617726771</v>
      </c>
      <c r="X5" s="22">
        <v>100889.0459583464</v>
      </c>
      <c r="Y5" s="22">
        <v>99758.1771103028</v>
      </c>
      <c r="Z5" s="22"/>
      <c r="AA5" s="22">
        <v>0</v>
      </c>
      <c r="AB5" s="22">
        <v>95426.906777910874</v>
      </c>
      <c r="AC5" s="22">
        <v>113905.24266756269</v>
      </c>
      <c r="AD5" s="22">
        <v>0</v>
      </c>
      <c r="AE5" s="22">
        <v>93710.00396853128</v>
      </c>
    </row>
    <row r="6" spans="1:31" x14ac:dyDescent="0.25">
      <c r="A6" s="11" t="s">
        <v>567</v>
      </c>
      <c r="B6" s="11" t="s">
        <v>566</v>
      </c>
      <c r="C6" s="23">
        <v>2.2790139641913365</v>
      </c>
      <c r="D6" s="23"/>
      <c r="E6" s="23">
        <v>1.8836613187481097</v>
      </c>
      <c r="F6" s="23">
        <v>1.6212299503302456</v>
      </c>
      <c r="G6" s="23">
        <v>0</v>
      </c>
      <c r="H6" s="23">
        <v>1.8259369257576104</v>
      </c>
      <c r="I6" s="23">
        <v>2.037464739792334</v>
      </c>
      <c r="J6" s="23"/>
      <c r="K6" s="23">
        <v>1.7698410602776617</v>
      </c>
      <c r="L6" s="23">
        <v>1.7441712332562755</v>
      </c>
      <c r="M6" s="23">
        <v>0</v>
      </c>
      <c r="N6" s="23">
        <v>1.7997577494745309</v>
      </c>
      <c r="O6" s="23">
        <v>0</v>
      </c>
      <c r="P6" s="23">
        <v>1.8258313584475259</v>
      </c>
      <c r="Q6" s="23">
        <v>2.1525055226582968</v>
      </c>
      <c r="R6" s="23">
        <v>0</v>
      </c>
      <c r="S6" s="23">
        <v>1.3073793329253363</v>
      </c>
      <c r="T6" s="23">
        <v>1.7832031600067269</v>
      </c>
      <c r="U6" s="23">
        <v>1.7851574366623222</v>
      </c>
      <c r="V6" s="23">
        <v>1.8849079296972395</v>
      </c>
      <c r="W6" s="23">
        <v>1.9526778878085886</v>
      </c>
      <c r="X6" s="22">
        <v>1.6893998942007313</v>
      </c>
      <c r="Y6" s="22">
        <v>1.6024109161754048</v>
      </c>
      <c r="Z6" s="22"/>
      <c r="AA6" s="22">
        <v>0</v>
      </c>
      <c r="AB6" s="22">
        <v>1.5407377092256693</v>
      </c>
      <c r="AC6" s="22">
        <v>1.7154713584896855</v>
      </c>
      <c r="AD6" s="22">
        <v>0</v>
      </c>
      <c r="AE6" s="22">
        <v>1.3837942042743894</v>
      </c>
    </row>
    <row r="7" spans="1:31" x14ac:dyDescent="0.25">
      <c r="A7" s="11" t="s">
        <v>565</v>
      </c>
      <c r="B7" s="11" t="s">
        <v>562</v>
      </c>
      <c r="C7" s="22">
        <v>43434.641143292502</v>
      </c>
      <c r="D7" s="94">
        <v>43650.667503606637</v>
      </c>
      <c r="E7" s="22">
        <v>44421.612995996635</v>
      </c>
      <c r="F7" s="22">
        <v>45017.847327615877</v>
      </c>
      <c r="G7" s="22">
        <v>49801.84430080196</v>
      </c>
      <c r="H7" s="22">
        <v>45144.37842186795</v>
      </c>
      <c r="I7" s="22">
        <v>47156.897941022704</v>
      </c>
      <c r="J7" s="94">
        <v>45901.278857743746</v>
      </c>
      <c r="K7" s="22">
        <v>45420.450667474492</v>
      </c>
      <c r="L7" s="22">
        <v>45372.716297056504</v>
      </c>
      <c r="M7" s="22">
        <v>47141.685813612632</v>
      </c>
      <c r="N7" s="22">
        <v>46295.688043682349</v>
      </c>
      <c r="O7" s="22">
        <v>46573.9002788617</v>
      </c>
      <c r="P7" s="22">
        <v>44885.33195985332</v>
      </c>
      <c r="Q7" s="22">
        <v>47049.924086196261</v>
      </c>
      <c r="R7" s="22">
        <v>46690.939467683595</v>
      </c>
      <c r="S7" s="22">
        <v>49432.883149453301</v>
      </c>
      <c r="T7" s="22">
        <v>45795.795135064698</v>
      </c>
      <c r="U7" s="22">
        <v>46493.154535778602</v>
      </c>
      <c r="V7" s="22">
        <v>47006.170050006956</v>
      </c>
      <c r="W7" s="22">
        <v>45366.037292569097</v>
      </c>
      <c r="X7" s="22">
        <v>45313.19975473384</v>
      </c>
      <c r="Y7" s="22">
        <v>47697.774330925233</v>
      </c>
      <c r="Z7" s="22">
        <v>47369.313325891198</v>
      </c>
      <c r="AA7" s="22">
        <v>47828.103388431999</v>
      </c>
      <c r="AB7" s="22">
        <v>46824.567008985199</v>
      </c>
      <c r="AC7" s="22">
        <v>48317.050904944292</v>
      </c>
      <c r="AD7" s="22">
        <v>49542.251902701566</v>
      </c>
      <c r="AE7" s="22">
        <v>52129.148370907504</v>
      </c>
    </row>
    <row r="8" spans="1:31" x14ac:dyDescent="0.25">
      <c r="A8" s="11" t="s">
        <v>564</v>
      </c>
      <c r="B8" s="11" t="s">
        <v>386</v>
      </c>
      <c r="C8" s="22">
        <v>0</v>
      </c>
      <c r="D8" s="22"/>
      <c r="E8" s="22">
        <v>0</v>
      </c>
      <c r="F8" s="22">
        <v>0</v>
      </c>
      <c r="G8" s="22">
        <v>0</v>
      </c>
      <c r="H8" s="22">
        <v>0</v>
      </c>
      <c r="I8" s="22">
        <v>0</v>
      </c>
      <c r="J8" s="22"/>
      <c r="K8" s="22">
        <v>0</v>
      </c>
      <c r="L8" s="22">
        <v>0</v>
      </c>
      <c r="M8" s="22">
        <v>0</v>
      </c>
      <c r="N8" s="22">
        <v>0</v>
      </c>
      <c r="O8" s="22">
        <v>0</v>
      </c>
      <c r="P8" s="22">
        <v>0</v>
      </c>
      <c r="Q8" s="22">
        <v>0</v>
      </c>
      <c r="R8" s="22">
        <v>0</v>
      </c>
      <c r="S8" s="22">
        <v>902.56632777785001</v>
      </c>
      <c r="T8" s="22">
        <v>997.615353370158</v>
      </c>
      <c r="U8" s="22">
        <v>967.71276130951003</v>
      </c>
      <c r="V8" s="22">
        <v>822.17423802603309</v>
      </c>
      <c r="W8" s="22">
        <v>1123.18568975371</v>
      </c>
      <c r="X8" s="22">
        <v>0</v>
      </c>
      <c r="Y8" s="22">
        <v>0</v>
      </c>
      <c r="Z8" s="22"/>
      <c r="AA8" s="22">
        <v>0</v>
      </c>
      <c r="AB8" s="22">
        <v>0</v>
      </c>
      <c r="AC8" s="22">
        <v>0</v>
      </c>
      <c r="AD8" s="22">
        <v>0</v>
      </c>
      <c r="AE8" s="22">
        <v>0</v>
      </c>
    </row>
    <row r="9" spans="1:31" x14ac:dyDescent="0.25">
      <c r="A9" s="11" t="s">
        <v>563</v>
      </c>
      <c r="B9" s="11" t="s">
        <v>562</v>
      </c>
      <c r="C9" s="23">
        <v>0</v>
      </c>
      <c r="D9" s="23"/>
      <c r="E9" s="23">
        <v>0</v>
      </c>
      <c r="F9" s="23">
        <v>0</v>
      </c>
      <c r="G9" s="23">
        <v>0</v>
      </c>
      <c r="H9" s="23">
        <v>0</v>
      </c>
      <c r="I9" s="23">
        <v>0</v>
      </c>
      <c r="J9" s="23"/>
      <c r="K9" s="23">
        <v>0</v>
      </c>
      <c r="L9" s="23">
        <v>0</v>
      </c>
      <c r="M9" s="23">
        <v>0</v>
      </c>
      <c r="N9" s="23">
        <v>0</v>
      </c>
      <c r="O9" s="23">
        <v>0</v>
      </c>
      <c r="P9" s="23">
        <v>0</v>
      </c>
      <c r="Q9" s="23">
        <v>0</v>
      </c>
      <c r="R9" s="23">
        <v>0</v>
      </c>
      <c r="S9" s="23">
        <v>0</v>
      </c>
      <c r="T9" s="23">
        <v>0</v>
      </c>
      <c r="U9" s="23">
        <v>0</v>
      </c>
      <c r="V9" s="23">
        <v>0</v>
      </c>
      <c r="W9" s="23">
        <v>0</v>
      </c>
      <c r="X9" s="23">
        <v>0</v>
      </c>
      <c r="Y9" s="23">
        <v>0</v>
      </c>
      <c r="Z9" s="22"/>
      <c r="AA9" s="22">
        <v>0</v>
      </c>
      <c r="AB9" s="22">
        <v>0</v>
      </c>
      <c r="AC9" s="22">
        <v>0</v>
      </c>
      <c r="AD9" s="22">
        <v>0</v>
      </c>
      <c r="AE9" s="22">
        <v>0</v>
      </c>
    </row>
    <row r="10" spans="1:31" x14ac:dyDescent="0.25">
      <c r="A10" s="11" t="s">
        <v>561</v>
      </c>
      <c r="B10" s="11" t="s">
        <v>558</v>
      </c>
      <c r="C10" s="22">
        <v>15802.981287157867</v>
      </c>
      <c r="D10" s="94">
        <v>13337.011770128755</v>
      </c>
      <c r="E10" s="22">
        <v>12761.489247858228</v>
      </c>
      <c r="F10" s="22">
        <v>10964.598119895165</v>
      </c>
      <c r="G10" s="22">
        <v>11296.62888813081</v>
      </c>
      <c r="H10" s="22">
        <v>13162.319530117364</v>
      </c>
      <c r="I10" s="22">
        <v>15035.155030423521</v>
      </c>
      <c r="J10" s="94">
        <v>12710.499494575835</v>
      </c>
      <c r="K10" s="22">
        <v>13252.459105951903</v>
      </c>
      <c r="L10" s="22">
        <v>13624.605361700291</v>
      </c>
      <c r="M10" s="22">
        <v>14841.216312200115</v>
      </c>
      <c r="N10" s="22">
        <v>13510.956764986779</v>
      </c>
      <c r="O10" s="22">
        <v>13552.773134596297</v>
      </c>
      <c r="P10" s="22">
        <v>12456.309345401894</v>
      </c>
      <c r="Q10" s="22">
        <v>15470.951905845168</v>
      </c>
      <c r="R10" s="22">
        <v>14002.518058940013</v>
      </c>
      <c r="S10" s="22">
        <v>9940.9738219411611</v>
      </c>
      <c r="T10" s="22">
        <v>12989.4774427176</v>
      </c>
      <c r="U10" s="22">
        <v>13999.422883327499</v>
      </c>
      <c r="V10" s="22">
        <v>14697.997833380183</v>
      </c>
      <c r="W10" s="22">
        <v>15832.999641976199</v>
      </c>
      <c r="X10" s="22">
        <v>14405.666278507992</v>
      </c>
      <c r="Y10" s="22">
        <v>14557.279041029557</v>
      </c>
      <c r="Z10" s="22">
        <v>15418.000291099492</v>
      </c>
      <c r="AA10" s="22">
        <v>16304.187755123199</v>
      </c>
      <c r="AB10" s="22">
        <v>15111.2876186462</v>
      </c>
      <c r="AC10" s="22">
        <v>18081.750861029679</v>
      </c>
      <c r="AD10" s="22">
        <v>17471.549219011009</v>
      </c>
      <c r="AE10" s="22">
        <v>15590.461726512551</v>
      </c>
    </row>
    <row r="11" spans="1:31" x14ac:dyDescent="0.25">
      <c r="A11" s="11" t="s">
        <v>560</v>
      </c>
      <c r="B11" s="11" t="s">
        <v>386</v>
      </c>
      <c r="C11" s="22">
        <v>135003.36872449034</v>
      </c>
      <c r="D11" s="22"/>
      <c r="E11" s="22">
        <v>107713.59778276764</v>
      </c>
      <c r="F11" s="22">
        <v>90760.417252234009</v>
      </c>
      <c r="G11" s="22">
        <v>0</v>
      </c>
      <c r="H11" s="22">
        <v>106464.35280952562</v>
      </c>
      <c r="I11" s="22">
        <v>126714.11502461873</v>
      </c>
      <c r="J11" s="22"/>
      <c r="K11" s="22">
        <v>103841.72484297655</v>
      </c>
      <c r="L11" s="22">
        <v>102901.43127637102</v>
      </c>
      <c r="M11" s="22">
        <v>0</v>
      </c>
      <c r="N11" s="22">
        <v>107637.47246447299</v>
      </c>
      <c r="O11" s="22">
        <v>0</v>
      </c>
      <c r="P11" s="22">
        <v>104696.16683998489</v>
      </c>
      <c r="Q11" s="22">
        <v>134576.53085430371</v>
      </c>
      <c r="R11" s="22">
        <v>0</v>
      </c>
      <c r="S11" s="22">
        <v>76721.930548429591</v>
      </c>
      <c r="T11" s="22">
        <v>103828.46846918801</v>
      </c>
      <c r="U11" s="22">
        <v>107021.06168127901</v>
      </c>
      <c r="V11" s="22">
        <v>115485.317465446</v>
      </c>
      <c r="W11" s="22">
        <v>118378.82048751401</v>
      </c>
      <c r="X11" s="22">
        <v>100889.0459583464</v>
      </c>
      <c r="Y11" s="22">
        <v>99758.1771103028</v>
      </c>
      <c r="Z11" s="22"/>
      <c r="AA11" s="22">
        <v>0</v>
      </c>
      <c r="AB11" s="22">
        <v>95426.906777910874</v>
      </c>
      <c r="AC11" s="22">
        <v>113905.24266756269</v>
      </c>
      <c r="AD11" s="22">
        <v>0</v>
      </c>
      <c r="AE11" s="22">
        <v>93710.00396853128</v>
      </c>
    </row>
    <row r="12" spans="1:31" x14ac:dyDescent="0.25">
      <c r="A12" s="11" t="s">
        <v>559</v>
      </c>
      <c r="B12" s="11" t="s">
        <v>558</v>
      </c>
      <c r="C12" s="23">
        <v>8.5429050551492747</v>
      </c>
      <c r="D12" s="23"/>
      <c r="E12" s="23">
        <v>8.4405194167166115</v>
      </c>
      <c r="F12" s="23">
        <v>8.2775872184088577</v>
      </c>
      <c r="G12" s="23">
        <v>0</v>
      </c>
      <c r="H12" s="23">
        <v>8.0885707542594751</v>
      </c>
      <c r="I12" s="23">
        <v>8.4278555670502691</v>
      </c>
      <c r="J12" s="23"/>
      <c r="K12" s="23">
        <v>7.835657066569591</v>
      </c>
      <c r="L12" s="23">
        <v>7.5526173819048052</v>
      </c>
      <c r="M12" s="23">
        <v>0</v>
      </c>
      <c r="N12" s="23">
        <v>7.9666802534230685</v>
      </c>
      <c r="O12" s="23">
        <v>0</v>
      </c>
      <c r="P12" s="23">
        <v>8.4050711921852113</v>
      </c>
      <c r="Q12" s="23">
        <v>8.6986587298134239</v>
      </c>
      <c r="R12" s="23">
        <v>0</v>
      </c>
      <c r="S12" s="23">
        <v>7.7177479714405077</v>
      </c>
      <c r="T12" s="23">
        <v>7.9932752435239989</v>
      </c>
      <c r="U12" s="23">
        <v>7.6446766822605872</v>
      </c>
      <c r="V12" s="23">
        <v>7.8571461755949255</v>
      </c>
      <c r="W12" s="23">
        <v>7.4767146570047247</v>
      </c>
      <c r="X12" s="23">
        <v>7.0034279572937299</v>
      </c>
      <c r="Y12" s="23">
        <v>6.8528037986450148</v>
      </c>
      <c r="Z12" s="22"/>
      <c r="AA12" s="22">
        <v>0</v>
      </c>
      <c r="AB12" s="22">
        <v>6.3149421271130599</v>
      </c>
      <c r="AC12" s="22">
        <v>6.299458694182908</v>
      </c>
      <c r="AD12" s="22">
        <v>0</v>
      </c>
      <c r="AE12" s="22">
        <v>6.0107266617493176</v>
      </c>
    </row>
    <row r="13" spans="1:31" x14ac:dyDescent="0.25">
      <c r="A13" s="11" t="s">
        <v>557</v>
      </c>
      <c r="B13" s="11" t="s">
        <v>552</v>
      </c>
      <c r="C13" s="22">
        <v>14302.42140654962</v>
      </c>
      <c r="D13" s="94">
        <v>13741.286507264613</v>
      </c>
      <c r="E13" s="22">
        <v>13863.314066145143</v>
      </c>
      <c r="F13" s="22">
        <v>14116.521118488952</v>
      </c>
      <c r="G13" s="22">
        <v>13626.771450067226</v>
      </c>
      <c r="H13" s="22">
        <v>13663.34161101469</v>
      </c>
      <c r="I13" s="22">
        <v>13966.223599553774</v>
      </c>
      <c r="J13" s="94">
        <v>14047.378368680416</v>
      </c>
      <c r="K13" s="22">
        <v>14117.996123573595</v>
      </c>
      <c r="L13" s="22">
        <v>14104.064012243209</v>
      </c>
      <c r="M13" s="22">
        <v>15573.188201187253</v>
      </c>
      <c r="N13" s="22">
        <v>15791.330240330873</v>
      </c>
      <c r="O13" s="22">
        <v>16668.063271542</v>
      </c>
      <c r="P13" s="22">
        <v>17743.233349744798</v>
      </c>
      <c r="Q13" s="22">
        <v>17406.510617958567</v>
      </c>
      <c r="R13" s="22">
        <v>18712.028011376402</v>
      </c>
      <c r="S13" s="22">
        <v>17320.55853759437</v>
      </c>
      <c r="T13" s="22">
        <v>19755.008655665297</v>
      </c>
      <c r="U13" s="22">
        <v>19057.6759572763</v>
      </c>
      <c r="V13" s="22">
        <v>18312.76571161285</v>
      </c>
      <c r="W13" s="22">
        <v>19781.981294774003</v>
      </c>
      <c r="X13" s="22">
        <v>19109.73435675817</v>
      </c>
      <c r="Y13" s="22">
        <v>20046.097564045231</v>
      </c>
      <c r="Z13" s="22">
        <v>19476.650756009367</v>
      </c>
      <c r="AA13" s="22">
        <v>19613.2862974448</v>
      </c>
      <c r="AB13" s="22">
        <v>19759.564705368641</v>
      </c>
      <c r="AC13" s="22">
        <v>18649.204054026028</v>
      </c>
      <c r="AD13" s="22">
        <v>19513.055502287418</v>
      </c>
      <c r="AE13" s="22">
        <v>19452.885165579959</v>
      </c>
    </row>
    <row r="14" spans="1:31" x14ac:dyDescent="0.25">
      <c r="A14" s="11" t="s">
        <v>556</v>
      </c>
      <c r="B14" s="11" t="s">
        <v>555</v>
      </c>
      <c r="C14" s="22"/>
      <c r="D14" s="22"/>
      <c r="E14" s="22"/>
      <c r="F14" s="22"/>
      <c r="G14" s="22"/>
      <c r="H14" s="22"/>
      <c r="I14" s="22"/>
      <c r="J14" s="22"/>
      <c r="K14" s="22"/>
      <c r="L14" s="22"/>
      <c r="M14" s="22"/>
      <c r="N14" s="22"/>
      <c r="O14" s="22"/>
      <c r="P14" s="22"/>
      <c r="Q14" s="22"/>
      <c r="R14" s="22"/>
      <c r="S14" s="22">
        <v>829.40980054125623</v>
      </c>
      <c r="T14" s="22">
        <v>954.94335386135788</v>
      </c>
      <c r="U14" s="22">
        <v>926.10995895055453</v>
      </c>
      <c r="V14" s="22">
        <v>895.03458933416994</v>
      </c>
      <c r="W14" s="22">
        <v>1008.5849254993475</v>
      </c>
      <c r="X14" s="22">
        <v>985.25623497776155</v>
      </c>
      <c r="Y14" s="22">
        <v>1068.2654171610729</v>
      </c>
      <c r="Z14" s="22"/>
      <c r="AA14" s="22">
        <v>1051.0026684588483</v>
      </c>
      <c r="AB14" s="22">
        <v>1078.8909840384304</v>
      </c>
      <c r="AC14" s="22">
        <v>1003.7462622460133</v>
      </c>
      <c r="AD14" s="22">
        <v>1066.5611114487008</v>
      </c>
      <c r="AE14" s="22">
        <v>1080.2357377598823</v>
      </c>
    </row>
    <row r="15" spans="1:31" x14ac:dyDescent="0.25">
      <c r="A15" s="11" t="s">
        <v>554</v>
      </c>
      <c r="B15" s="11" t="s">
        <v>423</v>
      </c>
      <c r="C15" s="22">
        <v>315.27858234294035</v>
      </c>
      <c r="D15" s="22"/>
      <c r="E15" s="22">
        <v>2988.7767301955896</v>
      </c>
      <c r="F15" s="22">
        <v>3461.2309793061227</v>
      </c>
      <c r="G15" s="22">
        <v>0</v>
      </c>
      <c r="H15" s="22">
        <v>4345.0212260071885</v>
      </c>
      <c r="I15" s="22">
        <v>4295.0847441718706</v>
      </c>
      <c r="J15" s="22"/>
      <c r="K15" s="22">
        <v>6943.4880800290775</v>
      </c>
      <c r="L15" s="22">
        <v>7628.2878206258874</v>
      </c>
      <c r="M15" s="22">
        <v>0</v>
      </c>
      <c r="N15" s="22">
        <v>0</v>
      </c>
      <c r="O15" s="22">
        <v>0</v>
      </c>
      <c r="P15" s="22">
        <v>16964.872312129264</v>
      </c>
      <c r="Q15" s="22">
        <v>13517.147733910737</v>
      </c>
      <c r="R15" s="22">
        <v>0</v>
      </c>
      <c r="S15" s="22">
        <v>13845.100038813925</v>
      </c>
      <c r="T15" s="22">
        <v>18641.585483393632</v>
      </c>
      <c r="U15" s="22">
        <v>17885.923539328222</v>
      </c>
      <c r="V15" s="22">
        <v>16107.320713085603</v>
      </c>
      <c r="W15" s="22">
        <v>20803.994621175501</v>
      </c>
      <c r="X15" s="22">
        <v>17952.700670717397</v>
      </c>
      <c r="Y15" s="22">
        <v>18328.752917686987</v>
      </c>
      <c r="Z15" s="22">
        <v>0</v>
      </c>
      <c r="AA15" s="22">
        <v>0</v>
      </c>
      <c r="AB15" s="22">
        <v>18257.398921331787</v>
      </c>
      <c r="AC15" s="22">
        <v>16657.017869926647</v>
      </c>
      <c r="AD15" s="22">
        <v>0</v>
      </c>
      <c r="AE15" s="22">
        <v>12248.898366959649</v>
      </c>
    </row>
    <row r="16" spans="1:31" x14ac:dyDescent="0.25">
      <c r="A16" s="11" t="s">
        <v>553</v>
      </c>
      <c r="B16" s="11" t="s">
        <v>552</v>
      </c>
      <c r="C16" s="23">
        <v>2.2043720666667141E-2</v>
      </c>
      <c r="D16" s="23"/>
      <c r="E16" s="23">
        <v>0.21558890723642488</v>
      </c>
      <c r="F16" s="23">
        <v>0.2451900826169427</v>
      </c>
      <c r="G16" s="23">
        <v>0</v>
      </c>
      <c r="H16" s="23">
        <v>0.31800575215834859</v>
      </c>
      <c r="I16" s="23">
        <v>0.30753372331151135</v>
      </c>
      <c r="J16" s="23"/>
      <c r="K16" s="23">
        <v>0.49181824525614887</v>
      </c>
      <c r="L16" s="23">
        <v>0.54085743045437518</v>
      </c>
      <c r="M16" s="23">
        <v>0</v>
      </c>
      <c r="N16" s="23">
        <v>0</v>
      </c>
      <c r="O16" s="23">
        <v>0</v>
      </c>
      <c r="P16" s="23">
        <v>0.95613195057107625</v>
      </c>
      <c r="Q16" s="23">
        <v>0.77655700390432569</v>
      </c>
      <c r="R16" s="23">
        <v>0</v>
      </c>
      <c r="S16" s="23">
        <v>0.79934489460966618</v>
      </c>
      <c r="T16" s="23">
        <v>0.9436384366274444</v>
      </c>
      <c r="U16" s="23">
        <v>0.93851546114148832</v>
      </c>
      <c r="V16" s="23">
        <v>0.87956789087687137</v>
      </c>
      <c r="W16" s="23">
        <v>1.0516638506109341</v>
      </c>
      <c r="X16" s="23">
        <v>0.9394531779228219</v>
      </c>
      <c r="Y16" s="23">
        <v>0.91433022607659653</v>
      </c>
      <c r="Z16" s="22"/>
      <c r="AA16" s="22">
        <v>0</v>
      </c>
      <c r="AB16" s="22">
        <v>0.9239777896712108</v>
      </c>
      <c r="AC16" s="22">
        <v>0.89317580641360916</v>
      </c>
      <c r="AD16" s="22">
        <v>0</v>
      </c>
      <c r="AE16" s="22">
        <v>0.62967000846912502</v>
      </c>
    </row>
    <row r="17" spans="1:31" x14ac:dyDescent="0.25">
      <c r="A17" s="11" t="s">
        <v>546</v>
      </c>
      <c r="B17" s="11" t="s">
        <v>547</v>
      </c>
      <c r="C17" s="22">
        <v>11396.393457160011</v>
      </c>
      <c r="D17" s="94">
        <v>12198.555648161671</v>
      </c>
      <c r="E17" s="22">
        <v>9623.5058184076115</v>
      </c>
      <c r="F17" s="22">
        <v>9777.1012477961885</v>
      </c>
      <c r="G17" s="22">
        <v>9147.1901157174671</v>
      </c>
      <c r="H17" s="22">
        <v>9033.7946708627478</v>
      </c>
      <c r="I17" s="22">
        <v>9374.6731939957899</v>
      </c>
      <c r="J17" s="94">
        <v>11708.04143335327</v>
      </c>
      <c r="K17" s="22">
        <v>8547.571499559881</v>
      </c>
      <c r="L17" s="22">
        <v>8431.6082068595588</v>
      </c>
      <c r="M17" s="22">
        <v>12567.286502700734</v>
      </c>
      <c r="N17" s="22">
        <v>8197.2478479386991</v>
      </c>
      <c r="O17" s="22">
        <v>8475.8830916447496</v>
      </c>
      <c r="P17" s="22">
        <v>9100.6616226376827</v>
      </c>
      <c r="Q17" s="22">
        <v>9233.5668082277734</v>
      </c>
      <c r="R17" s="22">
        <v>10202.447116933092</v>
      </c>
      <c r="S17" s="22">
        <v>9105.907724594641</v>
      </c>
      <c r="T17" s="22">
        <v>9856.6719753687994</v>
      </c>
      <c r="U17" s="22">
        <v>9295.5791123815998</v>
      </c>
      <c r="V17" s="22">
        <v>9014.5305669686568</v>
      </c>
      <c r="W17" s="22">
        <v>9078.4320331604995</v>
      </c>
      <c r="X17" s="22">
        <v>8663.3644062866206</v>
      </c>
      <c r="Y17" s="22">
        <v>9439.9498493469309</v>
      </c>
      <c r="Z17" s="22">
        <v>8837.1710803520473</v>
      </c>
      <c r="AA17" s="22">
        <v>9071.1768732511991</v>
      </c>
      <c r="AB17" s="22">
        <v>9421.9823646917393</v>
      </c>
      <c r="AC17" s="22">
        <v>8780.5067124718134</v>
      </c>
      <c r="AD17" s="22">
        <v>8807.2703393210468</v>
      </c>
      <c r="AE17" s="22">
        <v>10676.8466927263</v>
      </c>
    </row>
    <row r="18" spans="1:31" x14ac:dyDescent="0.25">
      <c r="A18" s="11" t="s">
        <v>551</v>
      </c>
      <c r="B18" s="11" t="s">
        <v>550</v>
      </c>
      <c r="C18" s="22"/>
      <c r="D18" s="22"/>
      <c r="E18" s="22"/>
      <c r="F18" s="22"/>
      <c r="G18" s="22"/>
      <c r="H18" s="22"/>
      <c r="I18" s="22"/>
      <c r="J18" s="22"/>
      <c r="K18" s="22"/>
      <c r="L18" s="22"/>
      <c r="M18" s="22"/>
      <c r="N18" s="22"/>
      <c r="O18" s="22"/>
      <c r="P18" s="22"/>
      <c r="Q18" s="22"/>
      <c r="R18" s="22"/>
      <c r="S18" s="22">
        <v>436.04612982845492</v>
      </c>
      <c r="T18" s="22">
        <v>476.46465552778295</v>
      </c>
      <c r="U18" s="22">
        <v>451.71973799368266</v>
      </c>
      <c r="V18" s="22">
        <v>440.58427826282264</v>
      </c>
      <c r="W18" s="22">
        <v>462.86413678062667</v>
      </c>
      <c r="X18" s="22">
        <v>446.66417846670242</v>
      </c>
      <c r="Y18" s="22">
        <v>503.05910821663269</v>
      </c>
      <c r="Z18" s="22"/>
      <c r="AA18" s="22">
        <v>486.09044681570072</v>
      </c>
      <c r="AB18" s="22">
        <v>514.44917823888682</v>
      </c>
      <c r="AC18" s="22">
        <v>472.58857631336593</v>
      </c>
      <c r="AD18" s="22">
        <v>481.39524027050919</v>
      </c>
      <c r="AE18" s="22">
        <v>592.89464086663156</v>
      </c>
    </row>
    <row r="19" spans="1:31" x14ac:dyDescent="0.25">
      <c r="A19" s="11" t="s">
        <v>549</v>
      </c>
      <c r="B19" s="11" t="s">
        <v>386</v>
      </c>
      <c r="C19" s="22">
        <v>0</v>
      </c>
      <c r="D19" s="22"/>
      <c r="E19" s="22">
        <v>0</v>
      </c>
      <c r="F19" s="22">
        <v>0</v>
      </c>
      <c r="G19" s="22">
        <v>0</v>
      </c>
      <c r="H19" s="22">
        <v>0</v>
      </c>
      <c r="I19" s="22">
        <v>0</v>
      </c>
      <c r="J19" s="22"/>
      <c r="K19" s="22">
        <v>0</v>
      </c>
      <c r="L19" s="22">
        <v>0</v>
      </c>
      <c r="M19" s="22">
        <v>0</v>
      </c>
      <c r="N19" s="22">
        <v>0</v>
      </c>
      <c r="O19" s="22">
        <v>0</v>
      </c>
      <c r="P19" s="22">
        <v>0</v>
      </c>
      <c r="Q19" s="22">
        <v>0</v>
      </c>
      <c r="R19" s="22">
        <v>0</v>
      </c>
      <c r="S19" s="22">
        <v>980.62600617282499</v>
      </c>
      <c r="T19" s="22">
        <v>2846.1841382754301</v>
      </c>
      <c r="U19" s="22">
        <v>2292.7120702213201</v>
      </c>
      <c r="V19" s="22">
        <v>1822.1460601655774</v>
      </c>
      <c r="W19" s="22">
        <v>2150.8694161518997</v>
      </c>
      <c r="X19" s="22">
        <v>0</v>
      </c>
      <c r="Y19" s="22">
        <v>0</v>
      </c>
      <c r="Z19" s="22"/>
      <c r="AA19" s="22">
        <v>0</v>
      </c>
      <c r="AB19" s="22">
        <v>0</v>
      </c>
      <c r="AC19" s="22">
        <v>0</v>
      </c>
      <c r="AD19" s="22">
        <v>0</v>
      </c>
      <c r="AE19" s="22">
        <v>0</v>
      </c>
    </row>
    <row r="20" spans="1:31" x14ac:dyDescent="0.25">
      <c r="A20" s="11" t="s">
        <v>548</v>
      </c>
      <c r="B20" s="11" t="s">
        <v>547</v>
      </c>
      <c r="C20" s="23">
        <v>0</v>
      </c>
      <c r="D20" s="23"/>
      <c r="E20" s="23">
        <v>0</v>
      </c>
      <c r="F20" s="23">
        <v>0</v>
      </c>
      <c r="G20" s="23">
        <v>0</v>
      </c>
      <c r="H20" s="23">
        <v>0</v>
      </c>
      <c r="I20" s="23">
        <v>0</v>
      </c>
      <c r="J20" s="23"/>
      <c r="K20" s="23">
        <v>0</v>
      </c>
      <c r="L20" s="23">
        <v>0</v>
      </c>
      <c r="M20" s="23">
        <v>0</v>
      </c>
      <c r="N20" s="23">
        <v>0</v>
      </c>
      <c r="O20" s="23">
        <v>0</v>
      </c>
      <c r="P20" s="23">
        <v>0</v>
      </c>
      <c r="Q20" s="23">
        <v>0</v>
      </c>
      <c r="R20" s="23">
        <v>0</v>
      </c>
      <c r="S20" s="23">
        <v>0.10769166275840895</v>
      </c>
      <c r="T20" s="23">
        <v>0.28875711248054764</v>
      </c>
      <c r="U20" s="23">
        <v>0.24664542601412054</v>
      </c>
      <c r="V20" s="23">
        <v>0.20213432597836495</v>
      </c>
      <c r="W20" s="23">
        <v>0.23692080397754672</v>
      </c>
      <c r="X20" s="23">
        <v>0</v>
      </c>
      <c r="Y20" s="23">
        <v>0</v>
      </c>
      <c r="Z20" s="22"/>
      <c r="AA20" s="22">
        <v>0</v>
      </c>
      <c r="AB20" s="22">
        <v>0</v>
      </c>
      <c r="AC20" s="22">
        <v>0</v>
      </c>
      <c r="AD20" s="22">
        <v>0</v>
      </c>
      <c r="AE20" s="22">
        <v>0</v>
      </c>
    </row>
    <row r="21" spans="1:31" x14ac:dyDescent="0.25">
      <c r="A21" s="11" t="s">
        <v>546</v>
      </c>
      <c r="B21" s="11" t="s">
        <v>541</v>
      </c>
      <c r="C21" s="22">
        <v>2906.0279493896091</v>
      </c>
      <c r="D21" s="94">
        <v>1542.7308591029423</v>
      </c>
      <c r="E21" s="22">
        <v>4239.8082477375319</v>
      </c>
      <c r="F21" s="22">
        <v>4339.4198706927646</v>
      </c>
      <c r="G21" s="22">
        <v>4479.5813343497584</v>
      </c>
      <c r="H21" s="22">
        <v>4629.5469401519413</v>
      </c>
      <c r="I21" s="22">
        <v>4591.550405557985</v>
      </c>
      <c r="J21" s="94">
        <v>2339.3369353271473</v>
      </c>
      <c r="K21" s="22">
        <v>5570.4246240137145</v>
      </c>
      <c r="L21" s="22">
        <v>5672.4558053836499</v>
      </c>
      <c r="M21" s="22">
        <v>3005.9016984865189</v>
      </c>
      <c r="N21" s="22">
        <v>7594.0823923921735</v>
      </c>
      <c r="O21" s="22">
        <v>8192.1801798972483</v>
      </c>
      <c r="P21" s="22">
        <v>8642.5717271071135</v>
      </c>
      <c r="Q21" s="22">
        <v>8172.943809730793</v>
      </c>
      <c r="R21" s="22">
        <v>8509.5808944433102</v>
      </c>
      <c r="S21" s="22">
        <v>8214.6508129997292</v>
      </c>
      <c r="T21" s="22">
        <v>9898.3366802964993</v>
      </c>
      <c r="U21" s="22">
        <v>9762.0968448946987</v>
      </c>
      <c r="V21" s="22">
        <v>9298.2351446441935</v>
      </c>
      <c r="W21" s="22">
        <v>10703.5492616135</v>
      </c>
      <c r="X21" s="22">
        <v>10446.36995047155</v>
      </c>
      <c r="Y21" s="22">
        <v>10606.1477146983</v>
      </c>
      <c r="Z21" s="22">
        <v>10639.479675657321</v>
      </c>
      <c r="AA21" s="22">
        <v>10542.109424193599</v>
      </c>
      <c r="AB21" s="22">
        <v>10337.582340676901</v>
      </c>
      <c r="AC21" s="22">
        <v>9868.6973415542143</v>
      </c>
      <c r="AD21" s="22">
        <v>10705.785162966369</v>
      </c>
      <c r="AE21" s="22">
        <v>8776.038472853661</v>
      </c>
    </row>
    <row r="22" spans="1:31" x14ac:dyDescent="0.25">
      <c r="A22" s="11" t="s">
        <v>545</v>
      </c>
      <c r="B22" s="11" t="s">
        <v>544</v>
      </c>
      <c r="C22" s="22"/>
      <c r="D22" s="22"/>
      <c r="E22" s="22"/>
      <c r="F22" s="22"/>
      <c r="G22" s="22"/>
      <c r="H22" s="22"/>
      <c r="I22" s="22"/>
      <c r="J22" s="22"/>
      <c r="K22" s="22"/>
      <c r="L22" s="22"/>
      <c r="M22" s="22"/>
      <c r="N22" s="22"/>
      <c r="O22" s="22"/>
      <c r="P22" s="22"/>
      <c r="Q22" s="22"/>
      <c r="R22" s="22"/>
      <c r="S22" s="22">
        <v>393.36559947173998</v>
      </c>
      <c r="T22" s="22">
        <v>478.47869833357498</v>
      </c>
      <c r="U22" s="22">
        <v>474.39022095687181</v>
      </c>
      <c r="V22" s="22">
        <v>454.45031107134724</v>
      </c>
      <c r="W22" s="22">
        <v>545.72078871872066</v>
      </c>
      <c r="X22" s="22">
        <v>538.59205651105913</v>
      </c>
      <c r="Y22" s="22">
        <v>565.20630894444025</v>
      </c>
      <c r="Z22" s="22"/>
      <c r="AA22" s="22">
        <v>564.91222164314763</v>
      </c>
      <c r="AB22" s="22">
        <v>564.44180579954366</v>
      </c>
      <c r="AC22" s="22">
        <v>531.15768593264738</v>
      </c>
      <c r="AD22" s="22">
        <v>585.16587117819154</v>
      </c>
      <c r="AE22" s="22">
        <v>487.34109689325084</v>
      </c>
    </row>
    <row r="23" spans="1:31" x14ac:dyDescent="0.25">
      <c r="A23" s="11" t="s">
        <v>543</v>
      </c>
      <c r="B23" s="11" t="s">
        <v>386</v>
      </c>
      <c r="C23" s="22">
        <v>315.27858234294035</v>
      </c>
      <c r="D23" s="22"/>
      <c r="E23" s="22">
        <v>2988.7767301955896</v>
      </c>
      <c r="F23" s="22">
        <v>3461.2309793061227</v>
      </c>
      <c r="G23" s="22">
        <v>0</v>
      </c>
      <c r="H23" s="22">
        <v>4345.0212260071885</v>
      </c>
      <c r="I23" s="22">
        <v>4295.0847441718706</v>
      </c>
      <c r="J23" s="22"/>
      <c r="K23" s="22">
        <v>6943.4880800290775</v>
      </c>
      <c r="L23" s="22">
        <v>7628.2878206258874</v>
      </c>
      <c r="M23" s="22">
        <v>0</v>
      </c>
      <c r="N23" s="22">
        <v>0</v>
      </c>
      <c r="O23" s="22">
        <v>0</v>
      </c>
      <c r="P23" s="22">
        <v>16964.872312129264</v>
      </c>
      <c r="Q23" s="22">
        <v>13517.147733910737</v>
      </c>
      <c r="R23" s="22">
        <v>0</v>
      </c>
      <c r="S23" s="22">
        <v>12864.474032641099</v>
      </c>
      <c r="T23" s="22">
        <v>15795.4013451182</v>
      </c>
      <c r="U23" s="22">
        <v>15593.2114691069</v>
      </c>
      <c r="V23" s="22">
        <v>14285.174652920028</v>
      </c>
      <c r="W23" s="22">
        <v>18653.1252050236</v>
      </c>
      <c r="X23" s="22">
        <v>17952.700670717397</v>
      </c>
      <c r="Y23" s="22">
        <v>18328.752917686987</v>
      </c>
      <c r="Z23" s="22"/>
      <c r="AA23" s="22">
        <v>0</v>
      </c>
      <c r="AB23" s="22">
        <v>18257.398921331787</v>
      </c>
      <c r="AC23" s="22">
        <v>16657.017869926647</v>
      </c>
      <c r="AD23" s="22">
        <v>0</v>
      </c>
      <c r="AE23" s="22">
        <v>12248.898366959649</v>
      </c>
    </row>
    <row r="24" spans="1:31" x14ac:dyDescent="0.25">
      <c r="A24" s="11" t="s">
        <v>542</v>
      </c>
      <c r="B24" s="11" t="s">
        <v>541</v>
      </c>
      <c r="C24" s="23">
        <v>0.10849124228456317</v>
      </c>
      <c r="D24" s="23"/>
      <c r="E24" s="23">
        <v>0.70493205247913648</v>
      </c>
      <c r="F24" s="23">
        <v>0.79762527767416891</v>
      </c>
      <c r="G24" s="23">
        <v>0</v>
      </c>
      <c r="H24" s="23">
        <v>0.93854134803622602</v>
      </c>
      <c r="I24" s="23">
        <v>0.93543234088702409</v>
      </c>
      <c r="J24" s="23"/>
      <c r="K24" s="23">
        <v>1.2464917037197096</v>
      </c>
      <c r="L24" s="23">
        <v>1.3447945796926235</v>
      </c>
      <c r="M24" s="23">
        <v>0</v>
      </c>
      <c r="N24" s="23">
        <v>0</v>
      </c>
      <c r="O24" s="23">
        <v>0</v>
      </c>
      <c r="P24" s="23">
        <v>1.9629426110424466</v>
      </c>
      <c r="Q24" s="23">
        <v>1.6538897181474659</v>
      </c>
      <c r="R24" s="23">
        <v>0</v>
      </c>
      <c r="S24" s="23">
        <v>1.5660472038382107</v>
      </c>
      <c r="T24" s="23">
        <v>1.59576319287667</v>
      </c>
      <c r="U24" s="23">
        <v>1.5973219398311655</v>
      </c>
      <c r="V24" s="23">
        <v>1.5363318340199563</v>
      </c>
      <c r="W24" s="23">
        <v>1.7427046626411982</v>
      </c>
      <c r="X24" s="23">
        <v>1.7185587678624201</v>
      </c>
      <c r="Y24" s="23">
        <v>1.7281253675438144</v>
      </c>
      <c r="Z24" s="22"/>
      <c r="AA24" s="22">
        <v>0</v>
      </c>
      <c r="AB24" s="22">
        <v>1.7661188389756806</v>
      </c>
      <c r="AC24" s="22">
        <v>1.6878638885589072</v>
      </c>
      <c r="AD24" s="22">
        <v>0</v>
      </c>
      <c r="AE24" s="22">
        <v>1.3957206779400928</v>
      </c>
    </row>
    <row r="25" spans="1:31" x14ac:dyDescent="0.25">
      <c r="A25" s="11" t="s">
        <v>540</v>
      </c>
      <c r="B25" s="11" t="s">
        <v>328</v>
      </c>
      <c r="C25" s="22">
        <v>77190.061236000009</v>
      </c>
      <c r="D25" s="22">
        <v>79546.563096800441</v>
      </c>
      <c r="E25" s="22">
        <v>79828.411552000005</v>
      </c>
      <c r="F25" s="22">
        <v>87799.689507000003</v>
      </c>
      <c r="G25" s="22">
        <v>75620.398971000031</v>
      </c>
      <c r="H25" s="22">
        <v>79479.174815000006</v>
      </c>
      <c r="I25" s="22">
        <v>74505.206866000022</v>
      </c>
      <c r="J25" s="22">
        <v>84880.546950000004</v>
      </c>
      <c r="K25" s="22">
        <v>81979.041271999988</v>
      </c>
      <c r="L25" s="22">
        <v>88944.167533</v>
      </c>
      <c r="M25" s="22">
        <v>86122.755550999995</v>
      </c>
      <c r="N25" s="22">
        <v>87317.797340999998</v>
      </c>
      <c r="O25" s="22">
        <v>87270.420858999991</v>
      </c>
      <c r="P25" s="22">
        <v>93506.776402000003</v>
      </c>
      <c r="Q25" s="22">
        <v>89068.980269999985</v>
      </c>
      <c r="R25" s="22">
        <v>93837.592570999986</v>
      </c>
      <c r="S25" s="22">
        <f t="shared" ref="S25:W26" si="0">S28+S31+S34</f>
        <v>91369.569829</v>
      </c>
      <c r="T25" s="22">
        <f t="shared" si="0"/>
        <v>98798.7467553686</v>
      </c>
      <c r="U25" s="22">
        <f t="shared" si="0"/>
        <v>90033.203692739306</v>
      </c>
      <c r="V25" s="22">
        <f t="shared" si="0"/>
        <v>96481.127989417699</v>
      </c>
      <c r="W25" s="22">
        <f t="shared" si="0"/>
        <v>94749.075971860904</v>
      </c>
      <c r="X25" s="22">
        <v>102352.93979999999</v>
      </c>
      <c r="Y25" s="22">
        <v>92251.690398000006</v>
      </c>
      <c r="Z25" s="22">
        <v>97191.266323000018</v>
      </c>
      <c r="AA25" s="22">
        <v>93544.156101</v>
      </c>
      <c r="AB25" s="22">
        <v>101549.76544500001</v>
      </c>
      <c r="AC25" s="22">
        <v>93735.019488999998</v>
      </c>
      <c r="AD25" s="22">
        <v>96599.40355599999</v>
      </c>
      <c r="AE25" s="22">
        <v>103384.2903118</v>
      </c>
    </row>
    <row r="26" spans="1:31" x14ac:dyDescent="0.25">
      <c r="A26" s="11" t="s">
        <v>539</v>
      </c>
      <c r="B26" s="11" t="s">
        <v>386</v>
      </c>
      <c r="C26" s="22"/>
      <c r="D26" s="22"/>
      <c r="E26" s="22"/>
      <c r="F26" s="22"/>
      <c r="G26" s="22"/>
      <c r="H26" s="22"/>
      <c r="I26" s="22"/>
      <c r="J26" s="22"/>
      <c r="K26" s="22"/>
      <c r="L26" s="22"/>
      <c r="M26" s="22"/>
      <c r="N26" s="22"/>
      <c r="O26" s="22"/>
      <c r="P26" s="22"/>
      <c r="Q26" s="22"/>
      <c r="R26" s="22"/>
      <c r="S26" s="22">
        <f t="shared" si="0"/>
        <v>852119.44027523964</v>
      </c>
      <c r="T26" s="22">
        <f t="shared" si="0"/>
        <v>906885.38854892203</v>
      </c>
      <c r="U26" s="22">
        <f t="shared" si="0"/>
        <v>807422.83775474143</v>
      </c>
      <c r="V26" s="22">
        <f t="shared" si="0"/>
        <v>840806.08018222102</v>
      </c>
      <c r="W26" s="22">
        <f t="shared" si="0"/>
        <v>795511.05355565064</v>
      </c>
      <c r="X26" s="22">
        <v>831201.95042572357</v>
      </c>
      <c r="Y26" s="22">
        <v>727717.57659828733</v>
      </c>
      <c r="Z26" s="22"/>
      <c r="AA26" s="22">
        <v>674779.83868687449</v>
      </c>
      <c r="AB26" s="22">
        <v>708117.01016099995</v>
      </c>
      <c r="AC26" s="22">
        <v>647161.09277302551</v>
      </c>
      <c r="AD26" s="22">
        <v>652501.78026986471</v>
      </c>
      <c r="AE26" s="22">
        <v>681840.06988039962</v>
      </c>
    </row>
    <row r="27" spans="1:31" x14ac:dyDescent="0.25">
      <c r="A27" s="11" t="s">
        <v>538</v>
      </c>
      <c r="B27" s="11" t="s">
        <v>328</v>
      </c>
      <c r="C27" s="23"/>
      <c r="D27" s="23"/>
      <c r="E27" s="23"/>
      <c r="F27" s="23"/>
      <c r="G27" s="23"/>
      <c r="H27" s="23"/>
      <c r="I27" s="23"/>
      <c r="J27" s="23"/>
      <c r="K27" s="23"/>
      <c r="L27" s="23"/>
      <c r="M27" s="23"/>
      <c r="N27" s="23"/>
      <c r="O27" s="23"/>
      <c r="P27" s="23"/>
      <c r="Q27" s="23"/>
      <c r="R27" s="23"/>
      <c r="S27" s="23">
        <f t="shared" ref="S27:W27" si="1">S26/S25</f>
        <v>9.3260747738004941</v>
      </c>
      <c r="T27" s="23">
        <f t="shared" si="1"/>
        <v>9.1791183424059266</v>
      </c>
      <c r="U27" s="23">
        <f t="shared" si="1"/>
        <v>8.9680562796618091</v>
      </c>
      <c r="V27" s="23">
        <f t="shared" si="1"/>
        <v>8.7147206682165113</v>
      </c>
      <c r="W27" s="23">
        <f t="shared" si="1"/>
        <v>8.3959769042170489</v>
      </c>
      <c r="X27" s="23">
        <v>8.1209387053260151</v>
      </c>
      <c r="Y27" s="23">
        <v>7.8883928680190785</v>
      </c>
      <c r="Z27" s="22"/>
      <c r="AA27" s="22">
        <v>7.2134900437640592</v>
      </c>
      <c r="AB27" s="22">
        <v>6.973103355364425</v>
      </c>
      <c r="AC27" s="22">
        <v>6.9041548857732007</v>
      </c>
      <c r="AD27" s="22">
        <v>6.7547185205092966</v>
      </c>
      <c r="AE27" s="22">
        <v>6.5951999846786808</v>
      </c>
    </row>
    <row r="28" spans="1:31" x14ac:dyDescent="0.25">
      <c r="A28" s="11" t="s">
        <v>537</v>
      </c>
      <c r="B28" s="11" t="s">
        <v>514</v>
      </c>
      <c r="C28" s="22">
        <v>41279.668739140747</v>
      </c>
      <c r="D28" s="22">
        <v>42003.137392842764</v>
      </c>
      <c r="E28" s="22">
        <v>39928.369338021563</v>
      </c>
      <c r="F28" s="22">
        <v>39759.93794767699</v>
      </c>
      <c r="G28" s="22">
        <v>39869.006655523612</v>
      </c>
      <c r="H28" s="22">
        <v>40028.769279217973</v>
      </c>
      <c r="I28" s="22">
        <v>40520.317950698845</v>
      </c>
      <c r="J28" s="22">
        <v>40253.953676979851</v>
      </c>
      <c r="K28" s="22">
        <v>40316.607294613481</v>
      </c>
      <c r="L28" s="22">
        <v>40235.010234512949</v>
      </c>
      <c r="M28" s="22">
        <v>40533.520169572468</v>
      </c>
      <c r="N28" s="22">
        <v>40226.082192463124</v>
      </c>
      <c r="O28" s="22">
        <v>41046.145028618143</v>
      </c>
      <c r="P28" s="22">
        <v>40913.495452717347</v>
      </c>
      <c r="Q28" s="22">
        <v>41303.920604253675</v>
      </c>
      <c r="R28" s="22">
        <v>41225.345984951455</v>
      </c>
      <c r="S28" s="22">
        <v>42509.768430764256</v>
      </c>
      <c r="T28" s="22">
        <v>42608.772532044801</v>
      </c>
      <c r="U28" s="22">
        <v>42595.669795365502</v>
      </c>
      <c r="V28" s="22">
        <v>41967.291521012899</v>
      </c>
      <c r="W28" s="22">
        <v>42336.819119017899</v>
      </c>
      <c r="X28" s="22">
        <v>42219.272163354006</v>
      </c>
      <c r="Y28" s="22">
        <v>42561.745189518551</v>
      </c>
      <c r="Z28" s="22">
        <v>42571.298470826579</v>
      </c>
      <c r="AA28" s="22">
        <v>42358.384186390926</v>
      </c>
      <c r="AB28" s="22">
        <v>42352.49624</v>
      </c>
      <c r="AC28" s="22">
        <v>41628.287001020457</v>
      </c>
      <c r="AD28" s="22">
        <v>41460.140599492683</v>
      </c>
      <c r="AE28" s="22">
        <v>41968.512726299996</v>
      </c>
    </row>
    <row r="29" spans="1:31" x14ac:dyDescent="0.25">
      <c r="A29" s="11" t="s">
        <v>536</v>
      </c>
      <c r="B29" s="11" t="s">
        <v>386</v>
      </c>
      <c r="C29" s="22"/>
      <c r="D29" s="22"/>
      <c r="E29" s="22"/>
      <c r="F29" s="22"/>
      <c r="G29" s="22"/>
      <c r="H29" s="22"/>
      <c r="I29" s="22"/>
      <c r="J29" s="22"/>
      <c r="K29" s="22"/>
      <c r="L29" s="22"/>
      <c r="M29" s="22"/>
      <c r="N29" s="22"/>
      <c r="O29" s="22"/>
      <c r="P29" s="22"/>
      <c r="Q29" s="22"/>
      <c r="R29" s="22"/>
      <c r="S29" s="22">
        <v>372423.50705803803</v>
      </c>
      <c r="T29" s="22">
        <v>363077.53648696298</v>
      </c>
      <c r="U29" s="22">
        <v>359521.457514257</v>
      </c>
      <c r="V29" s="22">
        <v>345646.05577210104</v>
      </c>
      <c r="W29" s="22">
        <v>336125.42606236401</v>
      </c>
      <c r="X29" s="22">
        <v>331651.47076716059</v>
      </c>
      <c r="Y29" s="22">
        <v>322640.55208441964</v>
      </c>
      <c r="Z29" s="22"/>
      <c r="AA29" s="22">
        <v>292899.73828835401</v>
      </c>
      <c r="AB29" s="22">
        <v>276000</v>
      </c>
      <c r="AC29" s="22">
        <v>268846.73429451295</v>
      </c>
      <c r="AD29" s="22">
        <v>262687.77259401529</v>
      </c>
      <c r="AE29" s="22">
        <v>253675.5521445912</v>
      </c>
    </row>
    <row r="30" spans="1:31" x14ac:dyDescent="0.25">
      <c r="A30" s="11" t="s">
        <v>535</v>
      </c>
      <c r="B30" s="11" t="s">
        <v>514</v>
      </c>
      <c r="C30" s="23">
        <v>0</v>
      </c>
      <c r="D30" s="23"/>
      <c r="E30" s="23"/>
      <c r="F30" s="23"/>
      <c r="G30" s="23"/>
      <c r="H30" s="23"/>
      <c r="I30" s="23"/>
      <c r="J30" s="23"/>
      <c r="K30" s="23"/>
      <c r="L30" s="23"/>
      <c r="M30" s="23"/>
      <c r="N30" s="23"/>
      <c r="O30" s="23"/>
      <c r="P30" s="23"/>
      <c r="Q30" s="23"/>
      <c r="R30" s="23"/>
      <c r="S30" s="23">
        <v>8.760892397346387</v>
      </c>
      <c r="T30" s="23">
        <v>8.5211921139925604</v>
      </c>
      <c r="U30" s="23">
        <v>8.4403287761746544</v>
      </c>
      <c r="V30" s="23">
        <v>8.2360820354355511</v>
      </c>
      <c r="W30" s="23">
        <v>7.9393169599596796</v>
      </c>
      <c r="X30" s="15">
        <v>7.8554521140000002</v>
      </c>
      <c r="Y30" s="15">
        <v>7.5805291969999988</v>
      </c>
      <c r="Z30" s="22"/>
      <c r="AA30" s="22">
        <v>6.9147996061298773</v>
      </c>
      <c r="AB30" s="22">
        <v>6.5167351278655117</v>
      </c>
      <c r="AC30" s="22">
        <v>6.4582704132870647</v>
      </c>
      <c r="AD30" s="22">
        <v>6.3359112823951591</v>
      </c>
      <c r="AE30" s="22">
        <v>6.0444255863663914</v>
      </c>
    </row>
    <row r="31" spans="1:31" x14ac:dyDescent="0.25">
      <c r="A31" s="11" t="s">
        <v>534</v>
      </c>
      <c r="B31" s="11" t="s">
        <v>513</v>
      </c>
      <c r="C31" s="22">
        <v>35605.139914859261</v>
      </c>
      <c r="D31" s="22">
        <v>37338.754787957681</v>
      </c>
      <c r="E31" s="22">
        <v>39592.443215978434</v>
      </c>
      <c r="F31" s="22">
        <v>47736.898699323014</v>
      </c>
      <c r="G31" s="22">
        <v>35445.566038476412</v>
      </c>
      <c r="H31" s="22">
        <v>39144.756731782043</v>
      </c>
      <c r="I31" s="22">
        <v>33430.372655301173</v>
      </c>
      <c r="J31" s="22">
        <v>44016.192319020149</v>
      </c>
      <c r="K31" s="22">
        <v>40995.849273386513</v>
      </c>
      <c r="L31" s="22">
        <v>47959.857102487047</v>
      </c>
      <c r="M31" s="22">
        <v>44832.926269427524</v>
      </c>
      <c r="N31" s="22">
        <v>46328.163488536869</v>
      </c>
      <c r="O31" s="22">
        <v>45467.815553381843</v>
      </c>
      <c r="P31" s="22">
        <v>51829.877588282652</v>
      </c>
      <c r="Q31" s="22">
        <v>46692.090119746317</v>
      </c>
      <c r="R31" s="22">
        <v>51551.491609048528</v>
      </c>
      <c r="S31" s="22">
        <v>47789.459455631171</v>
      </c>
      <c r="T31" s="22">
        <v>55110.047124393997</v>
      </c>
      <c r="U31" s="22">
        <v>46348.948420694003</v>
      </c>
      <c r="V31" s="22">
        <v>53415.664930644998</v>
      </c>
      <c r="W31" s="22">
        <v>51304.808481783206</v>
      </c>
      <c r="X31" s="22">
        <v>59023.350645266488</v>
      </c>
      <c r="Y31" s="22">
        <v>48570.827477843806</v>
      </c>
      <c r="Z31" s="22">
        <v>53769.698133173428</v>
      </c>
      <c r="AA31" s="22">
        <v>50024.826097609075</v>
      </c>
      <c r="AB31" s="22">
        <v>58028.205472000001</v>
      </c>
      <c r="AC31" s="22">
        <v>50181.616907979544</v>
      </c>
      <c r="AD31" s="22">
        <v>52977.573627507307</v>
      </c>
      <c r="AE31" s="22">
        <v>59240.088312499996</v>
      </c>
    </row>
    <row r="32" spans="1:31" x14ac:dyDescent="0.25">
      <c r="A32" s="11" t="s">
        <v>533</v>
      </c>
      <c r="B32" s="11" t="s">
        <v>386</v>
      </c>
      <c r="C32" s="22"/>
      <c r="D32" s="22"/>
      <c r="E32" s="22"/>
      <c r="F32" s="22"/>
      <c r="G32" s="22"/>
      <c r="H32" s="22"/>
      <c r="I32" s="22"/>
      <c r="J32" s="22"/>
      <c r="K32" s="22"/>
      <c r="L32" s="22"/>
      <c r="M32" s="22"/>
      <c r="N32" s="22"/>
      <c r="O32" s="22"/>
      <c r="P32" s="22"/>
      <c r="Q32" s="22"/>
      <c r="R32" s="22"/>
      <c r="S32" s="22">
        <v>468118.08124061703</v>
      </c>
      <c r="T32" s="22">
        <v>532126.18430731504</v>
      </c>
      <c r="U32" s="22">
        <v>436125.94339597499</v>
      </c>
      <c r="V32" s="22">
        <v>483280.771787551</v>
      </c>
      <c r="W32" s="22">
        <v>447405.90798875404</v>
      </c>
      <c r="X32" s="22">
        <v>488313.27451374702</v>
      </c>
      <c r="Y32" s="22">
        <v>393750.04898894194</v>
      </c>
      <c r="Z32" s="22"/>
      <c r="AA32" s="22">
        <v>371834.05650818703</v>
      </c>
      <c r="AB32" s="22">
        <v>422000</v>
      </c>
      <c r="AC32" s="22">
        <v>362674.9084281532</v>
      </c>
      <c r="AD32" s="22">
        <v>373306.67437584238</v>
      </c>
      <c r="AE32" s="22">
        <v>411550.11701665743</v>
      </c>
    </row>
    <row r="33" spans="1:31" x14ac:dyDescent="0.25">
      <c r="A33" s="11" t="s">
        <v>532</v>
      </c>
      <c r="B33" s="11" t="s">
        <v>513</v>
      </c>
      <c r="C33" s="23">
        <v>0</v>
      </c>
      <c r="D33" s="23"/>
      <c r="E33" s="23"/>
      <c r="F33" s="23"/>
      <c r="G33" s="23"/>
      <c r="H33" s="23"/>
      <c r="I33" s="23"/>
      <c r="J33" s="23"/>
      <c r="K33" s="23"/>
      <c r="L33" s="23"/>
      <c r="M33" s="23"/>
      <c r="N33" s="23"/>
      <c r="O33" s="23"/>
      <c r="P33" s="23"/>
      <c r="Q33" s="23"/>
      <c r="R33" s="23"/>
      <c r="S33" s="23">
        <v>9.7954253212516154</v>
      </c>
      <c r="T33" s="23">
        <v>9.6557018560736072</v>
      </c>
      <c r="U33" s="23">
        <v>9.4096189505186771</v>
      </c>
      <c r="V33" s="23">
        <v>9.047547613888991</v>
      </c>
      <c r="W33" s="23">
        <v>8.7205453295399096</v>
      </c>
      <c r="X33" s="15">
        <v>8.2732218549999992</v>
      </c>
      <c r="Y33" s="15">
        <v>8.1067189800000001</v>
      </c>
      <c r="Z33" s="22"/>
      <c r="AA33" s="22">
        <v>7.4329904872164816</v>
      </c>
      <c r="AB33" s="22">
        <v>7.2723255280335195</v>
      </c>
      <c r="AC33" s="22">
        <v>7.2272463657998047</v>
      </c>
      <c r="AD33" s="22">
        <v>7.046503809340412</v>
      </c>
      <c r="AE33" s="22">
        <v>6.9471556970960489</v>
      </c>
    </row>
    <row r="34" spans="1:31" x14ac:dyDescent="0.25">
      <c r="A34" s="11" t="s">
        <v>531</v>
      </c>
      <c r="B34" s="11" t="s">
        <v>225</v>
      </c>
      <c r="C34" s="22">
        <v>305.25258200000007</v>
      </c>
      <c r="D34" s="22">
        <v>204.67091600000001</v>
      </c>
      <c r="E34" s="22">
        <v>307.59899800000005</v>
      </c>
      <c r="F34" s="22">
        <v>302.85285999999996</v>
      </c>
      <c r="G34" s="22">
        <v>305.826277</v>
      </c>
      <c r="H34" s="22">
        <v>305.64880400000004</v>
      </c>
      <c r="I34" s="22">
        <v>554.5162600000001</v>
      </c>
      <c r="J34" s="22">
        <v>610.40095399999996</v>
      </c>
      <c r="K34" s="22">
        <v>666.5847040000001</v>
      </c>
      <c r="L34" s="22">
        <v>749.30019599999991</v>
      </c>
      <c r="M34" s="22">
        <v>756.30911200000003</v>
      </c>
      <c r="N34" s="22">
        <v>763.55166000000008</v>
      </c>
      <c r="O34" s="22">
        <v>756.46027700000002</v>
      </c>
      <c r="P34" s="22">
        <v>763.4033609999999</v>
      </c>
      <c r="Q34" s="22">
        <v>1072.9695459999998</v>
      </c>
      <c r="R34" s="22">
        <v>1060.7549770000001</v>
      </c>
      <c r="S34" s="22">
        <v>1070.3419426045716</v>
      </c>
      <c r="T34" s="22">
        <v>1079.9270989298</v>
      </c>
      <c r="U34" s="22">
        <v>1088.5854766798</v>
      </c>
      <c r="V34" s="22">
        <v>1098.1715377598</v>
      </c>
      <c r="W34" s="22">
        <v>1107.4483710597999</v>
      </c>
      <c r="X34" s="22">
        <v>1110.3169913795011</v>
      </c>
      <c r="Y34" s="22">
        <v>1119.1177306376546</v>
      </c>
      <c r="Z34" s="22">
        <v>850.26971900000001</v>
      </c>
      <c r="AA34" s="22">
        <v>1160.945817</v>
      </c>
      <c r="AB34" s="22">
        <v>1169.063733</v>
      </c>
      <c r="AC34" s="22">
        <v>1925.1155799999999</v>
      </c>
      <c r="AD34" s="22">
        <v>2161.6893289999998</v>
      </c>
      <c r="AE34" s="22">
        <v>2175.689273</v>
      </c>
    </row>
    <row r="35" spans="1:31" x14ac:dyDescent="0.25">
      <c r="A35" s="11" t="s">
        <v>530</v>
      </c>
      <c r="B35" s="11" t="s">
        <v>386</v>
      </c>
      <c r="C35" s="22"/>
      <c r="D35" s="22"/>
      <c r="E35" s="22"/>
      <c r="F35" s="22"/>
      <c r="G35" s="22"/>
      <c r="H35" s="22"/>
      <c r="I35" s="22"/>
      <c r="J35" s="22"/>
      <c r="K35" s="22"/>
      <c r="L35" s="22"/>
      <c r="M35" s="22"/>
      <c r="N35" s="22"/>
      <c r="O35" s="22"/>
      <c r="P35" s="22"/>
      <c r="Q35" s="22"/>
      <c r="R35" s="22"/>
      <c r="S35" s="22">
        <v>11577.851976584499</v>
      </c>
      <c r="T35" s="22">
        <v>11681.667754644101</v>
      </c>
      <c r="U35" s="22">
        <v>11775.436844509399</v>
      </c>
      <c r="V35" s="22">
        <v>11879.252622569</v>
      </c>
      <c r="W35" s="22">
        <v>11979.719504532601</v>
      </c>
      <c r="X35" s="22">
        <v>11237.205144815925</v>
      </c>
      <c r="Y35" s="22">
        <v>11326.975524925689</v>
      </c>
      <c r="Z35" s="22"/>
      <c r="AA35" s="22">
        <v>10046.043890333402</v>
      </c>
      <c r="AB35" s="22">
        <v>10117.010161000002</v>
      </c>
      <c r="AC35" s="22">
        <v>15639.45005035931</v>
      </c>
      <c r="AD35" s="22">
        <v>16507.333300007034</v>
      </c>
      <c r="AE35" s="22">
        <v>16614.400719150992</v>
      </c>
    </row>
    <row r="36" spans="1:31" x14ac:dyDescent="0.25">
      <c r="A36" s="11" t="s">
        <v>529</v>
      </c>
      <c r="B36" s="11" t="s">
        <v>225</v>
      </c>
      <c r="C36" s="23">
        <v>0</v>
      </c>
      <c r="D36" s="23"/>
      <c r="E36" s="23"/>
      <c r="F36" s="23"/>
      <c r="G36" s="23"/>
      <c r="H36" s="23"/>
      <c r="I36" s="23"/>
      <c r="J36" s="23"/>
      <c r="K36" s="23"/>
      <c r="L36" s="23"/>
      <c r="M36" s="23"/>
      <c r="N36" s="23"/>
      <c r="O36" s="23"/>
      <c r="P36" s="23"/>
      <c r="Q36" s="23"/>
      <c r="R36" s="23"/>
      <c r="S36" s="23">
        <v>10.816965602983789</v>
      </c>
      <c r="T36" s="23">
        <v>10.817089196317557</v>
      </c>
      <c r="U36" s="23">
        <v>10.81719083780599</v>
      </c>
      <c r="V36" s="23">
        <v>10.817301499911315</v>
      </c>
      <c r="W36" s="23">
        <v>10.817406768198426</v>
      </c>
      <c r="X36" s="15">
        <v>10.120717986000001</v>
      </c>
      <c r="Y36" s="15">
        <v>10.121343997</v>
      </c>
      <c r="Z36" s="22"/>
      <c r="AA36" s="22">
        <v>8.6533270917788236</v>
      </c>
      <c r="AB36" s="22">
        <v>8.6539423603862691</v>
      </c>
      <c r="AC36" s="22">
        <v>8.1239018648217005</v>
      </c>
      <c r="AD36" s="22">
        <v>7.6363116006328937</v>
      </c>
      <c r="AE36" s="22">
        <v>7.6363849035491347</v>
      </c>
    </row>
    <row r="37" spans="1:31" x14ac:dyDescent="0.25">
      <c r="A37" s="11" t="s">
        <v>528</v>
      </c>
      <c r="B37" s="11" t="s">
        <v>527</v>
      </c>
      <c r="C37" s="22">
        <v>58522.340078893736</v>
      </c>
      <c r="D37" s="22">
        <v>61091.531818804666</v>
      </c>
      <c r="E37" s="22">
        <v>61998.346129020072</v>
      </c>
      <c r="F37" s="22">
        <v>70625.361990949925</v>
      </c>
      <c r="G37" s="22">
        <v>56748.817896781984</v>
      </c>
      <c r="H37" s="22">
        <v>61046.103955551938</v>
      </c>
      <c r="I37" s="22">
        <v>52955.59085871237</v>
      </c>
      <c r="J37" s="22">
        <v>64973.212054421623</v>
      </c>
      <c r="K37" s="22">
        <v>62540.279526850376</v>
      </c>
      <c r="L37" s="22">
        <v>68910.777131058014</v>
      </c>
      <c r="M37" s="22">
        <v>65103.7037805195</v>
      </c>
      <c r="N37" s="22">
        <v>67010.875012011224</v>
      </c>
      <c r="O37" s="22">
        <v>66304.357186673718</v>
      </c>
      <c r="P37" s="22">
        <v>72506.52160212837</v>
      </c>
      <c r="Q37" s="22">
        <v>67523.60730924466</v>
      </c>
      <c r="R37" s="22">
        <v>72155.121970717038</v>
      </c>
      <c r="S37" s="22">
        <f t="shared" ref="S37:W37" si="2">SUM(S38:S40)</f>
        <v>69695.007336776092</v>
      </c>
      <c r="T37" s="22">
        <f t="shared" si="2"/>
        <v>75656.311879959801</v>
      </c>
      <c r="U37" s="22">
        <f t="shared" si="2"/>
        <v>68137.625291923003</v>
      </c>
      <c r="V37" s="22">
        <f t="shared" si="2"/>
        <v>75054.292184057995</v>
      </c>
      <c r="W37" s="22">
        <f t="shared" si="2"/>
        <v>72308.780663855796</v>
      </c>
      <c r="X37" s="22">
        <v>78923.783785233565</v>
      </c>
      <c r="Y37" s="22">
        <v>68960.694656068095</v>
      </c>
      <c r="Z37" s="22">
        <v>73914.500013702767</v>
      </c>
      <c r="AA37" s="22">
        <v>68978.277688070419</v>
      </c>
      <c r="AB37" s="22">
        <v>77755.099804608166</v>
      </c>
      <c r="AC37" s="22">
        <v>68005.192318077286</v>
      </c>
      <c r="AD37" s="22">
        <v>70708.15733373542</v>
      </c>
      <c r="AE37" s="22">
        <v>78898.922439437039</v>
      </c>
    </row>
    <row r="38" spans="1:31" x14ac:dyDescent="0.25">
      <c r="A38" s="11">
        <v>2015523211</v>
      </c>
      <c r="B38" s="11" t="s">
        <v>514</v>
      </c>
      <c r="C38" s="22">
        <v>27360.471936880487</v>
      </c>
      <c r="D38" s="22">
        <v>27318.803805247218</v>
      </c>
      <c r="E38" s="22">
        <v>26192.555791592175</v>
      </c>
      <c r="F38" s="22">
        <v>26076.342014031899</v>
      </c>
      <c r="G38" s="22">
        <v>25751.814193328668</v>
      </c>
      <c r="H38" s="22">
        <v>26189.604275480448</v>
      </c>
      <c r="I38" s="22">
        <v>24957.016300995678</v>
      </c>
      <c r="J38" s="22">
        <v>26186.967786619818</v>
      </c>
      <c r="K38" s="22">
        <v>26504.918320366389</v>
      </c>
      <c r="L38" s="22">
        <v>26133.756962946347</v>
      </c>
      <c r="M38" s="22">
        <v>26076.288176561622</v>
      </c>
      <c r="N38" s="22">
        <v>26464.888817144158</v>
      </c>
      <c r="O38" s="22">
        <v>26588.205382254939</v>
      </c>
      <c r="P38" s="22">
        <v>27152.777128904607</v>
      </c>
      <c r="Q38" s="22">
        <v>27612.170494629652</v>
      </c>
      <c r="R38" s="22">
        <v>27393.512352689835</v>
      </c>
      <c r="S38" s="22">
        <v>28949.474153543499</v>
      </c>
      <c r="T38" s="22">
        <v>28186.925329021498</v>
      </c>
      <c r="U38" s="22">
        <v>28751.9751745793</v>
      </c>
      <c r="V38" s="22">
        <v>28983.9476401869</v>
      </c>
      <c r="W38" s="22">
        <v>29071.840888339699</v>
      </c>
      <c r="X38" s="22">
        <v>28412.956875304142</v>
      </c>
      <c r="Y38" s="22">
        <v>29723.833326222175</v>
      </c>
      <c r="Z38" s="22">
        <v>29261.245191578379</v>
      </c>
      <c r="AA38" s="22">
        <v>28668.461546260769</v>
      </c>
      <c r="AB38" s="22">
        <v>29321.376092848506</v>
      </c>
      <c r="AC38" s="22">
        <v>28426.905859557817</v>
      </c>
      <c r="AD38" s="22">
        <v>28279.131342913239</v>
      </c>
      <c r="AE38" s="22">
        <v>29442.17258829192</v>
      </c>
    </row>
    <row r="39" spans="1:31" x14ac:dyDescent="0.25">
      <c r="A39" s="11">
        <v>2025523211</v>
      </c>
      <c r="B39" s="11" t="s">
        <v>513</v>
      </c>
      <c r="C39" s="22">
        <v>31059.354808969922</v>
      </c>
      <c r="D39" s="22">
        <v>33772.728013557447</v>
      </c>
      <c r="E39" s="22">
        <v>35599.123366550048</v>
      </c>
      <c r="F39" s="22">
        <v>44549.019976918033</v>
      </c>
      <c r="G39" s="22">
        <v>30894.111203946381</v>
      </c>
      <c r="H39" s="22">
        <v>34651.588791782844</v>
      </c>
      <c r="I39" s="22">
        <v>27998.574557716696</v>
      </c>
      <c r="J39" s="22">
        <v>38786.244267801805</v>
      </c>
      <c r="K39" s="22">
        <v>35881.340374346917</v>
      </c>
      <c r="L39" s="22">
        <v>42777.020168111674</v>
      </c>
      <c r="M39" s="22">
        <v>39027.415603957881</v>
      </c>
      <c r="N39" s="22">
        <v>40282.267169138118</v>
      </c>
      <c r="O39" s="22">
        <v>39716.151804418776</v>
      </c>
      <c r="P39" s="22">
        <v>45353.744473223764</v>
      </c>
      <c r="Q39" s="22">
        <v>39640.3829132225</v>
      </c>
      <c r="R39" s="22">
        <v>44761.6096180272</v>
      </c>
      <c r="S39" s="22">
        <v>40745.533183232597</v>
      </c>
      <c r="T39" s="22">
        <v>47469.386550938303</v>
      </c>
      <c r="U39" s="22">
        <v>39385.650117343699</v>
      </c>
      <c r="V39" s="22">
        <v>46070.344543871099</v>
      </c>
      <c r="W39" s="22">
        <v>42980.885151366201</v>
      </c>
      <c r="X39" s="22">
        <v>50510.826909929427</v>
      </c>
      <c r="Y39" s="22">
        <v>39236.861329845917</v>
      </c>
      <c r="Z39" s="22">
        <v>44327.544406344387</v>
      </c>
      <c r="AA39" s="22">
        <v>40309.81614180965</v>
      </c>
      <c r="AB39" s="22">
        <v>48278.577004010142</v>
      </c>
      <c r="AC39" s="22">
        <v>39302.109376363493</v>
      </c>
      <c r="AD39" s="22">
        <v>42429.025990822185</v>
      </c>
      <c r="AE39" s="22">
        <v>49456.749851145119</v>
      </c>
    </row>
    <row r="40" spans="1:31" x14ac:dyDescent="0.25">
      <c r="A40" s="11">
        <v>2035523211</v>
      </c>
      <c r="B40" s="11" t="s">
        <v>225</v>
      </c>
      <c r="C40" s="22">
        <v>102.5133330433255</v>
      </c>
      <c r="D40" s="22">
        <v>0</v>
      </c>
      <c r="E40" s="22">
        <v>206.66697087784843</v>
      </c>
      <c r="F40" s="22">
        <v>0</v>
      </c>
      <c r="G40" s="22">
        <v>102.89249950694217</v>
      </c>
      <c r="H40" s="22">
        <v>204.91088828865136</v>
      </c>
      <c r="I40" s="22">
        <v>0</v>
      </c>
      <c r="J40" s="22">
        <v>0</v>
      </c>
      <c r="K40" s="22">
        <v>154.02083213706814</v>
      </c>
      <c r="L40" s="22">
        <v>0</v>
      </c>
      <c r="M40" s="22">
        <v>0</v>
      </c>
      <c r="N40" s="22">
        <v>263.71902572894601</v>
      </c>
      <c r="O40" s="22">
        <v>0</v>
      </c>
      <c r="P40" s="22">
        <v>0</v>
      </c>
      <c r="Q40" s="22">
        <v>271.05390139250193</v>
      </c>
      <c r="R40" s="22">
        <v>0</v>
      </c>
      <c r="S40" s="22">
        <v>0</v>
      </c>
      <c r="T40" s="12">
        <v>0</v>
      </c>
      <c r="U40" s="22">
        <v>0</v>
      </c>
      <c r="V40" s="22">
        <v>0</v>
      </c>
      <c r="W40" s="22">
        <v>256.05462414990001</v>
      </c>
      <c r="X40" s="22">
        <v>0</v>
      </c>
      <c r="Y40" s="22">
        <v>0</v>
      </c>
      <c r="Z40" s="22">
        <v>325.71041578000001</v>
      </c>
      <c r="AA40" s="22">
        <v>0</v>
      </c>
      <c r="AB40" s="22">
        <v>155.14670774951645</v>
      </c>
      <c r="AC40" s="22">
        <v>276.17708215597895</v>
      </c>
      <c r="AD40" s="22">
        <v>0</v>
      </c>
      <c r="AE40" s="22">
        <v>0</v>
      </c>
    </row>
    <row r="41" spans="1:31" x14ac:dyDescent="0.25">
      <c r="A41" s="11" t="s">
        <v>526</v>
      </c>
      <c r="B41" s="11" t="s">
        <v>525</v>
      </c>
      <c r="C41" s="22">
        <v>7592.4189937004112</v>
      </c>
      <c r="D41" s="22">
        <v>6920.5048780048437</v>
      </c>
      <c r="E41" s="22">
        <v>8842.3827626723469</v>
      </c>
      <c r="F41" s="22">
        <v>7298.9466855982791</v>
      </c>
      <c r="G41" s="22">
        <v>8296.3512249068917</v>
      </c>
      <c r="H41" s="22">
        <v>7019.0386862576006</v>
      </c>
      <c r="I41" s="22">
        <v>9849.000993853364</v>
      </c>
      <c r="J41" s="22">
        <v>7798.524206209001</v>
      </c>
      <c r="K41" s="22">
        <v>8539.9727195440864</v>
      </c>
      <c r="L41" s="22">
        <v>8640.2324006332274</v>
      </c>
      <c r="M41" s="22">
        <v>9027.8084172973231</v>
      </c>
      <c r="N41" s="22">
        <v>8312.7375757118225</v>
      </c>
      <c r="O41" s="22">
        <v>9016.4470724948951</v>
      </c>
      <c r="P41" s="22">
        <v>9313.2883506386479</v>
      </c>
      <c r="Q41" s="22">
        <v>9563.4505219535058</v>
      </c>
      <c r="R41" s="22">
        <v>9680.8553783995721</v>
      </c>
      <c r="S41" s="22">
        <f t="shared" ref="S41:W41" si="3">SUM(S42:S44)</f>
        <v>8076.6915943051008</v>
      </c>
      <c r="T41" s="22">
        <f t="shared" si="3"/>
        <v>10265.005541324001</v>
      </c>
      <c r="U41" s="22">
        <f t="shared" si="3"/>
        <v>9034.165906922799</v>
      </c>
      <c r="V41" s="22">
        <f t="shared" si="3"/>
        <v>8976.4456766582007</v>
      </c>
      <c r="W41" s="22">
        <f t="shared" si="3"/>
        <v>9557.0745531762004</v>
      </c>
      <c r="X41" s="22">
        <v>9861.277295894306</v>
      </c>
      <c r="Y41" s="22">
        <v>10391.720627370203</v>
      </c>
      <c r="Z41" s="22">
        <v>9371.0304510237765</v>
      </c>
      <c r="AA41" s="22">
        <v>10303.927601696914</v>
      </c>
      <c r="AB41" s="22">
        <v>9708.9004448775559</v>
      </c>
      <c r="AC41" s="22">
        <v>11382.425182857824</v>
      </c>
      <c r="AD41" s="22">
        <v>11872.128564793777</v>
      </c>
      <c r="AE41" s="22">
        <v>8795.5243557435169</v>
      </c>
    </row>
    <row r="42" spans="1:31" x14ac:dyDescent="0.25">
      <c r="A42" s="11">
        <v>2015623211</v>
      </c>
      <c r="B42" s="11" t="s">
        <v>514</v>
      </c>
      <c r="C42" s="22">
        <v>6028.4177824653534</v>
      </c>
      <c r="D42" s="22">
        <v>6511.1630460048436</v>
      </c>
      <c r="E42" s="22">
        <v>6244.9761384192889</v>
      </c>
      <c r="F42" s="22">
        <v>5812.4853172298872</v>
      </c>
      <c r="G42" s="22">
        <v>6214.9642108162789</v>
      </c>
      <c r="H42" s="22">
        <v>5145.0151023460312</v>
      </c>
      <c r="I42" s="22">
        <v>6907.2385700801824</v>
      </c>
      <c r="J42" s="22">
        <v>5933.8817187179448</v>
      </c>
      <c r="K42" s="22">
        <v>6054.3064202350588</v>
      </c>
      <c r="L42" s="22">
        <v>6356.4659079579815</v>
      </c>
      <c r="M42" s="22">
        <v>6374.46153292895</v>
      </c>
      <c r="N42" s="22">
        <v>5755.2807111099883</v>
      </c>
      <c r="O42" s="22">
        <v>6202.131757344494</v>
      </c>
      <c r="P42" s="22">
        <v>6444.9226578555154</v>
      </c>
      <c r="Q42" s="22">
        <v>6043.5831842216012</v>
      </c>
      <c r="R42" s="22">
        <v>6130.2137927418698</v>
      </c>
      <c r="S42" s="22">
        <v>5639.7146288956001</v>
      </c>
      <c r="T42" s="22">
        <v>6523.7337247467003</v>
      </c>
      <c r="U42" s="22">
        <v>6008.9451129590998</v>
      </c>
      <c r="V42" s="22">
        <v>6045.7648942914002</v>
      </c>
      <c r="W42" s="22">
        <v>5620.3979408922005</v>
      </c>
      <c r="X42" s="22">
        <v>6193.819266130562</v>
      </c>
      <c r="Y42" s="22">
        <v>6037.309479888695</v>
      </c>
      <c r="Z42" s="22">
        <v>5446.9972342229339</v>
      </c>
      <c r="AA42" s="22">
        <v>5989.0206266221949</v>
      </c>
      <c r="AB42" s="22">
        <v>5719.9974797146187</v>
      </c>
      <c r="AC42" s="22">
        <v>6136.9160398120048</v>
      </c>
      <c r="AD42" s="22">
        <v>6270.9199511822317</v>
      </c>
      <c r="AE42" s="22">
        <v>5343.5853210466421</v>
      </c>
    </row>
    <row r="43" spans="1:31" x14ac:dyDescent="0.25">
      <c r="A43" s="11">
        <v>2025623211</v>
      </c>
      <c r="B43" s="11" t="s">
        <v>513</v>
      </c>
      <c r="C43" s="22">
        <v>1564.0012112350576</v>
      </c>
      <c r="D43" s="22">
        <v>204.67091600000001</v>
      </c>
      <c r="E43" s="22">
        <v>2597.4066242530585</v>
      </c>
      <c r="F43" s="22">
        <v>1384.5651745258428</v>
      </c>
      <c r="G43" s="22">
        <v>1878.453236597556</v>
      </c>
      <c r="H43" s="22">
        <v>1874.0235839115694</v>
      </c>
      <c r="I43" s="22">
        <v>2941.762423773182</v>
      </c>
      <c r="J43" s="22">
        <v>1761.979571679449</v>
      </c>
      <c r="K43" s="22">
        <v>2485.6662993090281</v>
      </c>
      <c r="L43" s="22">
        <v>2283.7664926752464</v>
      </c>
      <c r="M43" s="22">
        <v>2392.1177616826485</v>
      </c>
      <c r="N43" s="22">
        <v>2557.4568646018347</v>
      </c>
      <c r="O43" s="22">
        <v>2814.3153151504011</v>
      </c>
      <c r="P43" s="22">
        <v>2599.8085829481433</v>
      </c>
      <c r="Q43" s="22">
        <v>3519.8673377319046</v>
      </c>
      <c r="R43" s="22">
        <v>3550.6415856577019</v>
      </c>
      <c r="S43" s="22">
        <v>2436.9769654095003</v>
      </c>
      <c r="T43" s="22">
        <v>3741.2718165772999</v>
      </c>
      <c r="U43" s="22">
        <v>3025.2207939636996</v>
      </c>
      <c r="V43" s="22">
        <v>2676.8092415469</v>
      </c>
      <c r="W43" s="22">
        <v>3936.6766122839999</v>
      </c>
      <c r="X43" s="22">
        <v>3667.4580297637431</v>
      </c>
      <c r="Y43" s="22">
        <v>3755.8003115368483</v>
      </c>
      <c r="Z43" s="22">
        <v>3924.0332168008431</v>
      </c>
      <c r="AA43" s="22">
        <v>4160.7965172389268</v>
      </c>
      <c r="AB43" s="22">
        <v>3714.9862997667574</v>
      </c>
      <c r="AC43" s="22">
        <v>5245.5091430458197</v>
      </c>
      <c r="AD43" s="22">
        <v>5601.2086136115449</v>
      </c>
      <c r="AE43" s="22">
        <v>3451.9390346968748</v>
      </c>
    </row>
    <row r="44" spans="1:31" x14ac:dyDescent="0.25">
      <c r="A44" s="11">
        <v>2035623211</v>
      </c>
      <c r="B44" s="11" t="s">
        <v>225</v>
      </c>
      <c r="C44" s="22">
        <v>0</v>
      </c>
      <c r="D44" s="22">
        <v>204.67091600000001</v>
      </c>
      <c r="E44" s="22">
        <v>0</v>
      </c>
      <c r="F44" s="22">
        <v>101.89619384254911</v>
      </c>
      <c r="G44" s="22">
        <v>202.93377749305785</v>
      </c>
      <c r="H44" s="22">
        <v>0</v>
      </c>
      <c r="I44" s="22">
        <v>0</v>
      </c>
      <c r="J44" s="22">
        <v>102.66291581160735</v>
      </c>
      <c r="K44" s="22">
        <v>0</v>
      </c>
      <c r="L44" s="22">
        <v>0</v>
      </c>
      <c r="M44" s="22">
        <v>261.22912268572509</v>
      </c>
      <c r="N44" s="22">
        <v>0</v>
      </c>
      <c r="O44" s="22">
        <v>0</v>
      </c>
      <c r="P44" s="22">
        <v>268.55710983498858</v>
      </c>
      <c r="Q44" s="22">
        <v>0</v>
      </c>
      <c r="R44" s="22">
        <v>0</v>
      </c>
      <c r="S44" s="22">
        <v>0</v>
      </c>
      <c r="T44" s="12">
        <v>0</v>
      </c>
      <c r="U44" s="22">
        <v>0</v>
      </c>
      <c r="V44" s="22">
        <v>253.87154081990002</v>
      </c>
      <c r="W44" s="22">
        <v>0</v>
      </c>
      <c r="X44" s="22">
        <v>0</v>
      </c>
      <c r="Y44" s="22">
        <v>598.61083594465936</v>
      </c>
      <c r="Z44" s="22">
        <v>0</v>
      </c>
      <c r="AA44" s="22">
        <v>154.11045783579297</v>
      </c>
      <c r="AB44" s="22">
        <v>273.91666539618024</v>
      </c>
      <c r="AC44" s="22">
        <v>0</v>
      </c>
      <c r="AD44" s="22">
        <v>0</v>
      </c>
      <c r="AE44" s="22">
        <v>0</v>
      </c>
    </row>
    <row r="45" spans="1:31" x14ac:dyDescent="0.25">
      <c r="A45" s="11" t="s">
        <v>524</v>
      </c>
      <c r="B45" s="11" t="s">
        <v>523</v>
      </c>
      <c r="C45" s="22">
        <v>6671.1638238137375</v>
      </c>
      <c r="D45" s="22">
        <v>8411.6970674903841</v>
      </c>
      <c r="E45" s="22">
        <v>5761.16854002322</v>
      </c>
      <c r="F45" s="22">
        <v>6564.2557412667638</v>
      </c>
      <c r="G45" s="22">
        <v>7062.2488092395197</v>
      </c>
      <c r="H45" s="22">
        <v>7552.1554372365699</v>
      </c>
      <c r="I45" s="22">
        <v>7306.6808263910571</v>
      </c>
      <c r="J45" s="22">
        <v>7612.3428633454496</v>
      </c>
      <c r="K45" s="22">
        <v>6575.7598996158304</v>
      </c>
      <c r="L45" s="22">
        <v>7060.5582366603348</v>
      </c>
      <c r="M45" s="22">
        <v>7522.1155943181666</v>
      </c>
      <c r="N45" s="22">
        <v>7510.0300554780952</v>
      </c>
      <c r="O45" s="22">
        <v>7470.5315876243321</v>
      </c>
      <c r="P45" s="22">
        <v>7171.7680147327592</v>
      </c>
      <c r="Q45" s="22">
        <v>7414.5968630073239</v>
      </c>
      <c r="R45" s="22">
        <v>7271.0338297483249</v>
      </c>
      <c r="S45" s="22">
        <f t="shared" ref="S45:W45" si="4">SUM(S46:S48)</f>
        <v>8431.271512755</v>
      </c>
      <c r="T45" s="22">
        <f t="shared" si="4"/>
        <v>7523.1744098628005</v>
      </c>
      <c r="U45" s="22">
        <f t="shared" si="4"/>
        <v>7669.7100246164009</v>
      </c>
      <c r="V45" s="22">
        <f t="shared" si="4"/>
        <v>7507.0530917564993</v>
      </c>
      <c r="W45" s="22">
        <f t="shared" si="4"/>
        <v>7887.8124051336999</v>
      </c>
      <c r="X45" s="22">
        <v>8711.7087855380487</v>
      </c>
      <c r="Y45" s="22">
        <v>7447.534120321885</v>
      </c>
      <c r="Z45" s="22">
        <v>8398.5587885293098</v>
      </c>
      <c r="AA45" s="22">
        <v>8736.6317514191232</v>
      </c>
      <c r="AB45" s="22">
        <v>9342.7219480875028</v>
      </c>
      <c r="AC45" s="22">
        <v>8908.8954544874759</v>
      </c>
      <c r="AD45" s="22">
        <v>7924.0464311330888</v>
      </c>
      <c r="AE45" s="22">
        <v>8941.738110873157</v>
      </c>
    </row>
    <row r="46" spans="1:31" x14ac:dyDescent="0.25">
      <c r="A46" s="11">
        <v>2015723211</v>
      </c>
      <c r="B46" s="11" t="s">
        <v>514</v>
      </c>
      <c r="C46" s="22">
        <v>5283.1322308156923</v>
      </c>
      <c r="D46" s="22">
        <v>5515.2972294936835</v>
      </c>
      <c r="E46" s="22">
        <v>4719.8508851744218</v>
      </c>
      <c r="F46" s="22">
        <v>5171.2750018991101</v>
      </c>
      <c r="G46" s="22">
        <v>5127.0575744023663</v>
      </c>
      <c r="H46" s="22">
        <v>5839.3647008661628</v>
      </c>
      <c r="I46" s="22">
        <v>5707.922937885206</v>
      </c>
      <c r="J46" s="22">
        <v>5275.5296161802717</v>
      </c>
      <c r="K46" s="22">
        <v>4891.2572207676703</v>
      </c>
      <c r="L46" s="22">
        <v>4924.967001437878</v>
      </c>
      <c r="M46" s="22">
        <v>5144.4043498364863</v>
      </c>
      <c r="N46" s="22">
        <v>5121.3959959076792</v>
      </c>
      <c r="O46" s="22">
        <v>5311.7589947068227</v>
      </c>
      <c r="P46" s="22">
        <v>4529.8021676794242</v>
      </c>
      <c r="Q46" s="22">
        <v>5005.0037019953743</v>
      </c>
      <c r="R46" s="22">
        <v>5086.2857096887574</v>
      </c>
      <c r="S46" s="22">
        <v>5263.2584296203004</v>
      </c>
      <c r="T46" s="22">
        <v>5139.6748521901</v>
      </c>
      <c r="U46" s="22">
        <v>5066.8788319689002</v>
      </c>
      <c r="V46" s="22">
        <v>4306.6497744267999</v>
      </c>
      <c r="W46" s="22">
        <v>5112.2311055876999</v>
      </c>
      <c r="X46" s="22">
        <v>5004.5832865284456</v>
      </c>
      <c r="Y46" s="22">
        <v>4134.9057435512195</v>
      </c>
      <c r="Z46" s="22">
        <v>5026.0994848196278</v>
      </c>
      <c r="AA46" s="22">
        <v>4993.5016317164072</v>
      </c>
      <c r="AB46" s="22">
        <v>4921.4619626469639</v>
      </c>
      <c r="AC46" s="22">
        <v>4821.1528017696037</v>
      </c>
      <c r="AD46" s="22">
        <v>4694.6365170849185</v>
      </c>
      <c r="AE46" s="22">
        <v>4820.359078419443</v>
      </c>
    </row>
    <row r="47" spans="1:31" x14ac:dyDescent="0.25">
      <c r="A47" s="11">
        <v>2025723211</v>
      </c>
      <c r="B47" s="11" t="s">
        <v>513</v>
      </c>
      <c r="C47" s="22">
        <v>1185.2923440413708</v>
      </c>
      <c r="D47" s="22">
        <v>2896.3998379967002</v>
      </c>
      <c r="E47" s="22">
        <v>940.38562772664727</v>
      </c>
      <c r="F47" s="22">
        <v>1192.0240732102034</v>
      </c>
      <c r="G47" s="22">
        <v>1935.1912348371532</v>
      </c>
      <c r="H47" s="22">
        <v>1712.7907363704071</v>
      </c>
      <c r="I47" s="22">
        <v>1497.0895560708366</v>
      </c>
      <c r="J47" s="22">
        <v>2336.8132471651775</v>
      </c>
      <c r="K47" s="22">
        <v>1684.5026788481603</v>
      </c>
      <c r="L47" s="22">
        <v>1876.7716956356714</v>
      </c>
      <c r="M47" s="22">
        <v>2377.7112444816803</v>
      </c>
      <c r="N47" s="22">
        <v>2388.6340595704164</v>
      </c>
      <c r="O47" s="22">
        <v>1892.6317333152699</v>
      </c>
      <c r="P47" s="22">
        <v>2641.9658470533345</v>
      </c>
      <c r="Q47" s="22">
        <v>2409.5931610119501</v>
      </c>
      <c r="R47" s="22">
        <v>2184.7481200595676</v>
      </c>
      <c r="S47" s="22">
        <v>3168.0130831346996</v>
      </c>
      <c r="T47" s="22">
        <v>2383.4995576727001</v>
      </c>
      <c r="U47" s="22">
        <v>2351.2155045976001</v>
      </c>
      <c r="V47" s="22">
        <v>3200.4033173296998</v>
      </c>
      <c r="W47" s="22">
        <v>2775.5812995460001</v>
      </c>
      <c r="X47" s="22">
        <v>3113.4057125290442</v>
      </c>
      <c r="Y47" s="22">
        <v>3312.628376770665</v>
      </c>
      <c r="Z47" s="22">
        <v>3219.4196375896827</v>
      </c>
      <c r="AA47" s="22">
        <v>3471.4009541443411</v>
      </c>
      <c r="AB47" s="22">
        <v>4421.259985440538</v>
      </c>
      <c r="AC47" s="22">
        <v>4087.7426527178732</v>
      </c>
      <c r="AD47" s="22">
        <v>3229.4099140481708</v>
      </c>
      <c r="AE47" s="22">
        <v>3918.1920882271102</v>
      </c>
    </row>
    <row r="48" spans="1:31" x14ac:dyDescent="0.25">
      <c r="A48" s="11">
        <v>2035723211</v>
      </c>
      <c r="B48" s="11" t="s">
        <v>225</v>
      </c>
      <c r="C48" s="22">
        <v>202.73924895667454</v>
      </c>
      <c r="D48" s="22">
        <v>0</v>
      </c>
      <c r="E48" s="22">
        <v>100.93202712215162</v>
      </c>
      <c r="F48" s="22">
        <v>200.95666615745088</v>
      </c>
      <c r="G48" s="22">
        <v>0</v>
      </c>
      <c r="H48" s="22">
        <v>0</v>
      </c>
      <c r="I48" s="22">
        <v>101.66833243501455</v>
      </c>
      <c r="J48" s="22">
        <v>0</v>
      </c>
      <c r="K48" s="22">
        <v>0</v>
      </c>
      <c r="L48" s="22">
        <v>258.81953958678531</v>
      </c>
      <c r="M48" s="22">
        <v>0</v>
      </c>
      <c r="N48" s="22">
        <v>0</v>
      </c>
      <c r="O48" s="22">
        <v>266.14085960223952</v>
      </c>
      <c r="P48" s="22">
        <v>0</v>
      </c>
      <c r="Q48" s="22">
        <v>0</v>
      </c>
      <c r="R48" s="22">
        <v>0</v>
      </c>
      <c r="S48" s="22">
        <v>0</v>
      </c>
      <c r="T48" s="12">
        <v>0</v>
      </c>
      <c r="U48" s="22">
        <v>251.6156880499</v>
      </c>
      <c r="V48" s="22">
        <v>0</v>
      </c>
      <c r="W48" s="22">
        <v>0</v>
      </c>
      <c r="X48" s="22">
        <v>593.71978648055767</v>
      </c>
      <c r="Y48" s="22">
        <v>0</v>
      </c>
      <c r="Z48" s="22">
        <v>153.03966611999999</v>
      </c>
      <c r="AA48" s="22">
        <v>271.72916555837475</v>
      </c>
      <c r="AB48" s="22">
        <v>0</v>
      </c>
      <c r="AC48" s="22">
        <v>0</v>
      </c>
      <c r="AD48" s="22">
        <v>0</v>
      </c>
      <c r="AE48" s="22">
        <v>203.18694422660261</v>
      </c>
    </row>
    <row r="49" spans="1:31" x14ac:dyDescent="0.25">
      <c r="A49" s="11" t="s">
        <v>522</v>
      </c>
      <c r="B49" s="11" t="s">
        <v>521</v>
      </c>
      <c r="C49" s="22">
        <v>2975.5718696377271</v>
      </c>
      <c r="D49" s="22">
        <v>1640.9034570451695</v>
      </c>
      <c r="E49" s="22">
        <v>1677.1661382674156</v>
      </c>
      <c r="F49" s="22">
        <v>1784.264832152104</v>
      </c>
      <c r="G49" s="22">
        <v>2079.7764423028739</v>
      </c>
      <c r="H49" s="22">
        <v>2333.2284258088084</v>
      </c>
      <c r="I49" s="22">
        <v>2655.1239747064278</v>
      </c>
      <c r="J49" s="22">
        <v>2748.1175619899677</v>
      </c>
      <c r="K49" s="22">
        <v>2560.8456754531744</v>
      </c>
      <c r="L49" s="22">
        <v>2536.0604389800592</v>
      </c>
      <c r="M49" s="22">
        <v>2660.6945975131139</v>
      </c>
      <c r="N49" s="22">
        <v>2671.6616403175317</v>
      </c>
      <c r="O49" s="22">
        <v>2370.8846967309487</v>
      </c>
      <c r="P49" s="22">
        <v>2495.5749194715336</v>
      </c>
      <c r="Q49" s="22">
        <v>2221.3724850385488</v>
      </c>
      <c r="R49" s="22">
        <v>2438.5815323035899</v>
      </c>
      <c r="S49" s="22">
        <f t="shared" ref="S49:W49" si="5">SUM(S50:S52)</f>
        <v>2854.9132776079</v>
      </c>
      <c r="T49" s="22">
        <f t="shared" si="5"/>
        <v>3103.0317242902001</v>
      </c>
      <c r="U49" s="22">
        <f t="shared" si="5"/>
        <v>3051.7835122228998</v>
      </c>
      <c r="V49" s="22">
        <f t="shared" si="5"/>
        <v>3104.3959586372002</v>
      </c>
      <c r="W49" s="22">
        <f t="shared" si="5"/>
        <v>3009.6874874332002</v>
      </c>
      <c r="X49" s="22">
        <v>2884.6060897230122</v>
      </c>
      <c r="Y49" s="22">
        <v>3709.9058116382116</v>
      </c>
      <c r="Z49" s="22">
        <v>3495.2201532600866</v>
      </c>
      <c r="AA49" s="22">
        <v>3115.9061790420183</v>
      </c>
      <c r="AB49" s="22">
        <v>2390.5052931510377</v>
      </c>
      <c r="AC49" s="22">
        <v>2505.229281656209</v>
      </c>
      <c r="AD49" s="22">
        <v>2737.5941144702556</v>
      </c>
      <c r="AE49" s="22">
        <v>3734.9639080930756</v>
      </c>
    </row>
    <row r="50" spans="1:31" x14ac:dyDescent="0.25">
      <c r="A50" s="11">
        <v>2015823211</v>
      </c>
      <c r="B50" s="11" t="s">
        <v>514</v>
      </c>
      <c r="C50" s="22">
        <v>1333.3952674665472</v>
      </c>
      <c r="D50" s="22">
        <v>1322.3215309221232</v>
      </c>
      <c r="E50" s="22">
        <v>1410.4647596262807</v>
      </c>
      <c r="F50" s="22">
        <v>1353.983980952893</v>
      </c>
      <c r="G50" s="22">
        <v>1553.5502388411844</v>
      </c>
      <c r="H50" s="22">
        <v>1608.1792354937893</v>
      </c>
      <c r="I50" s="22">
        <v>1696.4287881770422</v>
      </c>
      <c r="J50" s="22">
        <v>1640.3320046148046</v>
      </c>
      <c r="K50" s="22">
        <v>1650.2540839141427</v>
      </c>
      <c r="L50" s="22">
        <v>1582.7286925423441</v>
      </c>
      <c r="M50" s="22">
        <v>1650.9303565697996</v>
      </c>
      <c r="N50" s="22">
        <v>1620.3787448262838</v>
      </c>
      <c r="O50" s="22">
        <v>1667.8719548533472</v>
      </c>
      <c r="P50" s="22">
        <v>1585.0812214914806</v>
      </c>
      <c r="Q50" s="22">
        <v>1423.852991605848</v>
      </c>
      <c r="R50" s="22">
        <v>1411.4390104825675</v>
      </c>
      <c r="S50" s="22">
        <v>1488.8492581536</v>
      </c>
      <c r="T50" s="22">
        <v>1630.1453322597999</v>
      </c>
      <c r="U50" s="22">
        <v>1575.8462793484</v>
      </c>
      <c r="V50" s="22">
        <v>1399.582771115</v>
      </c>
      <c r="W50" s="22">
        <v>1270.1048369223001</v>
      </c>
      <c r="X50" s="22">
        <v>1309.1192392785485</v>
      </c>
      <c r="Y50" s="22">
        <v>1414.1972205298334</v>
      </c>
      <c r="Z50" s="22">
        <v>1586.6621832326368</v>
      </c>
      <c r="AA50" s="22">
        <v>1499.6675259655945</v>
      </c>
      <c r="AB50" s="22">
        <v>1282.8527630856443</v>
      </c>
      <c r="AC50" s="22">
        <v>1176.5382215349166</v>
      </c>
      <c r="AD50" s="22">
        <v>1288.3918050228558</v>
      </c>
      <c r="AE50" s="22">
        <v>1467.4333935106783</v>
      </c>
    </row>
    <row r="51" spans="1:31" x14ac:dyDescent="0.25">
      <c r="A51" s="11">
        <v>2025823211</v>
      </c>
      <c r="B51" s="11" t="s">
        <v>513</v>
      </c>
      <c r="C51" s="22">
        <v>1642.1766021711799</v>
      </c>
      <c r="D51" s="22">
        <v>318.58192612304629</v>
      </c>
      <c r="E51" s="22">
        <v>266.70137864113497</v>
      </c>
      <c r="F51" s="22">
        <v>430.28085119921093</v>
      </c>
      <c r="G51" s="22">
        <v>526.22620346168969</v>
      </c>
      <c r="H51" s="22">
        <v>624.31127460367031</v>
      </c>
      <c r="I51" s="22">
        <v>707.2650360153666</v>
      </c>
      <c r="J51" s="22">
        <v>853.86550398592101</v>
      </c>
      <c r="K51" s="22">
        <v>654.26195464748537</v>
      </c>
      <c r="L51" s="22">
        <v>694.60071988106313</v>
      </c>
      <c r="M51" s="22">
        <v>748.61696461765041</v>
      </c>
      <c r="N51" s="22">
        <v>787.63882723244717</v>
      </c>
      <c r="O51" s="22">
        <v>703.01274187760134</v>
      </c>
      <c r="P51" s="22">
        <v>910.49369798005307</v>
      </c>
      <c r="Q51" s="22">
        <v>797.51949343270053</v>
      </c>
      <c r="R51" s="22">
        <v>782.07608369793957</v>
      </c>
      <c r="S51" s="22">
        <v>1118.7417286144</v>
      </c>
      <c r="T51" s="22">
        <v>1223.3082484205001</v>
      </c>
      <c r="U51" s="22">
        <v>1209.9216089045999</v>
      </c>
      <c r="V51" s="22">
        <v>1121.0861060822999</v>
      </c>
      <c r="W51" s="22">
        <v>1150.949319091</v>
      </c>
      <c r="X51" s="22">
        <v>1159.521719307259</v>
      </c>
      <c r="Y51" s="22">
        <v>1876.5303601138955</v>
      </c>
      <c r="Z51" s="22">
        <v>1908.5579700274498</v>
      </c>
      <c r="AA51" s="22">
        <v>1616.2386530764238</v>
      </c>
      <c r="AB51" s="22">
        <v>1107.6525300653934</v>
      </c>
      <c r="AC51" s="22">
        <v>1023.8338386806389</v>
      </c>
      <c r="AD51" s="22">
        <v>1142.4042546578571</v>
      </c>
      <c r="AE51" s="22">
        <v>1851.4588767890771</v>
      </c>
    </row>
    <row r="52" spans="1:31" x14ac:dyDescent="0.25">
      <c r="A52" s="11">
        <v>2035823211</v>
      </c>
      <c r="B52" s="11" t="s">
        <v>225</v>
      </c>
      <c r="C52" s="22">
        <v>0</v>
      </c>
      <c r="D52" s="22">
        <v>0</v>
      </c>
      <c r="E52" s="22">
        <v>0</v>
      </c>
      <c r="F52" s="22">
        <v>0</v>
      </c>
      <c r="G52" s="22">
        <v>0</v>
      </c>
      <c r="H52" s="22">
        <v>100.73791571134865</v>
      </c>
      <c r="I52" s="22">
        <v>251.43015051401861</v>
      </c>
      <c r="J52" s="22">
        <v>253.92005338924216</v>
      </c>
      <c r="K52" s="22">
        <v>256.32963689154599</v>
      </c>
      <c r="L52" s="22">
        <v>258.73102655665218</v>
      </c>
      <c r="M52" s="22">
        <v>261.14727632566405</v>
      </c>
      <c r="N52" s="22">
        <v>263.64406825880081</v>
      </c>
      <c r="O52" s="22">
        <v>0</v>
      </c>
      <c r="P52" s="22">
        <v>0</v>
      </c>
      <c r="Q52" s="22">
        <v>0</v>
      </c>
      <c r="R52" s="22">
        <v>245.06643812308315</v>
      </c>
      <c r="S52" s="22">
        <v>247.32229083989998</v>
      </c>
      <c r="T52" s="22">
        <v>249.5781436099</v>
      </c>
      <c r="U52" s="22">
        <v>266.01562396989999</v>
      </c>
      <c r="V52" s="22">
        <v>583.72708143990008</v>
      </c>
      <c r="W52" s="22">
        <v>588.63333141989995</v>
      </c>
      <c r="X52" s="22">
        <v>415.96513113720499</v>
      </c>
      <c r="Y52" s="22">
        <v>419.17823099448225</v>
      </c>
      <c r="Z52" s="22">
        <v>0</v>
      </c>
      <c r="AA52" s="22">
        <v>0</v>
      </c>
      <c r="AB52" s="22">
        <v>0</v>
      </c>
      <c r="AC52" s="22">
        <v>304.85722144065375</v>
      </c>
      <c r="AD52" s="22">
        <v>306.79805478954262</v>
      </c>
      <c r="AE52" s="22">
        <v>416.07163779332035</v>
      </c>
    </row>
    <row r="53" spans="1:31" x14ac:dyDescent="0.25">
      <c r="A53" s="11" t="s">
        <v>520</v>
      </c>
      <c r="B53" s="11" t="s">
        <v>519</v>
      </c>
      <c r="C53" s="22">
        <v>324.07437151601016</v>
      </c>
      <c r="D53" s="22">
        <v>534.21141872934516</v>
      </c>
      <c r="E53" s="22">
        <v>601.95751957806488</v>
      </c>
      <c r="F53" s="22">
        <v>660.236966040639</v>
      </c>
      <c r="G53" s="22">
        <v>523.67014498412846</v>
      </c>
      <c r="H53" s="22">
        <v>494.00028885817363</v>
      </c>
      <c r="I53" s="22">
        <v>654.01118225933328</v>
      </c>
      <c r="J53" s="22">
        <v>797.52377985896328</v>
      </c>
      <c r="K53" s="22">
        <v>881.0559358374785</v>
      </c>
      <c r="L53" s="22">
        <v>680.73809507877024</v>
      </c>
      <c r="M53" s="22">
        <v>522.78844323637929</v>
      </c>
      <c r="N53" s="22">
        <v>530.85490919378708</v>
      </c>
      <c r="O53" s="22">
        <v>857.20703106158066</v>
      </c>
      <c r="P53" s="22">
        <v>909.3978124443563</v>
      </c>
      <c r="Q53" s="22">
        <v>973.12183138992077</v>
      </c>
      <c r="R53" s="22">
        <v>931.68081938202954</v>
      </c>
      <c r="S53" s="22">
        <f t="shared" ref="S53:W53" si="6">SUM(S54:S56)</f>
        <v>1226.2375996384999</v>
      </c>
      <c r="T53" s="22">
        <f t="shared" si="6"/>
        <v>1115.0799223679001</v>
      </c>
      <c r="U53" s="22">
        <f t="shared" si="6"/>
        <v>1139.7845584413999</v>
      </c>
      <c r="V53" s="22">
        <f t="shared" si="6"/>
        <v>993.41550477299995</v>
      </c>
      <c r="W53" s="22">
        <f t="shared" si="6"/>
        <v>1125.2392187835001</v>
      </c>
      <c r="X53" s="22">
        <v>877.94402957862258</v>
      </c>
      <c r="Y53" s="22">
        <v>686.82858632934699</v>
      </c>
      <c r="Z53" s="22">
        <v>729.32774439934383</v>
      </c>
      <c r="AA53" s="22">
        <v>965.09581236848942</v>
      </c>
      <c r="AB53" s="22">
        <v>1278.9001323824862</v>
      </c>
      <c r="AC53" s="22">
        <v>1207.1608494893107</v>
      </c>
      <c r="AD53" s="22">
        <v>1421.8239001313611</v>
      </c>
      <c r="AE53" s="22">
        <v>1656.0520439337697</v>
      </c>
    </row>
    <row r="54" spans="1:31" x14ac:dyDescent="0.25">
      <c r="A54" s="11">
        <v>2015923211</v>
      </c>
      <c r="B54" s="11" t="s">
        <v>514</v>
      </c>
      <c r="C54" s="22">
        <v>255.23493745121689</v>
      </c>
      <c r="D54" s="22">
        <v>434.74453835339534</v>
      </c>
      <c r="E54" s="22">
        <v>492.2761498007535</v>
      </c>
      <c r="F54" s="22">
        <v>544.70542825460041</v>
      </c>
      <c r="G54" s="22">
        <v>427.83586618629181</v>
      </c>
      <c r="H54" s="22">
        <v>383.43818970500831</v>
      </c>
      <c r="I54" s="22">
        <v>349.57580564640324</v>
      </c>
      <c r="J54" s="22">
        <v>367.86090510723767</v>
      </c>
      <c r="K54" s="22">
        <v>414.18639345789711</v>
      </c>
      <c r="L54" s="22">
        <v>475.84239213411735</v>
      </c>
      <c r="M54" s="22">
        <v>409.04843512244412</v>
      </c>
      <c r="N54" s="22">
        <v>409.07169861277521</v>
      </c>
      <c r="O54" s="22">
        <v>412.1243976287933</v>
      </c>
      <c r="P54" s="22">
        <v>463.7960492750837</v>
      </c>
      <c r="Q54" s="22">
        <v>556.00278450772737</v>
      </c>
      <c r="R54" s="22">
        <v>507.97762192496327</v>
      </c>
      <c r="S54" s="22">
        <v>423.06147257079999</v>
      </c>
      <c r="T54" s="22">
        <v>362.8083218804</v>
      </c>
      <c r="U54" s="22">
        <v>433.86038861380001</v>
      </c>
      <c r="V54" s="22">
        <v>509.5584832166</v>
      </c>
      <c r="W54" s="22">
        <v>545.54183494649999</v>
      </c>
      <c r="X54" s="22">
        <v>526.34950092686836</v>
      </c>
      <c r="Y54" s="22">
        <v>532.75452917359462</v>
      </c>
      <c r="Z54" s="22">
        <v>469.02262949476324</v>
      </c>
      <c r="AA54" s="22">
        <v>581.30061491920446</v>
      </c>
      <c r="AB54" s="22">
        <v>581.84203742973432</v>
      </c>
      <c r="AC54" s="22">
        <v>568.64577217681006</v>
      </c>
      <c r="AD54" s="22">
        <v>388.39161623063251</v>
      </c>
      <c r="AE54" s="22">
        <v>350.24595320548309</v>
      </c>
    </row>
    <row r="55" spans="1:31" x14ac:dyDescent="0.25">
      <c r="A55" s="11">
        <v>2025923211</v>
      </c>
      <c r="B55" s="11" t="s">
        <v>513</v>
      </c>
      <c r="C55" s="22">
        <v>68.839434064793281</v>
      </c>
      <c r="D55" s="22">
        <v>99.466880375949785</v>
      </c>
      <c r="E55" s="22">
        <v>109.68136977731133</v>
      </c>
      <c r="F55" s="22">
        <v>115.5315377860386</v>
      </c>
      <c r="G55" s="22">
        <v>95.834278797836632</v>
      </c>
      <c r="H55" s="22">
        <v>110.56209915316532</v>
      </c>
      <c r="I55" s="22">
        <v>103.01759956196315</v>
      </c>
      <c r="J55" s="22">
        <v>175.8448899525751</v>
      </c>
      <c r="K55" s="22">
        <v>210.6353074081955</v>
      </c>
      <c r="L55" s="22">
        <v>204.8957029446529</v>
      </c>
      <c r="M55" s="22">
        <v>113.74000811393516</v>
      </c>
      <c r="N55" s="22">
        <v>121.78321058101182</v>
      </c>
      <c r="O55" s="22">
        <v>206.63821492518136</v>
      </c>
      <c r="P55" s="22">
        <v>204.97426111417315</v>
      </c>
      <c r="Q55" s="22">
        <v>174.2356921399618</v>
      </c>
      <c r="R55" s="22">
        <v>164.71882340096255</v>
      </c>
      <c r="S55" s="22">
        <v>234.16779557780001</v>
      </c>
      <c r="T55" s="22">
        <v>178.19347734760001</v>
      </c>
      <c r="U55" s="22">
        <v>134.97000516759999</v>
      </c>
      <c r="V55" s="22">
        <v>223.28410605639999</v>
      </c>
      <c r="W55" s="22">
        <v>316.936968347</v>
      </c>
      <c r="X55" s="22">
        <v>351.59452865175427</v>
      </c>
      <c r="Y55" s="22">
        <v>154.0740571557524</v>
      </c>
      <c r="Z55" s="22">
        <v>158.25422661468048</v>
      </c>
      <c r="AA55" s="22">
        <v>281.02183690217771</v>
      </c>
      <c r="AB55" s="22">
        <v>289.41723501304602</v>
      </c>
      <c r="AC55" s="22">
        <v>332.22841108160901</v>
      </c>
      <c r="AD55" s="22">
        <v>388.37461759450156</v>
      </c>
      <c r="AE55" s="22">
        <v>457.35150823101594</v>
      </c>
    </row>
    <row r="56" spans="1:31" x14ac:dyDescent="0.25">
      <c r="A56" s="11">
        <v>2035923211</v>
      </c>
      <c r="B56" s="11" t="s">
        <v>225</v>
      </c>
      <c r="C56" s="22">
        <v>0</v>
      </c>
      <c r="D56" s="22">
        <v>0</v>
      </c>
      <c r="E56" s="22">
        <v>0</v>
      </c>
      <c r="F56" s="22">
        <v>0</v>
      </c>
      <c r="G56" s="22">
        <v>0</v>
      </c>
      <c r="H56" s="22">
        <v>0</v>
      </c>
      <c r="I56" s="22">
        <v>201.41777705096689</v>
      </c>
      <c r="J56" s="22">
        <v>253.81798479915048</v>
      </c>
      <c r="K56" s="22">
        <v>256.23423497138589</v>
      </c>
      <c r="L56" s="22">
        <v>0</v>
      </c>
      <c r="M56" s="22">
        <v>0</v>
      </c>
      <c r="N56" s="22">
        <v>0</v>
      </c>
      <c r="O56" s="22">
        <v>238.44441850760603</v>
      </c>
      <c r="P56" s="22">
        <v>240.62750205509951</v>
      </c>
      <c r="Q56" s="22">
        <v>242.88335474223157</v>
      </c>
      <c r="R56" s="22">
        <v>258.9843740561036</v>
      </c>
      <c r="S56" s="22">
        <v>569.0083314899</v>
      </c>
      <c r="T56" s="22">
        <v>574.07812313989996</v>
      </c>
      <c r="U56" s="22">
        <v>570.95416465999995</v>
      </c>
      <c r="V56" s="22">
        <v>260.57291550000002</v>
      </c>
      <c r="W56" s="22">
        <v>262.76041549000001</v>
      </c>
      <c r="X56" s="22">
        <v>0</v>
      </c>
      <c r="Y56" s="22">
        <v>0</v>
      </c>
      <c r="Z56" s="22">
        <v>102.0508882899</v>
      </c>
      <c r="AA56" s="22">
        <v>102.77336054710727</v>
      </c>
      <c r="AB56" s="22">
        <v>407.64085993970588</v>
      </c>
      <c r="AC56" s="22">
        <v>306.28666623089174</v>
      </c>
      <c r="AD56" s="22">
        <v>645.05766630622702</v>
      </c>
      <c r="AE56" s="22">
        <v>848.45458249727074</v>
      </c>
    </row>
    <row r="57" spans="1:31" x14ac:dyDescent="0.25">
      <c r="A57" s="11" t="s">
        <v>518</v>
      </c>
      <c r="B57" s="11" t="s">
        <v>517</v>
      </c>
      <c r="C57" s="22">
        <v>559.52854680686016</v>
      </c>
      <c r="D57" s="22">
        <v>436.63617334241121</v>
      </c>
      <c r="E57" s="22">
        <v>431.43406290506988</v>
      </c>
      <c r="F57" s="22">
        <v>346.33024787161048</v>
      </c>
      <c r="G57" s="22">
        <v>387.47897214276679</v>
      </c>
      <c r="H57" s="22">
        <v>515.90477197254359</v>
      </c>
      <c r="I57" s="22">
        <v>583.94415349947451</v>
      </c>
      <c r="J57" s="22">
        <v>471.0797005745157</v>
      </c>
      <c r="K57" s="22">
        <v>433.1205941040302</v>
      </c>
      <c r="L57" s="22">
        <v>695.34799793998513</v>
      </c>
      <c r="M57" s="22">
        <v>844.9742927690636</v>
      </c>
      <c r="N57" s="22">
        <v>884.77985110076327</v>
      </c>
      <c r="O57" s="22">
        <v>854.05968766314277</v>
      </c>
      <c r="P57" s="22">
        <v>729.6075065824507</v>
      </c>
      <c r="Q57" s="22">
        <v>1011.232511768971</v>
      </c>
      <c r="R57" s="22">
        <v>998.80168048565429</v>
      </c>
      <c r="S57" s="22">
        <f t="shared" ref="S57:W57" si="7">SUM(S58:S60)</f>
        <v>771.39240600100004</v>
      </c>
      <c r="T57" s="22">
        <f t="shared" si="7"/>
        <v>841.73970079970013</v>
      </c>
      <c r="U57" s="22">
        <f t="shared" si="7"/>
        <v>684.25400245219998</v>
      </c>
      <c r="V57" s="22">
        <f t="shared" si="7"/>
        <v>555.13901750209993</v>
      </c>
      <c r="W57" s="22">
        <f t="shared" si="7"/>
        <v>580.54048367940004</v>
      </c>
      <c r="X57" s="22">
        <v>844.20734034256452</v>
      </c>
      <c r="Y57" s="22">
        <v>845.9014759282245</v>
      </c>
      <c r="Z57" s="22">
        <v>760.14064438789615</v>
      </c>
      <c r="AA57" s="22">
        <v>1165.3641305147462</v>
      </c>
      <c r="AB57" s="22">
        <v>823.33264776878514</v>
      </c>
      <c r="AC57" s="22">
        <v>1489.1975267527828</v>
      </c>
      <c r="AD57" s="22">
        <v>1700.9145321943206</v>
      </c>
      <c r="AE57" s="22">
        <v>1116.2194323303504</v>
      </c>
    </row>
    <row r="58" spans="1:31" x14ac:dyDescent="0.25">
      <c r="A58" s="11">
        <v>2016023211</v>
      </c>
      <c r="B58" s="11" t="s">
        <v>514</v>
      </c>
      <c r="C58" s="22">
        <v>479.45729912700182</v>
      </c>
      <c r="D58" s="22">
        <v>389.72895943787881</v>
      </c>
      <c r="E58" s="22">
        <v>352.28921387483291</v>
      </c>
      <c r="F58" s="22">
        <v>280.85316218792576</v>
      </c>
      <c r="G58" s="22">
        <v>271.7290913069744</v>
      </c>
      <c r="H58" s="22">
        <v>344.42452601216485</v>
      </c>
      <c r="I58" s="22">
        <v>401.2806713363529</v>
      </c>
      <c r="J58" s="22">
        <v>371.44842286458203</v>
      </c>
      <c r="K58" s="22">
        <v>353.67793527730566</v>
      </c>
      <c r="L58" s="22">
        <v>340.79604484468746</v>
      </c>
      <c r="M58" s="22">
        <v>437.71689320672135</v>
      </c>
      <c r="N58" s="22">
        <v>493.55995051473417</v>
      </c>
      <c r="O58" s="22">
        <v>467.11894507837195</v>
      </c>
      <c r="P58" s="22">
        <v>358.22124514748322</v>
      </c>
      <c r="Q58" s="22">
        <v>301.70869969640597</v>
      </c>
      <c r="R58" s="22">
        <v>334.40013745967633</v>
      </c>
      <c r="S58" s="22">
        <v>440.82298599299997</v>
      </c>
      <c r="T58" s="22">
        <v>472.61364549140001</v>
      </c>
      <c r="U58" s="22">
        <v>448.0337711441</v>
      </c>
      <c r="V58" s="22">
        <v>432.9584362041</v>
      </c>
      <c r="W58" s="22">
        <v>438.33098910110004</v>
      </c>
      <c r="X58" s="22">
        <v>529.02101274713925</v>
      </c>
      <c r="Y58" s="22">
        <v>511.23503457730737</v>
      </c>
      <c r="Z58" s="22">
        <v>530.09030530501991</v>
      </c>
      <c r="AA58" s="22">
        <v>383.55788397925164</v>
      </c>
      <c r="AB58" s="22">
        <v>276.29464239560411</v>
      </c>
      <c r="AC58" s="22">
        <v>264.85834520305252</v>
      </c>
      <c r="AD58" s="22">
        <v>305.59022532148794</v>
      </c>
      <c r="AE58" s="22">
        <v>303.84636952620394</v>
      </c>
    </row>
    <row r="59" spans="1:31" x14ac:dyDescent="0.25">
      <c r="A59" s="11">
        <v>2026023211</v>
      </c>
      <c r="B59" s="11" t="s">
        <v>513</v>
      </c>
      <c r="C59" s="22">
        <v>80.071247679858374</v>
      </c>
      <c r="D59" s="22">
        <v>46.907213904532405</v>
      </c>
      <c r="E59" s="22">
        <v>79.144849030236983</v>
      </c>
      <c r="F59" s="22">
        <v>65.47708568368472</v>
      </c>
      <c r="G59" s="22">
        <v>115.74988083579241</v>
      </c>
      <c r="H59" s="22">
        <v>171.48024596037877</v>
      </c>
      <c r="I59" s="22">
        <v>182.66348216312159</v>
      </c>
      <c r="J59" s="22">
        <v>99.631277709933656</v>
      </c>
      <c r="K59" s="22">
        <v>79.442658826724553</v>
      </c>
      <c r="L59" s="22">
        <v>122.80232323873506</v>
      </c>
      <c r="M59" s="22">
        <v>173.32468657373133</v>
      </c>
      <c r="N59" s="22">
        <v>155.03133457377589</v>
      </c>
      <c r="O59" s="22">
        <v>135.06574369461634</v>
      </c>
      <c r="P59" s="22">
        <v>117.16751232505568</v>
      </c>
      <c r="Q59" s="22">
        <v>150.49152220729874</v>
      </c>
      <c r="R59" s="22">
        <v>107.69737820516472</v>
      </c>
      <c r="S59" s="22">
        <v>76.559004487999999</v>
      </c>
      <c r="T59" s="22">
        <v>112.8552231283</v>
      </c>
      <c r="U59" s="22">
        <v>236.22023130809998</v>
      </c>
      <c r="V59" s="22">
        <v>122.18058129799999</v>
      </c>
      <c r="W59" s="22">
        <v>142.2094945783</v>
      </c>
      <c r="X59" s="22">
        <v>214.55425383368689</v>
      </c>
      <c r="Y59" s="22">
        <v>233.33777765240399</v>
      </c>
      <c r="Z59" s="22">
        <v>230.05033908287626</v>
      </c>
      <c r="AA59" s="22">
        <v>149.47341347676939</v>
      </c>
      <c r="AB59" s="22">
        <v>214.67850545858366</v>
      </c>
      <c r="AC59" s="22">
        <v>186.54457137725475</v>
      </c>
      <c r="AD59" s="22">
        <v>185.4906989686024</v>
      </c>
      <c r="AE59" s="22">
        <v>104.39695432134063</v>
      </c>
    </row>
    <row r="60" spans="1:31" x14ac:dyDescent="0.25">
      <c r="A60" s="11">
        <v>2036023211</v>
      </c>
      <c r="B60" s="11" t="s">
        <v>225</v>
      </c>
      <c r="C60" s="22">
        <v>0</v>
      </c>
      <c r="D60" s="22">
        <v>0</v>
      </c>
      <c r="E60" s="22">
        <v>0</v>
      </c>
      <c r="F60" s="22">
        <v>0</v>
      </c>
      <c r="G60" s="22">
        <v>0</v>
      </c>
      <c r="H60" s="22">
        <v>0</v>
      </c>
      <c r="I60" s="22">
        <v>0</v>
      </c>
      <c r="J60" s="22">
        <v>0</v>
      </c>
      <c r="K60" s="22">
        <v>0</v>
      </c>
      <c r="L60" s="22">
        <v>231.74962985656254</v>
      </c>
      <c r="M60" s="22">
        <v>233.93271298861089</v>
      </c>
      <c r="N60" s="22">
        <v>236.18856601225318</v>
      </c>
      <c r="O60" s="22">
        <v>251.87499889015447</v>
      </c>
      <c r="P60" s="22">
        <v>254.21874910991181</v>
      </c>
      <c r="Q60" s="22">
        <v>559.03228986526631</v>
      </c>
      <c r="R60" s="22">
        <v>556.70416482081328</v>
      </c>
      <c r="S60" s="22">
        <v>254.01041552000001</v>
      </c>
      <c r="T60" s="22">
        <v>256.27083218000001</v>
      </c>
      <c r="U60" s="22">
        <v>0</v>
      </c>
      <c r="V60" s="22">
        <v>0</v>
      </c>
      <c r="W60" s="22">
        <v>0</v>
      </c>
      <c r="X60" s="22">
        <v>100.63207376173838</v>
      </c>
      <c r="Y60" s="22">
        <v>101.32866369851311</v>
      </c>
      <c r="Z60" s="22">
        <v>0</v>
      </c>
      <c r="AA60" s="22">
        <v>632.3328330587251</v>
      </c>
      <c r="AB60" s="22">
        <v>332.35949991459728</v>
      </c>
      <c r="AC60" s="22">
        <v>1037.7946101724756</v>
      </c>
      <c r="AD60" s="22">
        <v>1209.8336079042301</v>
      </c>
      <c r="AE60" s="22">
        <v>707.97610848280578</v>
      </c>
    </row>
    <row r="61" spans="1:31" x14ac:dyDescent="0.25">
      <c r="A61" s="11" t="s">
        <v>516</v>
      </c>
      <c r="B61" s="11" t="s">
        <v>515</v>
      </c>
      <c r="C61" s="22">
        <v>544.96355163151713</v>
      </c>
      <c r="D61" s="22">
        <v>511.07828338362384</v>
      </c>
      <c r="E61" s="22">
        <v>515.95639953381203</v>
      </c>
      <c r="F61" s="22">
        <v>520.29304312067779</v>
      </c>
      <c r="G61" s="22">
        <v>522.05548064184541</v>
      </c>
      <c r="H61" s="22">
        <v>518.74324931436092</v>
      </c>
      <c r="I61" s="22">
        <v>500.85487657797637</v>
      </c>
      <c r="J61" s="22">
        <v>479.74678360048824</v>
      </c>
      <c r="K61" s="22">
        <v>448.00692059501876</v>
      </c>
      <c r="L61" s="22">
        <v>420.45323264958978</v>
      </c>
      <c r="M61" s="22">
        <v>440.67042534645128</v>
      </c>
      <c r="N61" s="22">
        <v>396.85829718677195</v>
      </c>
      <c r="O61" s="22">
        <v>396.93359675137646</v>
      </c>
      <c r="P61" s="22">
        <v>380.6181960018817</v>
      </c>
      <c r="Q61" s="22">
        <v>361.59874759706827</v>
      </c>
      <c r="R61" s="22">
        <v>361.51735996378528</v>
      </c>
      <c r="S61" s="22">
        <f t="shared" ref="S61:W61" si="8">SUM(S62:S64)</f>
        <v>313.97886766930003</v>
      </c>
      <c r="T61" s="22">
        <f t="shared" si="8"/>
        <v>294.40357675960001</v>
      </c>
      <c r="U61" s="22">
        <f t="shared" si="8"/>
        <v>315.88039615930001</v>
      </c>
      <c r="V61" s="22">
        <f t="shared" si="8"/>
        <v>290.38655602950001</v>
      </c>
      <c r="W61" s="22">
        <f t="shared" si="8"/>
        <v>279.94115979950004</v>
      </c>
      <c r="X61" s="22">
        <v>249.4124736898747</v>
      </c>
      <c r="Y61" s="22">
        <v>209.1051203440592</v>
      </c>
      <c r="Z61" s="22">
        <v>253.01977888674185</v>
      </c>
      <c r="AA61" s="22">
        <v>278.95293788829576</v>
      </c>
      <c r="AB61" s="22">
        <v>250.30517412446869</v>
      </c>
      <c r="AC61" s="22">
        <v>236.91887567911451</v>
      </c>
      <c r="AD61" s="22">
        <v>234.73867954177973</v>
      </c>
      <c r="AE61" s="22">
        <v>240.87002058909741</v>
      </c>
    </row>
    <row r="62" spans="1:31" x14ac:dyDescent="0.25">
      <c r="A62" s="11">
        <v>2016123211</v>
      </c>
      <c r="B62" s="11" t="s">
        <v>514</v>
      </c>
      <c r="C62" s="22">
        <v>539.5592849344373</v>
      </c>
      <c r="D62" s="22">
        <v>511.07828338362384</v>
      </c>
      <c r="E62" s="22">
        <v>515.95639953381203</v>
      </c>
      <c r="F62" s="22">
        <v>520.29304312067779</v>
      </c>
      <c r="G62" s="22">
        <v>522.05548064184541</v>
      </c>
      <c r="H62" s="22">
        <v>518.74324931436092</v>
      </c>
      <c r="I62" s="22">
        <v>500.85487657797637</v>
      </c>
      <c r="J62" s="22">
        <v>477.93322287519436</v>
      </c>
      <c r="K62" s="22">
        <v>448.00692059501876</v>
      </c>
      <c r="L62" s="22">
        <v>420.45323264958978</v>
      </c>
      <c r="M62" s="22">
        <v>440.67042534645128</v>
      </c>
      <c r="N62" s="22">
        <v>361.50627434750652</v>
      </c>
      <c r="O62" s="22">
        <v>396.93359675137646</v>
      </c>
      <c r="P62" s="22">
        <v>378.89498236374311</v>
      </c>
      <c r="Q62" s="22">
        <v>361.59874759706827</v>
      </c>
      <c r="R62" s="22">
        <v>361.51735996378528</v>
      </c>
      <c r="S62" s="22">
        <v>304.55156868980004</v>
      </c>
      <c r="T62" s="22">
        <v>292.87132644979999</v>
      </c>
      <c r="U62" s="22">
        <v>310.13023674970003</v>
      </c>
      <c r="V62" s="22">
        <v>288.82952156980002</v>
      </c>
      <c r="W62" s="22">
        <v>278.37152322970002</v>
      </c>
      <c r="X62" s="22">
        <v>243.42298243829583</v>
      </c>
      <c r="Y62" s="22">
        <v>207.50985557572557</v>
      </c>
      <c r="Z62" s="22">
        <v>251.18144217078583</v>
      </c>
      <c r="AA62" s="22">
        <v>242.87435692768193</v>
      </c>
      <c r="AB62" s="22">
        <v>248.671261878933</v>
      </c>
      <c r="AC62" s="22">
        <v>233.26996096625643</v>
      </c>
      <c r="AD62" s="22">
        <v>233.07914173874917</v>
      </c>
      <c r="AE62" s="22">
        <v>240.87002058909741</v>
      </c>
    </row>
    <row r="63" spans="1:31" x14ac:dyDescent="0.25">
      <c r="A63" s="11">
        <v>2026123211</v>
      </c>
      <c r="B63" s="11" t="s">
        <v>513</v>
      </c>
      <c r="C63" s="22">
        <v>5.4042666970797937</v>
      </c>
      <c r="D63" s="22">
        <v>0</v>
      </c>
      <c r="E63" s="22">
        <v>0</v>
      </c>
      <c r="F63" s="22">
        <v>0</v>
      </c>
      <c r="G63" s="22">
        <v>0</v>
      </c>
      <c r="H63" s="22">
        <v>0</v>
      </c>
      <c r="I63" s="22">
        <v>0</v>
      </c>
      <c r="J63" s="22">
        <v>1.8135607252938848</v>
      </c>
      <c r="K63" s="22">
        <v>0</v>
      </c>
      <c r="L63" s="22">
        <v>0</v>
      </c>
      <c r="M63" s="22">
        <v>0</v>
      </c>
      <c r="N63" s="22">
        <v>35.352022839265452</v>
      </c>
      <c r="O63" s="22">
        <v>0</v>
      </c>
      <c r="P63" s="22">
        <v>1.7232136381385832</v>
      </c>
      <c r="Q63" s="22">
        <v>0</v>
      </c>
      <c r="R63" s="22">
        <v>0</v>
      </c>
      <c r="S63" s="22">
        <v>9.4272989794999997</v>
      </c>
      <c r="T63" s="22">
        <v>1.5322503098</v>
      </c>
      <c r="U63" s="22">
        <v>5.7501594096000002</v>
      </c>
      <c r="V63" s="22">
        <v>1.5570344597000001</v>
      </c>
      <c r="W63" s="22">
        <v>1.5696365697999999</v>
      </c>
      <c r="X63" s="22">
        <v>5.9894912515788743</v>
      </c>
      <c r="Y63" s="22">
        <v>1.5952647683336305</v>
      </c>
      <c r="Z63" s="22">
        <v>1.8383367159560233</v>
      </c>
      <c r="AA63" s="22">
        <v>36.07858096061382</v>
      </c>
      <c r="AB63" s="22">
        <v>1.6339122455357007</v>
      </c>
      <c r="AC63" s="22">
        <v>3.6489147128580863</v>
      </c>
      <c r="AD63" s="22">
        <v>1.6595378030305661</v>
      </c>
      <c r="AE63" s="22">
        <v>0</v>
      </c>
    </row>
    <row r="64" spans="1:31" x14ac:dyDescent="0.25">
      <c r="A64" s="11">
        <v>2036123211</v>
      </c>
      <c r="B64" s="11" t="s">
        <v>225</v>
      </c>
      <c r="C64" s="22">
        <v>0</v>
      </c>
      <c r="D64" s="22">
        <v>0</v>
      </c>
      <c r="E64" s="22">
        <v>0</v>
      </c>
      <c r="F64" s="22">
        <v>0</v>
      </c>
      <c r="G64" s="22">
        <v>0</v>
      </c>
      <c r="H64" s="22">
        <v>0</v>
      </c>
      <c r="I64" s="22">
        <v>0</v>
      </c>
      <c r="J64" s="22">
        <v>0</v>
      </c>
      <c r="K64" s="22">
        <v>0</v>
      </c>
      <c r="L64" s="22">
        <v>0</v>
      </c>
      <c r="M64" s="22">
        <v>0</v>
      </c>
      <c r="N64" s="22">
        <v>0</v>
      </c>
      <c r="O64" s="22">
        <v>0</v>
      </c>
      <c r="P64" s="22">
        <v>0</v>
      </c>
      <c r="Q64" s="22">
        <v>0</v>
      </c>
      <c r="R64" s="22">
        <v>0</v>
      </c>
      <c r="S64" s="22">
        <v>0</v>
      </c>
      <c r="T64" s="12">
        <v>0</v>
      </c>
      <c r="U64" s="22">
        <v>0</v>
      </c>
      <c r="V64" s="22">
        <v>0</v>
      </c>
      <c r="W64" s="22">
        <v>0</v>
      </c>
      <c r="X64" s="22">
        <v>0</v>
      </c>
      <c r="Y64" s="22">
        <v>0</v>
      </c>
      <c r="Z64" s="22">
        <v>0</v>
      </c>
      <c r="AA64" s="22">
        <v>0</v>
      </c>
      <c r="AB64" s="22">
        <v>0</v>
      </c>
      <c r="AC64" s="22">
        <v>0</v>
      </c>
      <c r="AD64" s="22">
        <v>0</v>
      </c>
      <c r="AE64" s="22">
        <v>0</v>
      </c>
    </row>
    <row r="65" spans="1:31" x14ac:dyDescent="0.25">
      <c r="A65" s="24">
        <v>2007340060</v>
      </c>
      <c r="B65" s="24" t="s">
        <v>512</v>
      </c>
      <c r="C65" s="25"/>
      <c r="D65" s="25"/>
      <c r="E65" s="25"/>
      <c r="F65" s="25"/>
      <c r="G65" s="25"/>
      <c r="H65" s="25"/>
      <c r="I65" s="25"/>
      <c r="J65" s="25"/>
      <c r="K65" s="25"/>
      <c r="L65" s="25"/>
      <c r="M65" s="25"/>
      <c r="N65" s="25"/>
      <c r="O65" s="25"/>
      <c r="P65" s="25"/>
      <c r="Q65" s="25"/>
      <c r="R65" s="25"/>
      <c r="S65" s="25"/>
      <c r="T65" s="25"/>
      <c r="U65" s="25"/>
      <c r="V65" s="26"/>
      <c r="W65" s="25"/>
      <c r="X65" s="25"/>
      <c r="Y65" s="25"/>
      <c r="Z65" s="22"/>
      <c r="AA65" s="22"/>
      <c r="AB65" s="22"/>
      <c r="AC65" s="22"/>
      <c r="AD65" s="22"/>
      <c r="AE65" s="22"/>
    </row>
    <row r="66" spans="1:31" x14ac:dyDescent="0.25">
      <c r="A66" s="24">
        <v>2007440060</v>
      </c>
      <c r="B66" s="24" t="s">
        <v>511</v>
      </c>
      <c r="C66" s="25"/>
      <c r="D66" s="25"/>
      <c r="E66" s="25"/>
      <c r="F66" s="25"/>
      <c r="G66" s="25"/>
      <c r="H66" s="25"/>
      <c r="I66" s="25"/>
      <c r="J66" s="25"/>
      <c r="K66" s="25"/>
      <c r="L66" s="25"/>
      <c r="M66" s="25"/>
      <c r="N66" s="25"/>
      <c r="O66" s="25"/>
      <c r="P66" s="25"/>
      <c r="Q66" s="25"/>
      <c r="R66" s="25"/>
      <c r="S66" s="25"/>
      <c r="T66" s="25"/>
      <c r="U66" s="25"/>
      <c r="V66" s="26"/>
      <c r="W66" s="25"/>
      <c r="X66" s="25"/>
      <c r="Y66" s="25"/>
      <c r="Z66" s="22"/>
      <c r="AA66" s="22"/>
      <c r="AB66" s="22"/>
      <c r="AC66" s="22"/>
      <c r="AD66" s="22"/>
      <c r="AE66" s="22"/>
    </row>
    <row r="67" spans="1:31" x14ac:dyDescent="0.25">
      <c r="A67" s="11">
        <v>2000743010</v>
      </c>
      <c r="B67" s="11" t="s">
        <v>152</v>
      </c>
      <c r="C67" s="22"/>
      <c r="D67" s="22"/>
      <c r="E67" s="22"/>
      <c r="F67" s="22"/>
      <c r="G67" s="22">
        <v>38.995142999999999</v>
      </c>
      <c r="H67" s="22"/>
      <c r="I67" s="22"/>
      <c r="J67" s="22"/>
      <c r="K67" s="22"/>
      <c r="L67" s="22"/>
      <c r="M67" s="22"/>
      <c r="N67" s="22"/>
      <c r="O67" s="22"/>
      <c r="P67" s="22"/>
      <c r="Q67" s="22"/>
      <c r="R67" s="22"/>
      <c r="S67" s="22">
        <v>38.995142999999999</v>
      </c>
      <c r="T67" s="22">
        <v>41.809047999999997</v>
      </c>
      <c r="U67" s="22">
        <v>42.769253999999997</v>
      </c>
      <c r="V67" s="22">
        <v>40.760286000000001</v>
      </c>
      <c r="W67" s="22">
        <v>53.930674000000003</v>
      </c>
      <c r="X67" s="22">
        <v>58.629852999999997</v>
      </c>
      <c r="Y67" s="22">
        <v>58.527417999999997</v>
      </c>
      <c r="Z67" s="22">
        <v>65.468148999999997</v>
      </c>
      <c r="AA67" s="22">
        <v>55.610984000000002</v>
      </c>
      <c r="AB67" s="22">
        <v>57.366736000000003</v>
      </c>
      <c r="AC67" s="22">
        <v>58.444226999999998</v>
      </c>
      <c r="AD67" s="22">
        <v>58.672272999999997</v>
      </c>
      <c r="AE67" s="22">
        <v>59.601663000000002</v>
      </c>
    </row>
    <row r="68" spans="1:31" x14ac:dyDescent="0.25">
      <c r="A68" s="11" t="s">
        <v>510</v>
      </c>
      <c r="B68" s="11" t="s">
        <v>227</v>
      </c>
      <c r="C68" s="22"/>
      <c r="D68" s="22"/>
      <c r="E68" s="22"/>
      <c r="F68" s="22"/>
      <c r="G68" s="22">
        <v>150384.63875300004</v>
      </c>
      <c r="H68" s="22"/>
      <c r="I68" s="22"/>
      <c r="J68" s="22"/>
      <c r="K68" s="22"/>
      <c r="L68" s="22"/>
      <c r="M68" s="22"/>
      <c r="N68" s="22"/>
      <c r="O68" s="22"/>
      <c r="P68" s="22"/>
      <c r="Q68" s="22"/>
      <c r="R68" s="22"/>
      <c r="S68" s="22">
        <f t="shared" ref="S68:W68" si="9">S3+S25+S67</f>
        <v>168103.24311000001</v>
      </c>
      <c r="T68" s="22">
        <f t="shared" si="9"/>
        <v>177380.50179336857</v>
      </c>
      <c r="U68" s="22">
        <f t="shared" si="9"/>
        <v>169626.24261473931</v>
      </c>
      <c r="V68" s="22">
        <f t="shared" si="9"/>
        <v>176538.82187041771</v>
      </c>
      <c r="W68" s="22">
        <f t="shared" si="9"/>
        <v>175784.04025886091</v>
      </c>
      <c r="X68" s="22">
        <v>181240.17004299999</v>
      </c>
      <c r="Y68" s="22">
        <v>174611.36875200004</v>
      </c>
      <c r="Z68" s="22">
        <v>179520.69884500006</v>
      </c>
      <c r="AA68" s="22">
        <v>177345.344526</v>
      </c>
      <c r="AB68" s="22">
        <v>183302.55151400005</v>
      </c>
      <c r="AC68" s="22">
        <v>178841.46953599999</v>
      </c>
      <c r="AD68" s="22">
        <v>183184.93245299999</v>
      </c>
      <c r="AE68" s="22">
        <v>190616.38723779999</v>
      </c>
    </row>
    <row r="69" spans="1:31" x14ac:dyDescent="0.25">
      <c r="A69" s="11" t="s">
        <v>509</v>
      </c>
      <c r="B69" s="11" t="s">
        <v>506</v>
      </c>
      <c r="C69" s="22"/>
      <c r="D69" s="22"/>
      <c r="E69" s="22"/>
      <c r="F69" s="22"/>
      <c r="G69" s="22">
        <v>136718.8721599328</v>
      </c>
      <c r="H69" s="22"/>
      <c r="I69" s="22"/>
      <c r="J69" s="22"/>
      <c r="K69" s="22"/>
      <c r="L69" s="22"/>
      <c r="M69" s="22"/>
      <c r="N69" s="22"/>
      <c r="O69" s="22"/>
      <c r="P69" s="22"/>
      <c r="Q69" s="22"/>
      <c r="R69" s="22"/>
      <c r="S69" s="22">
        <f t="shared" ref="S69:W70" si="10">S4+S25</f>
        <v>150743.68942940564</v>
      </c>
      <c r="T69" s="22">
        <f t="shared" si="10"/>
        <v>157584.01933315088</v>
      </c>
      <c r="U69" s="22">
        <f t="shared" si="10"/>
        <v>150525.7811118454</v>
      </c>
      <c r="V69" s="22">
        <f t="shared" si="10"/>
        <v>158185.29587280483</v>
      </c>
      <c r="W69" s="22">
        <f t="shared" si="10"/>
        <v>155948.1129064062</v>
      </c>
      <c r="X69" s="22">
        <v>162071.80583324181</v>
      </c>
      <c r="Y69" s="22">
        <v>154506.7437699548</v>
      </c>
      <c r="Z69" s="22"/>
      <c r="AA69" s="22">
        <v>157676.44724455519</v>
      </c>
      <c r="AB69" s="22">
        <v>163485.6200726314</v>
      </c>
      <c r="AC69" s="22">
        <v>160133.82125497397</v>
      </c>
      <c r="AD69" s="22">
        <v>163613.20467771258</v>
      </c>
      <c r="AE69" s="22">
        <v>171103.90040922005</v>
      </c>
    </row>
    <row r="70" spans="1:31" x14ac:dyDescent="0.25">
      <c r="A70" s="11" t="s">
        <v>508</v>
      </c>
      <c r="B70" s="11" t="s">
        <v>428</v>
      </c>
      <c r="C70" s="22"/>
      <c r="D70" s="22"/>
      <c r="E70" s="22"/>
      <c r="F70" s="22"/>
      <c r="G70" s="22">
        <v>0</v>
      </c>
      <c r="H70" s="22"/>
      <c r="I70" s="22"/>
      <c r="J70" s="22"/>
      <c r="K70" s="22"/>
      <c r="L70" s="22"/>
      <c r="M70" s="22"/>
      <c r="N70" s="22"/>
      <c r="O70" s="22"/>
      <c r="P70" s="22"/>
      <c r="Q70" s="22"/>
      <c r="R70" s="22"/>
      <c r="S70" s="22">
        <f t="shared" si="10"/>
        <v>929743.93715144705</v>
      </c>
      <c r="T70" s="22">
        <f t="shared" si="10"/>
        <v>1011711.4723714802</v>
      </c>
      <c r="U70" s="22">
        <f t="shared" si="10"/>
        <v>915411.61219732999</v>
      </c>
      <c r="V70" s="22">
        <f t="shared" si="10"/>
        <v>957112.75552098721</v>
      </c>
      <c r="W70" s="22">
        <f t="shared" si="10"/>
        <v>915013.05973291839</v>
      </c>
      <c r="X70" s="22">
        <v>932090.99638407002</v>
      </c>
      <c r="Y70" s="22">
        <v>827475.75370859017</v>
      </c>
      <c r="Z70" s="22"/>
      <c r="AA70" s="22">
        <v>674779.83868687449</v>
      </c>
      <c r="AB70" s="22">
        <v>803543.91693891084</v>
      </c>
      <c r="AC70" s="22">
        <v>761066.33544058818</v>
      </c>
      <c r="AD70" s="22">
        <v>652501.78026986471</v>
      </c>
      <c r="AE70" s="22">
        <v>775550.07384893089</v>
      </c>
    </row>
    <row r="71" spans="1:31" x14ac:dyDescent="0.25">
      <c r="A71" s="11" t="s">
        <v>507</v>
      </c>
      <c r="B71" s="11" t="s">
        <v>506</v>
      </c>
      <c r="C71" s="15"/>
      <c r="D71" s="15"/>
      <c r="E71" s="15"/>
      <c r="F71" s="15"/>
      <c r="G71" s="15">
        <v>0</v>
      </c>
      <c r="H71" s="15"/>
      <c r="I71" s="15"/>
      <c r="J71" s="15"/>
      <c r="K71" s="15"/>
      <c r="L71" s="15"/>
      <c r="M71" s="15"/>
      <c r="N71" s="15"/>
      <c r="O71" s="15"/>
      <c r="P71" s="15"/>
      <c r="Q71" s="15"/>
      <c r="R71" s="15"/>
      <c r="S71" s="15">
        <f t="shared" ref="S71:W71" si="11">S70/S69</f>
        <v>6.1677138238470199</v>
      </c>
      <c r="T71" s="15">
        <f t="shared" si="11"/>
        <v>6.4201400411840295</v>
      </c>
      <c r="U71" s="15">
        <f t="shared" si="11"/>
        <v>6.0814274168565872</v>
      </c>
      <c r="V71" s="15">
        <f t="shared" si="11"/>
        <v>6.0505797978251517</v>
      </c>
      <c r="W71" s="15">
        <f t="shared" si="11"/>
        <v>5.8674198916537872</v>
      </c>
      <c r="X71" s="15">
        <v>5.7510989748773014</v>
      </c>
      <c r="Y71" s="15">
        <v>5.3555963546848115</v>
      </c>
      <c r="Z71" s="22"/>
      <c r="AA71" s="22">
        <v>4.2795220876602773</v>
      </c>
      <c r="AB71" s="22">
        <v>4.9150739776496684</v>
      </c>
      <c r="AC71" s="22">
        <v>4.7526895285211239</v>
      </c>
      <c r="AD71" s="22">
        <v>3.9880752996383833</v>
      </c>
      <c r="AE71" s="22">
        <v>4.5326265035109614</v>
      </c>
    </row>
    <row r="72" spans="1:31" x14ac:dyDescent="0.25">
      <c r="A72" s="11" t="s">
        <v>505</v>
      </c>
      <c r="B72" s="11" t="s">
        <v>504</v>
      </c>
      <c r="C72" s="22"/>
      <c r="D72" s="22"/>
      <c r="E72" s="22"/>
      <c r="F72" s="22"/>
      <c r="G72" s="22">
        <v>93275.126121205511</v>
      </c>
      <c r="H72" s="22"/>
      <c r="I72" s="22"/>
      <c r="J72" s="22"/>
      <c r="K72" s="22"/>
      <c r="L72" s="22"/>
      <c r="M72" s="22"/>
      <c r="N72" s="22"/>
      <c r="O72" s="22"/>
      <c r="P72" s="22"/>
      <c r="Q72" s="22"/>
      <c r="R72" s="22"/>
      <c r="S72" s="22">
        <v>93275.126121205511</v>
      </c>
      <c r="T72" s="22">
        <v>92451.469952077998</v>
      </c>
      <c r="U72" s="22">
        <v>91606.537038268492</v>
      </c>
      <c r="V72" s="22">
        <v>92304.635529376799</v>
      </c>
      <c r="W72" s="22">
        <v>93002.782551289405</v>
      </c>
      <c r="X72" s="22">
        <v>93839.601687101807</v>
      </c>
      <c r="Y72" s="22">
        <v>93274.656170478309</v>
      </c>
      <c r="Z72" s="22">
        <v>94311.834263325101</v>
      </c>
      <c r="AA72" s="22">
        <v>94630.807868968099</v>
      </c>
      <c r="AB72" s="22">
        <v>94611.178629624395</v>
      </c>
      <c r="AC72" s="22">
        <v>94284.532708965809</v>
      </c>
      <c r="AD72" s="22">
        <v>95143.127454119996</v>
      </c>
      <c r="AE72" s="22">
        <v>97863.313257091591</v>
      </c>
    </row>
    <row r="73" spans="1:31" x14ac:dyDescent="0.25">
      <c r="A73" s="11" t="s">
        <v>503</v>
      </c>
      <c r="B73" s="11" t="s">
        <v>502</v>
      </c>
      <c r="C73" s="22"/>
      <c r="D73" s="22"/>
      <c r="E73" s="22"/>
      <c r="F73" s="22"/>
      <c r="G73" s="22">
        <v>74788.705318161999</v>
      </c>
      <c r="H73" s="22"/>
      <c r="I73" s="22"/>
      <c r="J73" s="22"/>
      <c r="K73" s="22"/>
      <c r="L73" s="22"/>
      <c r="M73" s="22"/>
      <c r="N73" s="22"/>
      <c r="O73" s="22"/>
      <c r="P73" s="22"/>
      <c r="Q73" s="22"/>
      <c r="R73" s="22"/>
      <c r="S73" s="22">
        <v>74788.705318161999</v>
      </c>
      <c r="T73" s="22">
        <v>84887.557985992593</v>
      </c>
      <c r="U73" s="22">
        <v>77976.9199799169</v>
      </c>
      <c r="V73" s="22">
        <v>84185.834431794996</v>
      </c>
      <c r="W73" s="22">
        <v>82738.199958234807</v>
      </c>
      <c r="X73" s="22">
        <v>87344.279326433694</v>
      </c>
      <c r="Y73" s="22">
        <v>81288.522107237499</v>
      </c>
      <c r="Z73" s="22">
        <v>85140.404854671608</v>
      </c>
      <c r="AA73" s="22">
        <v>82668.859222953513</v>
      </c>
      <c r="AB73" s="22">
        <v>88643.935802651788</v>
      </c>
      <c r="AC73" s="22">
        <v>84507.730177985592</v>
      </c>
      <c r="AD73" s="22">
        <v>87993.096436638589</v>
      </c>
      <c r="AE73" s="22">
        <v>92691.356662038306</v>
      </c>
    </row>
    <row r="74" spans="1:31" x14ac:dyDescent="0.25">
      <c r="A74" s="11" t="s">
        <v>501</v>
      </c>
      <c r="B74" s="11" t="s">
        <v>500</v>
      </c>
      <c r="C74" s="22">
        <v>4303.0980589999999</v>
      </c>
      <c r="D74" s="22">
        <v>4386.4669220000051</v>
      </c>
      <c r="E74" s="22">
        <v>4361.1116939999956</v>
      </c>
      <c r="F74" s="22">
        <v>4355.3907509999954</v>
      </c>
      <c r="G74" s="22">
        <v>4221.4068449999977</v>
      </c>
      <c r="H74" s="22">
        <v>3906.7174780000009</v>
      </c>
      <c r="I74" s="22">
        <v>3802.5909260000017</v>
      </c>
      <c r="J74" s="22">
        <v>3735.9301940000023</v>
      </c>
      <c r="K74" s="22">
        <v>3789.8506930000012</v>
      </c>
      <c r="L74" s="22">
        <v>3771.2603470000026</v>
      </c>
      <c r="M74" s="22">
        <v>3785.3011979999933</v>
      </c>
      <c r="N74" s="22">
        <v>3877.1053630000033</v>
      </c>
      <c r="O74" s="22">
        <v>3852.9439309999962</v>
      </c>
      <c r="P74" s="22">
        <v>3773.9276730000061</v>
      </c>
      <c r="Q74" s="22">
        <v>3836.7712709999992</v>
      </c>
      <c r="R74" s="22">
        <v>3862.6235660000007</v>
      </c>
      <c r="S74" s="22">
        <f t="shared" ref="S74:W74" si="12">S75+S78</f>
        <v>3829.8835049999998</v>
      </c>
      <c r="T74" s="22">
        <f t="shared" si="12"/>
        <v>3618.6369669999904</v>
      </c>
      <c r="U74" s="22">
        <f t="shared" si="12"/>
        <v>3511.2505079999996</v>
      </c>
      <c r="V74" s="22">
        <f t="shared" si="12"/>
        <v>3363.1229589999957</v>
      </c>
      <c r="W74" s="22">
        <f t="shared" si="12"/>
        <v>3468.8039510000012</v>
      </c>
      <c r="X74" s="22">
        <v>3501.6318949999982</v>
      </c>
      <c r="Y74" s="22">
        <v>3487.1614559999975</v>
      </c>
      <c r="Z74" s="22">
        <v>3535.839230999994</v>
      </c>
      <c r="AA74" s="22">
        <v>3565.8051479999981</v>
      </c>
      <c r="AB74" s="22">
        <v>3553.113114999996</v>
      </c>
      <c r="AC74" s="22">
        <v>3525.7074939999975</v>
      </c>
      <c r="AD74" s="22">
        <v>3515.6416270000054</v>
      </c>
      <c r="AE74" s="22">
        <v>3523.569109999994</v>
      </c>
    </row>
    <row r="75" spans="1:31" x14ac:dyDescent="0.25">
      <c r="A75" s="11" t="s">
        <v>499</v>
      </c>
      <c r="B75" s="11" t="s">
        <v>496</v>
      </c>
      <c r="C75" s="22">
        <v>4121.538899705487</v>
      </c>
      <c r="D75" s="22">
        <v>4145.55035711447</v>
      </c>
      <c r="E75" s="22">
        <v>4145.86338096913</v>
      </c>
      <c r="F75" s="22">
        <v>4035.6281221178097</v>
      </c>
      <c r="G75" s="22">
        <v>3991.3369526966803</v>
      </c>
      <c r="H75" s="22">
        <v>3679.5606862725199</v>
      </c>
      <c r="I75" s="22">
        <v>3576.8329704389798</v>
      </c>
      <c r="J75" s="22">
        <v>3521.1071240886395</v>
      </c>
      <c r="K75" s="22">
        <v>3562.0386759173698</v>
      </c>
      <c r="L75" s="22">
        <v>3583.23469806094</v>
      </c>
      <c r="M75" s="22">
        <v>3608.2946626643802</v>
      </c>
      <c r="N75" s="22">
        <v>3731.84344292896</v>
      </c>
      <c r="O75" s="22">
        <v>3732.0328095720802</v>
      </c>
      <c r="P75" s="22">
        <v>3621.52978263664</v>
      </c>
      <c r="Q75" s="22">
        <v>3653.2272295360099</v>
      </c>
      <c r="R75" s="22">
        <v>3665.4029176444301</v>
      </c>
      <c r="S75" s="22">
        <f t="shared" ref="S75:W76" si="13">S82+S89</f>
        <v>3626.5850359743099</v>
      </c>
      <c r="T75" s="22">
        <f t="shared" si="13"/>
        <v>3404.18700593728</v>
      </c>
      <c r="U75" s="22">
        <f t="shared" si="13"/>
        <v>3299.49947025336</v>
      </c>
      <c r="V75" s="22">
        <f t="shared" si="13"/>
        <v>3156.5352466845698</v>
      </c>
      <c r="W75" s="22">
        <f t="shared" si="13"/>
        <v>3276.4716419828801</v>
      </c>
      <c r="X75" s="22">
        <v>3315.75099580293</v>
      </c>
      <c r="Y75" s="22">
        <v>3294.2839873460198</v>
      </c>
      <c r="Z75" s="22">
        <v>3288.3170913141598</v>
      </c>
      <c r="AA75" s="22">
        <v>3358.18929780294</v>
      </c>
      <c r="AB75" s="22">
        <v>3357.6453407055105</v>
      </c>
      <c r="AC75" s="22">
        <v>3336.2972434670701</v>
      </c>
      <c r="AD75" s="22">
        <v>3297.2854393091502</v>
      </c>
      <c r="AE75" s="22">
        <v>3308.8773757694798</v>
      </c>
    </row>
    <row r="76" spans="1:31" x14ac:dyDescent="0.25">
      <c r="A76" s="11" t="s">
        <v>498</v>
      </c>
      <c r="B76" s="11" t="s">
        <v>428</v>
      </c>
      <c r="C76" s="22">
        <v>46691.022735493796</v>
      </c>
      <c r="D76" s="22">
        <v>44747.453208680599</v>
      </c>
      <c r="E76" s="22">
        <v>47665.3861393978</v>
      </c>
      <c r="F76" s="22">
        <v>46535.624495627198</v>
      </c>
      <c r="G76" s="22">
        <v>46208.047486150899</v>
      </c>
      <c r="H76" s="22">
        <v>42164.3376951385</v>
      </c>
      <c r="I76" s="22">
        <v>41047.959455913602</v>
      </c>
      <c r="J76" s="22">
        <v>40441.753844949701</v>
      </c>
      <c r="K76" s="22">
        <v>41152.220727328997</v>
      </c>
      <c r="L76" s="22">
        <v>41497.254318762905</v>
      </c>
      <c r="M76" s="22">
        <v>41929.8534039761</v>
      </c>
      <c r="N76" s="22">
        <v>43880.356168523198</v>
      </c>
      <c r="O76" s="22">
        <v>43777.2529138354</v>
      </c>
      <c r="P76" s="22">
        <v>42224.531080478606</v>
      </c>
      <c r="Q76" s="22">
        <v>42431.747606996098</v>
      </c>
      <c r="R76" s="22">
        <v>42397.2829256611</v>
      </c>
      <c r="S76" s="22">
        <f t="shared" si="13"/>
        <v>41548.049098033007</v>
      </c>
      <c r="T76" s="22">
        <f t="shared" si="13"/>
        <v>38574.340258617398</v>
      </c>
      <c r="U76" s="22">
        <f t="shared" si="13"/>
        <v>36938.227348353699</v>
      </c>
      <c r="V76" s="22">
        <f t="shared" si="13"/>
        <v>34457.171886036602</v>
      </c>
      <c r="W76" s="22">
        <f t="shared" si="13"/>
        <v>35350.854340168698</v>
      </c>
      <c r="X76" s="22">
        <v>35400.551155455702</v>
      </c>
      <c r="Y76" s="22">
        <v>34633.610422980099</v>
      </c>
      <c r="Z76" s="22"/>
      <c r="AA76" s="22">
        <v>34060.1544711811</v>
      </c>
      <c r="AB76" s="22">
        <v>33842.552308907303</v>
      </c>
      <c r="AC76" s="22">
        <v>33296.366127654299</v>
      </c>
      <c r="AD76" s="22">
        <v>27509.632992753199</v>
      </c>
      <c r="AE76" s="22">
        <v>27251.268452883</v>
      </c>
    </row>
    <row r="77" spans="1:31" x14ac:dyDescent="0.25">
      <c r="A77" s="11" t="s">
        <v>497</v>
      </c>
      <c r="B77" s="11" t="s">
        <v>496</v>
      </c>
      <c r="C77" s="15">
        <v>11.328541079359994</v>
      </c>
      <c r="D77" s="15">
        <v>10.794092304749441</v>
      </c>
      <c r="E77" s="15">
        <v>11.49709523912378</v>
      </c>
      <c r="F77" s="15">
        <v>11.531197396653663</v>
      </c>
      <c r="G77" s="15">
        <v>11.577085080459369</v>
      </c>
      <c r="H77" s="15">
        <v>11.459068429674943</v>
      </c>
      <c r="I77" s="15">
        <v>11.476062705515668</v>
      </c>
      <c r="J77" s="15">
        <v>11.485522143952707</v>
      </c>
      <c r="K77" s="15">
        <v>11.552996604319752</v>
      </c>
      <c r="L77" s="15">
        <v>11.580947890803541</v>
      </c>
      <c r="M77" s="15">
        <v>11.620407234983109</v>
      </c>
      <c r="N77" s="15">
        <v>11.758359330873599</v>
      </c>
      <c r="O77" s="15">
        <v>11.730136134268058</v>
      </c>
      <c r="P77" s="15">
        <v>11.659307976127483</v>
      </c>
      <c r="Q77" s="15">
        <v>11.614866785164438</v>
      </c>
      <c r="R77" s="15">
        <v>11.566881971302543</v>
      </c>
      <c r="S77" s="15">
        <f t="shared" ref="S77:W77" si="14">S76/S75</f>
        <v>11.456521406748376</v>
      </c>
      <c r="T77" s="15">
        <f t="shared" si="14"/>
        <v>11.331439839039238</v>
      </c>
      <c r="U77" s="15">
        <f t="shared" si="14"/>
        <v>11.195100251226078</v>
      </c>
      <c r="V77" s="15">
        <f t="shared" si="14"/>
        <v>10.916137217928517</v>
      </c>
      <c r="W77" s="15">
        <f t="shared" si="14"/>
        <v>10.789305754154125</v>
      </c>
      <c r="X77" s="15">
        <v>10.676480592259683</v>
      </c>
      <c r="Y77" s="15">
        <v>10.513243714268253</v>
      </c>
      <c r="Z77" s="22"/>
      <c r="AA77" s="22">
        <v>10.142416478268393</v>
      </c>
      <c r="AB77" s="22">
        <v>10.079251640614396</v>
      </c>
      <c r="AC77" s="22">
        <v>9.9800358594706076</v>
      </c>
      <c r="AD77" s="22">
        <v>8.3431154199731754</v>
      </c>
      <c r="AE77" s="22">
        <v>8.2358048842912215</v>
      </c>
    </row>
    <row r="78" spans="1:31" x14ac:dyDescent="0.25">
      <c r="A78" s="11" t="s">
        <v>495</v>
      </c>
      <c r="B78" s="11" t="s">
        <v>492</v>
      </c>
      <c r="C78" s="22">
        <v>181.55915929451285</v>
      </c>
      <c r="D78" s="22">
        <v>240.91656488553491</v>
      </c>
      <c r="E78" s="22">
        <v>215.24831303086521</v>
      </c>
      <c r="F78" s="22">
        <v>319.76262888218599</v>
      </c>
      <c r="G78" s="22">
        <v>230.06989230331743</v>
      </c>
      <c r="H78" s="22">
        <v>227.15679172748102</v>
      </c>
      <c r="I78" s="22">
        <v>225.7579555610219</v>
      </c>
      <c r="J78" s="22">
        <v>214.82306991136281</v>
      </c>
      <c r="K78" s="22">
        <v>227.81201708263154</v>
      </c>
      <c r="L78" s="22">
        <v>188.02564893906279</v>
      </c>
      <c r="M78" s="22">
        <v>177.00653533561322</v>
      </c>
      <c r="N78" s="22">
        <v>145.26192007104339</v>
      </c>
      <c r="O78" s="22">
        <v>120.9111214279159</v>
      </c>
      <c r="P78" s="22">
        <v>152.39789036336609</v>
      </c>
      <c r="Q78" s="22">
        <v>183.5440414639894</v>
      </c>
      <c r="R78" s="22">
        <v>197.22064835557077</v>
      </c>
      <c r="S78" s="22">
        <f t="shared" ref="S78:W79" si="15">S85+S92</f>
        <v>203.29846902568968</v>
      </c>
      <c r="T78" s="22">
        <f t="shared" si="15"/>
        <v>214.44996106271037</v>
      </c>
      <c r="U78" s="22">
        <f t="shared" si="15"/>
        <v>211.7510377466397</v>
      </c>
      <c r="V78" s="22">
        <f t="shared" si="15"/>
        <v>206.58771231542607</v>
      </c>
      <c r="W78" s="22">
        <f t="shared" si="15"/>
        <v>192.3323090171211</v>
      </c>
      <c r="X78" s="22">
        <v>185.88089919706798</v>
      </c>
      <c r="Y78" s="22">
        <v>192.87746865397759</v>
      </c>
      <c r="Z78" s="22">
        <v>247.52213968583399</v>
      </c>
      <c r="AA78" s="22">
        <v>207.61585019705808</v>
      </c>
      <c r="AB78" s="22">
        <v>195.46777429448548</v>
      </c>
      <c r="AC78" s="22">
        <v>189.41025053292728</v>
      </c>
      <c r="AD78" s="22">
        <v>218.35618769085528</v>
      </c>
      <c r="AE78" s="22">
        <v>214.6917342305141</v>
      </c>
    </row>
    <row r="79" spans="1:31" x14ac:dyDescent="0.25">
      <c r="A79" s="11" t="s">
        <v>494</v>
      </c>
      <c r="B79" s="11" t="s">
        <v>423</v>
      </c>
      <c r="C79" s="22">
        <v>1313.8250500686099</v>
      </c>
      <c r="D79" s="22">
        <v>1605.8464441546539</v>
      </c>
      <c r="E79" s="22">
        <v>1633.3729832262379</v>
      </c>
      <c r="F79" s="22">
        <v>2472.8919653146004</v>
      </c>
      <c r="G79" s="22">
        <v>1781.7093299624539</v>
      </c>
      <c r="H79" s="22">
        <v>1761.5457760415811</v>
      </c>
      <c r="I79" s="22">
        <v>1748.5279306348839</v>
      </c>
      <c r="J79" s="22">
        <v>1671.994010699294</v>
      </c>
      <c r="K79" s="22">
        <v>1750.2479344043222</v>
      </c>
      <c r="L79" s="22">
        <v>1436.360935611599</v>
      </c>
      <c r="M79" s="22">
        <v>1313.173776091041</v>
      </c>
      <c r="N79" s="22">
        <v>995.07181233501296</v>
      </c>
      <c r="O79" s="22">
        <v>758.85554703486696</v>
      </c>
      <c r="P79" s="22">
        <v>1058.340581425146</v>
      </c>
      <c r="Q79" s="22">
        <v>1328.9536446950169</v>
      </c>
      <c r="R79" s="22">
        <v>1410.4462114888802</v>
      </c>
      <c r="S79" s="22">
        <f t="shared" si="15"/>
        <v>1467.4028867796851</v>
      </c>
      <c r="T79" s="22">
        <f t="shared" si="15"/>
        <v>1573.443844622373</v>
      </c>
      <c r="U79" s="22">
        <f t="shared" si="15"/>
        <v>1578.1312155297442</v>
      </c>
      <c r="V79" s="22">
        <f t="shared" si="15"/>
        <v>1542.9334433959102</v>
      </c>
      <c r="W79" s="22">
        <f t="shared" si="15"/>
        <v>1450.6679822533752</v>
      </c>
      <c r="X79" s="22">
        <v>1410.7700970318028</v>
      </c>
      <c r="Y79" s="22">
        <v>1404.3229162548519</v>
      </c>
      <c r="Z79" s="22"/>
      <c r="AA79" s="22">
        <v>1445.6398325242767</v>
      </c>
      <c r="AB79" s="22">
        <v>1369.8278264441199</v>
      </c>
      <c r="AC79" s="22">
        <v>1355.4126070138029</v>
      </c>
      <c r="AD79" s="22">
        <v>1474.2924966764519</v>
      </c>
      <c r="AE79" s="22">
        <v>1434.619748426888</v>
      </c>
    </row>
    <row r="80" spans="1:31" x14ac:dyDescent="0.25">
      <c r="A80" s="11" t="s">
        <v>493</v>
      </c>
      <c r="B80" s="11" t="s">
        <v>492</v>
      </c>
      <c r="C80" s="15">
        <v>7.2363468479021362</v>
      </c>
      <c r="D80" s="15">
        <v>6.6655708996914722</v>
      </c>
      <c r="E80" s="15">
        <v>7.588319556269985</v>
      </c>
      <c r="F80" s="15">
        <v>7.7335240017235343</v>
      </c>
      <c r="G80" s="15">
        <v>7.7442089972098582</v>
      </c>
      <c r="H80" s="15">
        <v>7.7547572434237386</v>
      </c>
      <c r="I80" s="15">
        <v>7.7451442465878486</v>
      </c>
      <c r="J80" s="15">
        <v>7.7831212978623201</v>
      </c>
      <c r="K80" s="15">
        <v>7.6828604426494129</v>
      </c>
      <c r="L80" s="15">
        <v>7.6391755258725844</v>
      </c>
      <c r="M80" s="15">
        <v>7.4187869594825866</v>
      </c>
      <c r="N80" s="15">
        <v>6.8501904136221814</v>
      </c>
      <c r="O80" s="15">
        <v>6.276143485173753</v>
      </c>
      <c r="P80" s="15">
        <v>6.9445881363693296</v>
      </c>
      <c r="Q80" s="15">
        <v>7.2405164128182946</v>
      </c>
      <c r="R80" s="15">
        <v>7.1516153265350528</v>
      </c>
      <c r="S80" s="15">
        <f t="shared" ref="S80:W80" si="16">S79/S78</f>
        <v>7.2179731299120489</v>
      </c>
      <c r="T80" s="15">
        <f t="shared" si="16"/>
        <v>7.3371141539273115</v>
      </c>
      <c r="U80" s="15">
        <f t="shared" si="16"/>
        <v>7.4527673267791945</v>
      </c>
      <c r="V80" s="15">
        <f t="shared" si="16"/>
        <v>7.4686602901149319</v>
      </c>
      <c r="W80" s="15">
        <f t="shared" si="16"/>
        <v>7.5425080147311032</v>
      </c>
      <c r="X80" s="15">
        <v>7.5896453219549302</v>
      </c>
      <c r="Y80" s="15">
        <v>7.2809070237965887</v>
      </c>
      <c r="Z80" s="22"/>
      <c r="AA80" s="22">
        <v>6.9630513814439077</v>
      </c>
      <c r="AB80" s="22">
        <v>7.0079471226821317</v>
      </c>
      <c r="AC80" s="22">
        <v>7.1559622734260442</v>
      </c>
      <c r="AD80" s="22">
        <v>6.75177796547597</v>
      </c>
      <c r="AE80" s="22">
        <v>6.6822309371563398</v>
      </c>
    </row>
    <row r="81" spans="1:31" x14ac:dyDescent="0.25">
      <c r="A81" s="11" t="s">
        <v>491</v>
      </c>
      <c r="B81" s="11" t="s">
        <v>149</v>
      </c>
      <c r="C81" s="22">
        <v>1662.9764240000002</v>
      </c>
      <c r="D81" s="22">
        <v>1745.7261410000049</v>
      </c>
      <c r="E81" s="22">
        <v>1719.576628999996</v>
      </c>
      <c r="F81" s="22">
        <v>1806.8333229999971</v>
      </c>
      <c r="G81" s="22">
        <v>1727.9857879999995</v>
      </c>
      <c r="H81" s="22">
        <v>1498.1719170000001</v>
      </c>
      <c r="I81" s="22">
        <v>1435.8041629999998</v>
      </c>
      <c r="J81" s="22">
        <v>1398.1153119999976</v>
      </c>
      <c r="K81" s="22">
        <v>1492.1845920000007</v>
      </c>
      <c r="L81" s="22">
        <v>1537.9952379999997</v>
      </c>
      <c r="M81" s="22">
        <v>1574.4707559999972</v>
      </c>
      <c r="N81" s="22">
        <v>1708.1487190000028</v>
      </c>
      <c r="O81" s="22">
        <v>1695.4858179999999</v>
      </c>
      <c r="P81" s="22">
        <v>1645.6506140000051</v>
      </c>
      <c r="Q81" s="22">
        <v>1723.8255890000005</v>
      </c>
      <c r="R81" s="22">
        <v>1774.7591370000027</v>
      </c>
      <c r="S81" s="22">
        <f t="shared" ref="S81:W81" si="17">S82+S85</f>
        <v>1774.8731620000035</v>
      </c>
      <c r="T81" s="22">
        <f t="shared" si="17"/>
        <v>1600.8848559999954</v>
      </c>
      <c r="U81" s="22">
        <f t="shared" si="17"/>
        <v>1517.7562569999955</v>
      </c>
      <c r="V81" s="22">
        <f t="shared" si="17"/>
        <v>1452.4052609999949</v>
      </c>
      <c r="W81" s="22">
        <f t="shared" si="17"/>
        <v>1538.6413609999991</v>
      </c>
      <c r="X81" s="22">
        <v>1593.4005899999991</v>
      </c>
      <c r="Y81" s="22">
        <v>1621.2916889999997</v>
      </c>
      <c r="Z81" s="22">
        <v>1661.2788919999971</v>
      </c>
      <c r="AA81" s="22">
        <v>1680.3670609999981</v>
      </c>
      <c r="AB81" s="22">
        <v>1561.9881999999957</v>
      </c>
      <c r="AC81" s="22">
        <v>1544.3271850000003</v>
      </c>
      <c r="AD81" s="22">
        <v>1857.0395680000024</v>
      </c>
      <c r="AE81" s="22">
        <v>1850.3125329999953</v>
      </c>
    </row>
    <row r="82" spans="1:31" x14ac:dyDescent="0.25">
      <c r="A82" s="11" t="s">
        <v>490</v>
      </c>
      <c r="B82" s="11" t="s">
        <v>487</v>
      </c>
      <c r="C82" s="22">
        <v>1614.9286456023835</v>
      </c>
      <c r="D82" s="22">
        <v>1665.68077343818</v>
      </c>
      <c r="E82" s="22">
        <v>1642.2248678598698</v>
      </c>
      <c r="F82" s="22">
        <v>1627.3971825778401</v>
      </c>
      <c r="G82" s="22">
        <v>1634.4809382416101</v>
      </c>
      <c r="H82" s="22">
        <v>1402.22296241044</v>
      </c>
      <c r="I82" s="22">
        <v>1338.8808530359599</v>
      </c>
      <c r="J82" s="22">
        <v>1308.8007533074999</v>
      </c>
      <c r="K82" s="22">
        <v>1401.2302895638102</v>
      </c>
      <c r="L82" s="22">
        <v>1483.56176931445</v>
      </c>
      <c r="M82" s="22">
        <v>1533.02618490859</v>
      </c>
      <c r="N82" s="22">
        <v>1659.6701500340901</v>
      </c>
      <c r="O82" s="22">
        <v>1675.38257239838</v>
      </c>
      <c r="P82" s="22">
        <v>1600.79202967017</v>
      </c>
      <c r="Q82" s="22">
        <v>1669.21394950995</v>
      </c>
      <c r="R82" s="22">
        <v>1708.6150988295099</v>
      </c>
      <c r="S82" s="22">
        <v>1708.2903102237799</v>
      </c>
      <c r="T82" s="22">
        <v>1531.85367529259</v>
      </c>
      <c r="U82" s="22">
        <v>1453.3817387654399</v>
      </c>
      <c r="V82" s="22">
        <v>1384.9989149201099</v>
      </c>
      <c r="W82" s="22">
        <v>1477.70457965121</v>
      </c>
      <c r="X82" s="22">
        <v>1537.05578553032</v>
      </c>
      <c r="Y82" s="22">
        <v>1549.12673506384</v>
      </c>
      <c r="Z82" s="22">
        <v>1568.81530809319</v>
      </c>
      <c r="AA82" s="22">
        <v>1624.54638055743</v>
      </c>
      <c r="AB82" s="22">
        <v>1503.2935874742802</v>
      </c>
      <c r="AC82" s="22">
        <v>1511.1405421710999</v>
      </c>
      <c r="AD82" s="22">
        <v>1798.5169888606301</v>
      </c>
      <c r="AE82" s="22">
        <v>1794.44822962086</v>
      </c>
    </row>
    <row r="83" spans="1:31" x14ac:dyDescent="0.25">
      <c r="A83" s="11" t="s">
        <v>489</v>
      </c>
      <c r="B83" s="11" t="s">
        <v>386</v>
      </c>
      <c r="C83" s="22">
        <v>20669.641475729699</v>
      </c>
      <c r="D83" s="22">
        <v>21164.017118274503</v>
      </c>
      <c r="E83" s="22">
        <v>21196.318325125598</v>
      </c>
      <c r="F83" s="22">
        <v>20991.4415836921</v>
      </c>
      <c r="G83" s="22">
        <v>21093.4260037001</v>
      </c>
      <c r="H83" s="22">
        <v>17920.213044802698</v>
      </c>
      <c r="I83" s="22">
        <v>16817.047453237301</v>
      </c>
      <c r="J83" s="22">
        <v>16646.461675445102</v>
      </c>
      <c r="K83" s="22">
        <v>17838.3558166205</v>
      </c>
      <c r="L83" s="22">
        <v>18893.977020975301</v>
      </c>
      <c r="M83" s="22">
        <v>19437.854507957698</v>
      </c>
      <c r="N83" s="22">
        <v>21227.5014977643</v>
      </c>
      <c r="O83" s="22">
        <v>21065.005554827098</v>
      </c>
      <c r="P83" s="22">
        <v>20091.955281199404</v>
      </c>
      <c r="Q83" s="22">
        <v>20627.306806409899</v>
      </c>
      <c r="R83" s="22">
        <v>20917.0546218932</v>
      </c>
      <c r="S83" s="22">
        <v>20536.930016385602</v>
      </c>
      <c r="T83" s="22">
        <v>18009.2432882717</v>
      </c>
      <c r="U83" s="22">
        <v>16739.455025973599</v>
      </c>
      <c r="V83" s="22">
        <v>15263.061329191602</v>
      </c>
      <c r="W83" s="22">
        <v>15821.192210586099</v>
      </c>
      <c r="X83" s="22">
        <v>16176.399118032101</v>
      </c>
      <c r="Y83" s="22">
        <v>15982.940404182</v>
      </c>
      <c r="Z83" s="22"/>
      <c r="AA83" s="22">
        <v>16003.142719273199</v>
      </c>
      <c r="AB83" s="22">
        <v>14596.7325693242</v>
      </c>
      <c r="AC83" s="22">
        <v>14395.434701500501</v>
      </c>
      <c r="AD83" s="22">
        <v>11949.102695281499</v>
      </c>
      <c r="AE83" s="22">
        <v>11888.5050501896</v>
      </c>
    </row>
    <row r="84" spans="1:31" x14ac:dyDescent="0.25">
      <c r="A84" s="11" t="s">
        <v>488</v>
      </c>
      <c r="B84" s="11" t="s">
        <v>487</v>
      </c>
      <c r="C84" s="23">
        <v>12.799105107222696</v>
      </c>
      <c r="D84" s="23">
        <v>12.705926282975124</v>
      </c>
      <c r="E84" s="23">
        <v>12.907074262459815</v>
      </c>
      <c r="F84" s="23">
        <v>12.898782060345651</v>
      </c>
      <c r="G84" s="23">
        <v>12.905275008219187</v>
      </c>
      <c r="H84" s="23">
        <v>12.77985992612588</v>
      </c>
      <c r="I84" s="23">
        <v>12.560525766802959</v>
      </c>
      <c r="J84" s="23">
        <v>12.71886620891488</v>
      </c>
      <c r="K84" s="23">
        <v>12.730495443524427</v>
      </c>
      <c r="L84" s="23">
        <v>12.73555130077675</v>
      </c>
      <c r="M84" s="23">
        <v>12.67940149966631</v>
      </c>
      <c r="N84" s="23">
        <v>12.790192977398721</v>
      </c>
      <c r="O84" s="23">
        <v>12.57325097077479</v>
      </c>
      <c r="P84" s="23">
        <v>12.551258944823198</v>
      </c>
      <c r="Q84" s="23">
        <v>12.357497259393076</v>
      </c>
      <c r="R84" s="23">
        <v>12.242110371272306</v>
      </c>
      <c r="S84" s="23">
        <v>12.0219203337256</v>
      </c>
      <c r="T84" s="23">
        <v>11.7565036261259</v>
      </c>
      <c r="U84" s="23">
        <v>11.517590031228</v>
      </c>
      <c r="V84" s="23">
        <v>11.020269521346201</v>
      </c>
      <c r="W84" s="23">
        <v>10.7066002423302</v>
      </c>
      <c r="X84" s="23">
        <v>10.524275872297547</v>
      </c>
      <c r="Y84" s="23">
        <v>10.317387236573216</v>
      </c>
      <c r="Z84" s="22"/>
      <c r="AA84" s="22">
        <v>9.8508376927853831</v>
      </c>
      <c r="AB84" s="22">
        <v>9.7098349191048712</v>
      </c>
      <c r="AC84" s="22">
        <v>9.5262050747564206</v>
      </c>
      <c r="AD84" s="22">
        <v>6.6438642333044173</v>
      </c>
      <c r="AE84" s="22">
        <v>6.6251591179654499</v>
      </c>
    </row>
    <row r="85" spans="1:31" x14ac:dyDescent="0.25">
      <c r="A85" s="11" t="s">
        <v>486</v>
      </c>
      <c r="B85" s="11" t="s">
        <v>483</v>
      </c>
      <c r="C85" s="22">
        <v>48.047778397616604</v>
      </c>
      <c r="D85" s="22">
        <v>80.045367561824904</v>
      </c>
      <c r="E85" s="22">
        <v>77.3517611401262</v>
      </c>
      <c r="F85" s="22">
        <v>179.436140422157</v>
      </c>
      <c r="G85" s="22">
        <v>93.504849758389398</v>
      </c>
      <c r="H85" s="22">
        <v>95.948954589560003</v>
      </c>
      <c r="I85" s="22">
        <v>96.923309964039902</v>
      </c>
      <c r="J85" s="22">
        <v>89.314558692497798</v>
      </c>
      <c r="K85" s="22">
        <v>90.954302436190503</v>
      </c>
      <c r="L85" s="22">
        <v>54.433468685549805</v>
      </c>
      <c r="M85" s="22">
        <v>41.444571091407205</v>
      </c>
      <c r="N85" s="22">
        <v>48.4785689659128</v>
      </c>
      <c r="O85" s="22">
        <v>20.1032456016199</v>
      </c>
      <c r="P85" s="22">
        <v>44.858584329835104</v>
      </c>
      <c r="Q85" s="22">
        <v>54.611639490050401</v>
      </c>
      <c r="R85" s="22">
        <v>66.144038170492792</v>
      </c>
      <c r="S85" s="22">
        <v>66.582851776223691</v>
      </c>
      <c r="T85" s="22">
        <v>69.031180707405397</v>
      </c>
      <c r="U85" s="22">
        <v>64.374518234555694</v>
      </c>
      <c r="V85" s="22">
        <v>67.406346079885097</v>
      </c>
      <c r="W85" s="22">
        <v>60.936781348789104</v>
      </c>
      <c r="X85" s="22">
        <v>56.344804469678998</v>
      </c>
      <c r="Y85" s="22">
        <v>72.164953936159591</v>
      </c>
      <c r="Z85" s="22">
        <v>92.463583906807003</v>
      </c>
      <c r="AA85" s="22">
        <v>55.820680442568104</v>
      </c>
      <c r="AB85" s="22">
        <v>58.694612525715499</v>
      </c>
      <c r="AC85" s="22">
        <v>33.186642828900297</v>
      </c>
      <c r="AD85" s="22">
        <v>58.522579139372297</v>
      </c>
      <c r="AE85" s="22">
        <v>55.864303379135102</v>
      </c>
    </row>
    <row r="86" spans="1:31" x14ac:dyDescent="0.25">
      <c r="A86" s="11" t="s">
        <v>485</v>
      </c>
      <c r="B86" s="11" t="s">
        <v>386</v>
      </c>
      <c r="C86" s="22">
        <v>386.50114156468601</v>
      </c>
      <c r="D86" s="22">
        <v>660.099760671627</v>
      </c>
      <c r="E86" s="22">
        <v>665.58724131487702</v>
      </c>
      <c r="F86" s="22">
        <v>1457.1679177114602</v>
      </c>
      <c r="G86" s="22">
        <v>790.87359745357003</v>
      </c>
      <c r="H86" s="22">
        <v>809.18378675109511</v>
      </c>
      <c r="I86" s="22">
        <v>805.37514164194909</v>
      </c>
      <c r="J86" s="22">
        <v>756.56135477149405</v>
      </c>
      <c r="K86" s="22">
        <v>771.08960858106809</v>
      </c>
      <c r="L86" s="22">
        <v>471.94045068683795</v>
      </c>
      <c r="M86" s="22">
        <v>348.24231059475898</v>
      </c>
      <c r="N86" s="22">
        <v>416.89446589141102</v>
      </c>
      <c r="O86" s="22">
        <v>151.81590259823798</v>
      </c>
      <c r="P86" s="22">
        <v>394.26582334515501</v>
      </c>
      <c r="Q86" s="22">
        <v>476.636619460921</v>
      </c>
      <c r="R86" s="22">
        <v>548.38104884349298</v>
      </c>
      <c r="S86" s="22">
        <v>555.50534821628196</v>
      </c>
      <c r="T86" s="22">
        <v>565.89825886528297</v>
      </c>
      <c r="U86" s="22">
        <v>542.56228075182401</v>
      </c>
      <c r="V86" s="22">
        <v>559.40747440686505</v>
      </c>
      <c r="W86" s="22">
        <v>514.482123807275</v>
      </c>
      <c r="X86" s="22">
        <v>489.75516531621201</v>
      </c>
      <c r="Y86" s="22">
        <v>538.05567106893102</v>
      </c>
      <c r="Z86" s="22"/>
      <c r="AA86" s="22">
        <v>332.073312713787</v>
      </c>
      <c r="AB86" s="22">
        <v>343.29706196642002</v>
      </c>
      <c r="AC86" s="22">
        <v>202.154962036873</v>
      </c>
      <c r="AD86" s="22">
        <v>249.69251022071199</v>
      </c>
      <c r="AE86" s="22">
        <v>240.410517560438</v>
      </c>
    </row>
    <row r="87" spans="1:31" x14ac:dyDescent="0.25">
      <c r="A87" s="11" t="s">
        <v>484</v>
      </c>
      <c r="B87" s="11" t="s">
        <v>483</v>
      </c>
      <c r="C87" s="23">
        <v>8.0441001531063154</v>
      </c>
      <c r="D87" s="23">
        <v>8.2465704234762072</v>
      </c>
      <c r="E87" s="23">
        <v>8.6046811540481372</v>
      </c>
      <c r="F87" s="23">
        <v>8.1208162095060725</v>
      </c>
      <c r="G87" s="23">
        <v>8.4581024352976044</v>
      </c>
      <c r="H87" s="23">
        <v>8.4334820552504546</v>
      </c>
      <c r="I87" s="23">
        <v>8.309406085499516</v>
      </c>
      <c r="J87" s="23">
        <v>8.4707506351374189</v>
      </c>
      <c r="K87" s="23">
        <v>8.4777694724450257</v>
      </c>
      <c r="L87" s="23">
        <v>8.6700418342460281</v>
      </c>
      <c r="M87" s="23">
        <v>8.402603801272317</v>
      </c>
      <c r="N87" s="23">
        <v>8.5995621319710569</v>
      </c>
      <c r="O87" s="23">
        <v>7.551810568637972</v>
      </c>
      <c r="P87" s="23">
        <v>8.7890830536738935</v>
      </c>
      <c r="Q87" s="23">
        <v>8.7277478557983699</v>
      </c>
      <c r="R87" s="23">
        <v>8.2907101533472556</v>
      </c>
      <c r="S87" s="23">
        <v>8.3430693248655494</v>
      </c>
      <c r="T87" s="23">
        <v>8.1977195387094994</v>
      </c>
      <c r="U87" s="23">
        <v>8.4282150085370393</v>
      </c>
      <c r="V87" s="23">
        <v>8.2990327608604701</v>
      </c>
      <c r="W87" s="23">
        <v>8.4428831392076393</v>
      </c>
      <c r="X87" s="23">
        <v>8.6921087032925186</v>
      </c>
      <c r="Y87" s="23">
        <v>7.4559137326536593</v>
      </c>
      <c r="Z87" s="22"/>
      <c r="AA87" s="22">
        <v>5.948929860420554</v>
      </c>
      <c r="AB87" s="22">
        <v>5.848868357654009</v>
      </c>
      <c r="AC87" s="22">
        <v>6.0914556220440632</v>
      </c>
      <c r="AD87" s="22">
        <v>4.2666012655741978</v>
      </c>
      <c r="AE87" s="22">
        <v>4.3034729338490152</v>
      </c>
    </row>
    <row r="88" spans="1:31" x14ac:dyDescent="0.25">
      <c r="A88" s="11" t="s">
        <v>482</v>
      </c>
      <c r="B88" s="11" t="s">
        <v>148</v>
      </c>
      <c r="C88" s="22">
        <v>2640.121635</v>
      </c>
      <c r="D88" s="22">
        <v>2640.740781</v>
      </c>
      <c r="E88" s="22">
        <v>2641.5350649999991</v>
      </c>
      <c r="F88" s="22">
        <v>2548.5574279999987</v>
      </c>
      <c r="G88" s="22">
        <v>2493.4210569999982</v>
      </c>
      <c r="H88" s="22">
        <v>2408.5455610000013</v>
      </c>
      <c r="I88" s="22">
        <v>2366.7867630000019</v>
      </c>
      <c r="J88" s="22">
        <v>2337.8148820000047</v>
      </c>
      <c r="K88" s="22">
        <v>2297.6661010000007</v>
      </c>
      <c r="L88" s="22">
        <v>2233.2651090000031</v>
      </c>
      <c r="M88" s="22">
        <v>2210.8304419999963</v>
      </c>
      <c r="N88" s="22">
        <v>2168.9566440000008</v>
      </c>
      <c r="O88" s="22">
        <v>2157.458112999996</v>
      </c>
      <c r="P88" s="22">
        <v>2128.2770590000009</v>
      </c>
      <c r="Q88" s="22">
        <v>2112.9456819999991</v>
      </c>
      <c r="R88" s="22">
        <v>2087.8644289999979</v>
      </c>
      <c r="S88" s="22">
        <f t="shared" ref="S88:W88" si="18">S89+S92</f>
        <v>2055.0103429999958</v>
      </c>
      <c r="T88" s="22">
        <f t="shared" si="18"/>
        <v>2017.752110999995</v>
      </c>
      <c r="U88" s="22">
        <f t="shared" si="18"/>
        <v>1993.4942510000042</v>
      </c>
      <c r="V88" s="22">
        <f t="shared" si="18"/>
        <v>1910.7176980000011</v>
      </c>
      <c r="W88" s="22">
        <f t="shared" si="18"/>
        <v>1930.1625900000022</v>
      </c>
      <c r="X88" s="22">
        <v>1908.2313049999989</v>
      </c>
      <c r="Y88" s="22">
        <v>1865.8697669999981</v>
      </c>
      <c r="Z88" s="22">
        <v>1874.5603389999969</v>
      </c>
      <c r="AA88" s="22">
        <v>1885.438087</v>
      </c>
      <c r="AB88" s="22">
        <v>1991.1249150000001</v>
      </c>
      <c r="AC88" s="22">
        <v>1981.3803089999969</v>
      </c>
      <c r="AD88" s="22">
        <v>1658.6020590000028</v>
      </c>
      <c r="AE88" s="22">
        <v>1673.2565769999987</v>
      </c>
    </row>
    <row r="89" spans="1:31" x14ac:dyDescent="0.25">
      <c r="A89" s="11" t="s">
        <v>481</v>
      </c>
      <c r="B89" s="11" t="s">
        <v>478</v>
      </c>
      <c r="C89" s="22">
        <v>2506.6102541031037</v>
      </c>
      <c r="D89" s="22">
        <v>2479.8695836762899</v>
      </c>
      <c r="E89" s="22">
        <v>2503.6385131092602</v>
      </c>
      <c r="F89" s="22">
        <v>2408.2309395399698</v>
      </c>
      <c r="G89" s="22">
        <v>2356.8560144550702</v>
      </c>
      <c r="H89" s="22">
        <v>2277.3377238620801</v>
      </c>
      <c r="I89" s="22">
        <v>2237.9521174030201</v>
      </c>
      <c r="J89" s="22">
        <v>2212.3063707811398</v>
      </c>
      <c r="K89" s="22">
        <v>2160.8083863535599</v>
      </c>
      <c r="L89" s="22">
        <v>2099.67292874649</v>
      </c>
      <c r="M89" s="22">
        <v>2075.2684777557902</v>
      </c>
      <c r="N89" s="22">
        <v>2072.17329289487</v>
      </c>
      <c r="O89" s="22">
        <v>2056.6502371737001</v>
      </c>
      <c r="P89" s="22">
        <v>2020.73775296647</v>
      </c>
      <c r="Q89" s="22">
        <v>1984.0132800260601</v>
      </c>
      <c r="R89" s="22">
        <v>1956.78781881492</v>
      </c>
      <c r="S89" s="22">
        <v>1918.29472575053</v>
      </c>
      <c r="T89" s="22">
        <v>1872.33333064469</v>
      </c>
      <c r="U89" s="22">
        <v>1846.1177314879201</v>
      </c>
      <c r="V89" s="22">
        <v>1771.5363317644601</v>
      </c>
      <c r="W89" s="22">
        <v>1798.7670623316701</v>
      </c>
      <c r="X89" s="22">
        <v>1778.69521027261</v>
      </c>
      <c r="Y89" s="22">
        <v>1745.15725228218</v>
      </c>
      <c r="Z89" s="22">
        <v>1719.5017832209699</v>
      </c>
      <c r="AA89" s="22">
        <v>1733.64291724551</v>
      </c>
      <c r="AB89" s="22">
        <v>1854.3517532312301</v>
      </c>
      <c r="AC89" s="22">
        <v>1825.1567012959699</v>
      </c>
      <c r="AD89" s="22">
        <v>1498.7684504485198</v>
      </c>
      <c r="AE89" s="22">
        <v>1514.4291461486198</v>
      </c>
    </row>
    <row r="90" spans="1:31" x14ac:dyDescent="0.25">
      <c r="A90" s="11" t="s">
        <v>480</v>
      </c>
      <c r="B90" s="11" t="s">
        <v>386</v>
      </c>
      <c r="C90" s="22">
        <v>26021.381259764101</v>
      </c>
      <c r="D90" s="22">
        <v>23583.4360904061</v>
      </c>
      <c r="E90" s="22">
        <v>26469.067814272203</v>
      </c>
      <c r="F90" s="22">
        <v>25544.182911935102</v>
      </c>
      <c r="G90" s="22">
        <v>25114.621482450802</v>
      </c>
      <c r="H90" s="22">
        <v>24244.124650335802</v>
      </c>
      <c r="I90" s="22">
        <v>24230.912002676301</v>
      </c>
      <c r="J90" s="22">
        <v>23795.292169504599</v>
      </c>
      <c r="K90" s="22">
        <v>23313.8649107085</v>
      </c>
      <c r="L90" s="22">
        <v>22603.277297787601</v>
      </c>
      <c r="M90" s="22">
        <v>22491.998896018398</v>
      </c>
      <c r="N90" s="22">
        <v>22652.854670758901</v>
      </c>
      <c r="O90" s="22">
        <v>22712.247359008299</v>
      </c>
      <c r="P90" s="22">
        <v>22132.575799279202</v>
      </c>
      <c r="Q90" s="22">
        <v>21804.440800586202</v>
      </c>
      <c r="R90" s="22">
        <v>21480.228303767897</v>
      </c>
      <c r="S90" s="22">
        <v>21011.119081647401</v>
      </c>
      <c r="T90" s="22">
        <v>20565.096970345698</v>
      </c>
      <c r="U90" s="22">
        <v>20198.7723223801</v>
      </c>
      <c r="V90" s="22">
        <v>19194.110556845</v>
      </c>
      <c r="W90" s="22">
        <v>19529.662129582601</v>
      </c>
      <c r="X90" s="22">
        <v>19224.152037423599</v>
      </c>
      <c r="Y90" s="22">
        <v>18650.670018798101</v>
      </c>
      <c r="Z90" s="22"/>
      <c r="AA90" s="22">
        <v>18057.011751907903</v>
      </c>
      <c r="AB90" s="22">
        <v>19245.819739583101</v>
      </c>
      <c r="AC90" s="22">
        <v>18900.931426153802</v>
      </c>
      <c r="AD90" s="22">
        <v>15560.530297471701</v>
      </c>
      <c r="AE90" s="22">
        <v>15362.763402693399</v>
      </c>
    </row>
    <row r="91" spans="1:31" x14ac:dyDescent="0.25">
      <c r="A91" s="11" t="s">
        <v>479</v>
      </c>
      <c r="B91" s="11" t="s">
        <v>478</v>
      </c>
      <c r="C91" s="23">
        <v>10.381103810282973</v>
      </c>
      <c r="D91" s="23">
        <v>9.5099501383636333</v>
      </c>
      <c r="E91" s="23">
        <v>10.572240231837766</v>
      </c>
      <c r="F91" s="23">
        <v>10.607032113296682</v>
      </c>
      <c r="G91" s="23">
        <v>10.65598463733796</v>
      </c>
      <c r="H91" s="23">
        <v>10.645818754199002</v>
      </c>
      <c r="I91" s="23">
        <v>10.827270080646096</v>
      </c>
      <c r="J91" s="23">
        <v>10.755875625446379</v>
      </c>
      <c r="K91" s="23">
        <v>10.789418005754534</v>
      </c>
      <c r="L91" s="23">
        <v>10.7651420315648</v>
      </c>
      <c r="M91" s="23">
        <v>10.838115230440643</v>
      </c>
      <c r="N91" s="23">
        <v>10.931930620103874</v>
      </c>
      <c r="O91" s="23">
        <v>11.043320321796687</v>
      </c>
      <c r="P91" s="23">
        <v>10.952720493685183</v>
      </c>
      <c r="Q91" s="23">
        <v>10.99006796985744</v>
      </c>
      <c r="R91" s="23">
        <v>10.977290484553846</v>
      </c>
      <c r="S91" s="23">
        <v>10.953019262161</v>
      </c>
      <c r="T91" s="23">
        <v>10.9836729570287</v>
      </c>
      <c r="U91" s="23">
        <v>10.9412157078956</v>
      </c>
      <c r="V91" s="23">
        <v>10.834725888871599</v>
      </c>
      <c r="W91" s="23">
        <v>10.857249133896801</v>
      </c>
      <c r="X91" s="23">
        <v>10.808007986077181</v>
      </c>
      <c r="Y91" s="23">
        <v>10.687099970164988</v>
      </c>
      <c r="Z91" s="22"/>
      <c r="AA91" s="22">
        <v>10.415646481916644</v>
      </c>
      <c r="AB91" s="22">
        <v>10.378731923998254</v>
      </c>
      <c r="AC91" s="22">
        <v>10.35578556774496</v>
      </c>
      <c r="AD91" s="22">
        <v>10.382211003184031</v>
      </c>
      <c r="AE91" s="22">
        <v>10.144260259228901</v>
      </c>
    </row>
    <row r="92" spans="1:31" x14ac:dyDescent="0.25">
      <c r="A92" s="11" t="s">
        <v>477</v>
      </c>
      <c r="B92" s="11" t="s">
        <v>474</v>
      </c>
      <c r="C92" s="22">
        <v>133.51138089689624</v>
      </c>
      <c r="D92" s="22">
        <v>160.87119732370999</v>
      </c>
      <c r="E92" s="22">
        <v>137.896551890739</v>
      </c>
      <c r="F92" s="22">
        <v>140.326488460029</v>
      </c>
      <c r="G92" s="22">
        <v>136.56504254492802</v>
      </c>
      <c r="H92" s="22">
        <v>131.20783713792102</v>
      </c>
      <c r="I92" s="22">
        <v>128.834645596982</v>
      </c>
      <c r="J92" s="22">
        <v>125.50851121886501</v>
      </c>
      <c r="K92" s="22">
        <v>136.85771464644102</v>
      </c>
      <c r="L92" s="22">
        <v>133.59218025351299</v>
      </c>
      <c r="M92" s="22">
        <v>135.56196424420602</v>
      </c>
      <c r="N92" s="22">
        <v>96.783351105130592</v>
      </c>
      <c r="O92" s="22">
        <v>100.807875826296</v>
      </c>
      <c r="P92" s="22">
        <v>107.53930603353099</v>
      </c>
      <c r="Q92" s="22">
        <v>128.93240197393899</v>
      </c>
      <c r="R92" s="22">
        <v>131.07661018507798</v>
      </c>
      <c r="S92" s="22">
        <v>136.71561724946599</v>
      </c>
      <c r="T92" s="22">
        <v>145.41878035530499</v>
      </c>
      <c r="U92" s="22">
        <v>147.376519512084</v>
      </c>
      <c r="V92" s="22">
        <v>139.18136623554099</v>
      </c>
      <c r="W92" s="22">
        <v>131.39552766833199</v>
      </c>
      <c r="X92" s="22">
        <v>129.53609472738898</v>
      </c>
      <c r="Y92" s="22">
        <v>120.71251471781801</v>
      </c>
      <c r="Z92" s="22">
        <v>155.05855577902699</v>
      </c>
      <c r="AA92" s="22">
        <v>151.79516975448999</v>
      </c>
      <c r="AB92" s="22">
        <v>136.77316176877</v>
      </c>
      <c r="AC92" s="22">
        <v>156.22360770402699</v>
      </c>
      <c r="AD92" s="22">
        <v>159.833608551483</v>
      </c>
      <c r="AE92" s="22">
        <v>158.82743085137901</v>
      </c>
    </row>
    <row r="93" spans="1:31" x14ac:dyDescent="0.25">
      <c r="A93" s="11" t="s">
        <v>476</v>
      </c>
      <c r="B93" s="11" t="s">
        <v>386</v>
      </c>
      <c r="C93" s="22">
        <v>927.32390850392403</v>
      </c>
      <c r="D93" s="22">
        <v>945.74668348302703</v>
      </c>
      <c r="E93" s="22">
        <v>967.78574191136101</v>
      </c>
      <c r="F93" s="22">
        <v>1015.72404760314</v>
      </c>
      <c r="G93" s="22">
        <v>990.83573250888401</v>
      </c>
      <c r="H93" s="22">
        <v>952.36198929048601</v>
      </c>
      <c r="I93" s="22">
        <v>943.15278899293492</v>
      </c>
      <c r="J93" s="22">
        <v>915.43265592780006</v>
      </c>
      <c r="K93" s="22">
        <v>979.15832582325402</v>
      </c>
      <c r="L93" s="22">
        <v>964.42048492476101</v>
      </c>
      <c r="M93" s="22">
        <v>964.93146549628193</v>
      </c>
      <c r="N93" s="22">
        <v>578.177346443602</v>
      </c>
      <c r="O93" s="22">
        <v>607.03964443662903</v>
      </c>
      <c r="P93" s="22">
        <v>664.07475807999094</v>
      </c>
      <c r="Q93" s="22">
        <v>852.31702523409604</v>
      </c>
      <c r="R93" s="22">
        <v>862.06516264538709</v>
      </c>
      <c r="S93" s="22">
        <v>911.89753856340303</v>
      </c>
      <c r="T93" s="22">
        <v>1007.54558575709</v>
      </c>
      <c r="U93" s="22">
        <v>1035.56893477792</v>
      </c>
      <c r="V93" s="22">
        <v>983.52596898904505</v>
      </c>
      <c r="W93" s="22">
        <v>936.18585844610004</v>
      </c>
      <c r="X93" s="22">
        <v>921.01493171559093</v>
      </c>
      <c r="Y93" s="22">
        <v>866.26724518592096</v>
      </c>
      <c r="Z93" s="22"/>
      <c r="AA93" s="22">
        <v>1113.5665198104898</v>
      </c>
      <c r="AB93" s="22">
        <v>1026.5307644776999</v>
      </c>
      <c r="AC93" s="22">
        <v>1153.2576449769299</v>
      </c>
      <c r="AD93" s="22">
        <v>1224.59998645574</v>
      </c>
      <c r="AE93" s="22">
        <v>1194.2092308664501</v>
      </c>
    </row>
    <row r="94" spans="1:31" x14ac:dyDescent="0.25">
      <c r="A94" s="11" t="s">
        <v>475</v>
      </c>
      <c r="B94" s="11" t="s">
        <v>474</v>
      </c>
      <c r="C94" s="23">
        <v>6.9456543874716354</v>
      </c>
      <c r="D94" s="23">
        <v>5.8789062257053155</v>
      </c>
      <c r="E94" s="23">
        <v>7.0182011706730467</v>
      </c>
      <c r="F94" s="23">
        <v>7.2382916350996824</v>
      </c>
      <c r="G94" s="23">
        <v>7.2554126154422915</v>
      </c>
      <c r="H94" s="23">
        <v>7.2584230489936123</v>
      </c>
      <c r="I94" s="23">
        <v>7.3206456588027331</v>
      </c>
      <c r="J94" s="23">
        <v>7.2937894572858468</v>
      </c>
      <c r="K94" s="23">
        <v>7.1545716538729076</v>
      </c>
      <c r="L94" s="23">
        <v>7.2191387482007974</v>
      </c>
      <c r="M94" s="23">
        <v>7.1180103569318378</v>
      </c>
      <c r="N94" s="23">
        <v>5.9739339446467277</v>
      </c>
      <c r="O94" s="23">
        <v>6.0217481963674224</v>
      </c>
      <c r="P94" s="23">
        <v>6.1751817319048996</v>
      </c>
      <c r="Q94" s="23">
        <v>6.6105727666996712</v>
      </c>
      <c r="R94" s="23">
        <v>6.5768039120645971</v>
      </c>
      <c r="S94" s="23">
        <v>6.67003197520188</v>
      </c>
      <c r="T94" s="23">
        <v>6.9285795362560902</v>
      </c>
      <c r="U94" s="23">
        <v>7.0266887710902299</v>
      </c>
      <c r="V94" s="23">
        <v>7.0665060675190903</v>
      </c>
      <c r="W94" s="23">
        <v>7.1249446237562601</v>
      </c>
      <c r="X94" s="23">
        <v>7.1101026602190167</v>
      </c>
      <c r="Y94" s="23">
        <v>7.1762836455767571</v>
      </c>
      <c r="Z94" s="22"/>
      <c r="AA94" s="22">
        <v>7.3359812542885692</v>
      </c>
      <c r="AB94" s="22">
        <v>7.505352301595269</v>
      </c>
      <c r="AC94" s="22">
        <v>7.3820958427860086</v>
      </c>
      <c r="AD94" s="22">
        <v>7.6617176922542658</v>
      </c>
      <c r="AE94" s="22">
        <v>7.5189104581306108</v>
      </c>
    </row>
    <row r="95" spans="1:31" x14ac:dyDescent="0.25">
      <c r="A95" s="11" t="s">
        <v>473</v>
      </c>
      <c r="B95" s="11" t="s">
        <v>472</v>
      </c>
      <c r="C95" s="22"/>
      <c r="D95" s="22"/>
      <c r="E95" s="22"/>
      <c r="F95" s="22"/>
      <c r="G95" s="22">
        <v>610.57980969407743</v>
      </c>
      <c r="H95" s="22"/>
      <c r="I95" s="22"/>
      <c r="J95" s="22"/>
      <c r="K95" s="22"/>
      <c r="L95" s="22"/>
      <c r="M95" s="22"/>
      <c r="N95" s="22"/>
      <c r="O95" s="22"/>
      <c r="P95" s="22"/>
      <c r="Q95" s="22"/>
      <c r="R95" s="22"/>
      <c r="S95" s="22">
        <v>610.57980969407743</v>
      </c>
      <c r="T95" s="22">
        <v>605.08183737773447</v>
      </c>
      <c r="U95" s="22">
        <v>599.48863625924821</v>
      </c>
      <c r="V95" s="22">
        <v>594.0115685447696</v>
      </c>
      <c r="W95" s="22">
        <v>588.59242211280878</v>
      </c>
      <c r="X95" s="22">
        <v>583.18812482891531</v>
      </c>
      <c r="Y95" s="22">
        <v>582.09781690686998</v>
      </c>
      <c r="Z95" s="22">
        <v>571.06841439975187</v>
      </c>
      <c r="AA95" s="22">
        <v>566.14767166654963</v>
      </c>
      <c r="AB95" s="22">
        <v>559.62144768833946</v>
      </c>
      <c r="AC95" s="22">
        <v>553.55826503433036</v>
      </c>
      <c r="AD95" s="22">
        <v>546.91003411263193</v>
      </c>
      <c r="AE95" s="22">
        <v>540.41119972188756</v>
      </c>
    </row>
    <row r="96" spans="1:31" x14ac:dyDescent="0.25">
      <c r="A96" s="11" t="s">
        <v>471</v>
      </c>
      <c r="B96" s="11" t="s">
        <v>470</v>
      </c>
      <c r="C96" s="22"/>
      <c r="D96" s="22"/>
      <c r="E96" s="22"/>
      <c r="F96" s="22"/>
      <c r="G96" s="22">
        <v>1204.5533694801816</v>
      </c>
      <c r="H96" s="22"/>
      <c r="I96" s="22"/>
      <c r="J96" s="22"/>
      <c r="K96" s="22"/>
      <c r="L96" s="22"/>
      <c r="M96" s="22"/>
      <c r="N96" s="22"/>
      <c r="O96" s="22"/>
      <c r="P96" s="22"/>
      <c r="Q96" s="22"/>
      <c r="R96" s="22"/>
      <c r="S96" s="22">
        <v>1204.5533694801816</v>
      </c>
      <c r="T96" s="22">
        <v>1116.4905970046493</v>
      </c>
      <c r="U96" s="22">
        <v>1049.7747721579724</v>
      </c>
      <c r="V96" s="22">
        <v>1086.1122937993739</v>
      </c>
      <c r="W96" s="22">
        <v>1104.7713025714379</v>
      </c>
      <c r="X96" s="22">
        <v>1095.2619452255649</v>
      </c>
      <c r="Y96" s="22">
        <v>1105.1210991075218</v>
      </c>
      <c r="Z96" s="22">
        <v>1122.2111581943884</v>
      </c>
      <c r="AA96" s="22">
        <v>1152.4311102708414</v>
      </c>
      <c r="AB96" s="22">
        <v>1075.9044794674733</v>
      </c>
      <c r="AC96" s="22">
        <v>1089.1114937039754</v>
      </c>
      <c r="AD96" s="22">
        <v>1085.0301385492598</v>
      </c>
      <c r="AE96" s="22">
        <v>1118.4971914277726</v>
      </c>
    </row>
    <row r="97" spans="1:31" x14ac:dyDescent="0.25">
      <c r="A97" s="11" t="s">
        <v>469</v>
      </c>
      <c r="B97" s="11" t="s">
        <v>468</v>
      </c>
      <c r="C97" s="22"/>
      <c r="D97" s="22"/>
      <c r="E97" s="22"/>
      <c r="F97" s="22"/>
      <c r="G97" s="22">
        <v>1811.3889922524409</v>
      </c>
      <c r="H97" s="22"/>
      <c r="I97" s="22"/>
      <c r="J97" s="22"/>
      <c r="K97" s="22"/>
      <c r="L97" s="22"/>
      <c r="M97" s="22"/>
      <c r="N97" s="22"/>
      <c r="O97" s="22"/>
      <c r="P97" s="22"/>
      <c r="Q97" s="22"/>
      <c r="R97" s="22"/>
      <c r="S97" s="22">
        <v>1811.3889922524409</v>
      </c>
      <c r="T97" s="22">
        <v>1682.3597895986161</v>
      </c>
      <c r="U97" s="22">
        <v>1650.074465600879</v>
      </c>
      <c r="V97" s="22">
        <v>1476.3324808799573</v>
      </c>
      <c r="W97" s="22">
        <v>1584.6363332051733</v>
      </c>
      <c r="X97" s="22">
        <v>1637.30092574845</v>
      </c>
      <c r="Y97" s="22">
        <v>1607.0650713316279</v>
      </c>
      <c r="Z97" s="22">
        <v>1595.0375187200191</v>
      </c>
      <c r="AA97" s="22">
        <v>1640.461556726689</v>
      </c>
      <c r="AB97" s="22">
        <v>1722.119413549698</v>
      </c>
      <c r="AC97" s="22">
        <v>1693.6274847287643</v>
      </c>
      <c r="AD97" s="22">
        <v>1665.3452666472588</v>
      </c>
      <c r="AE97" s="22">
        <v>1649.9689846198194</v>
      </c>
    </row>
    <row r="98" spans="1:31" x14ac:dyDescent="0.25">
      <c r="A98" s="11" t="s">
        <v>467</v>
      </c>
      <c r="B98" s="11" t="s">
        <v>466</v>
      </c>
      <c r="C98" s="22"/>
      <c r="D98" s="22"/>
      <c r="E98" s="22"/>
      <c r="F98" s="22"/>
      <c r="G98" s="22">
        <v>11.378638215100661</v>
      </c>
      <c r="H98" s="22"/>
      <c r="I98" s="22"/>
      <c r="J98" s="22"/>
      <c r="K98" s="22"/>
      <c r="L98" s="22"/>
      <c r="M98" s="22"/>
      <c r="N98" s="22"/>
      <c r="O98" s="22"/>
      <c r="P98" s="22"/>
      <c r="Q98" s="22"/>
      <c r="R98" s="22"/>
      <c r="S98" s="22">
        <v>11.378638215100661</v>
      </c>
      <c r="T98" s="22">
        <v>13.77661386064616</v>
      </c>
      <c r="U98" s="22">
        <v>6.5209230447745856</v>
      </c>
      <c r="V98" s="22">
        <v>9.7324598326204015</v>
      </c>
      <c r="W98" s="22">
        <v>4.9238762469963424</v>
      </c>
      <c r="X98" s="22">
        <v>0</v>
      </c>
      <c r="Y98" s="22">
        <v>0</v>
      </c>
      <c r="Z98" s="22">
        <v>0</v>
      </c>
      <c r="AA98" s="22">
        <v>40.86019194729716</v>
      </c>
      <c r="AB98" s="22">
        <v>0</v>
      </c>
      <c r="AC98" s="22">
        <v>0</v>
      </c>
      <c r="AD98" s="22">
        <v>30.483831253645548</v>
      </c>
      <c r="AE98" s="22">
        <v>0</v>
      </c>
    </row>
    <row r="99" spans="1:31" x14ac:dyDescent="0.25">
      <c r="A99" s="11" t="s">
        <v>465</v>
      </c>
      <c r="B99" s="11" t="s">
        <v>464</v>
      </c>
      <c r="C99" s="22"/>
      <c r="D99" s="22"/>
      <c r="E99" s="22"/>
      <c r="F99" s="22"/>
      <c r="G99" s="22">
        <v>191.98269404297133</v>
      </c>
      <c r="H99" s="22"/>
      <c r="I99" s="22"/>
      <c r="J99" s="22"/>
      <c r="K99" s="22"/>
      <c r="L99" s="22"/>
      <c r="M99" s="22"/>
      <c r="N99" s="22"/>
      <c r="O99" s="22"/>
      <c r="P99" s="22"/>
      <c r="Q99" s="22"/>
      <c r="R99" s="22"/>
      <c r="S99" s="22">
        <v>191.98269404297133</v>
      </c>
      <c r="T99" s="22">
        <v>200.92811843826286</v>
      </c>
      <c r="U99" s="22">
        <v>205.46519966413942</v>
      </c>
      <c r="V99" s="22">
        <v>196.9341502276686</v>
      </c>
      <c r="W99" s="22">
        <v>185.88001686359166</v>
      </c>
      <c r="X99" s="22">
        <v>185.88089919706798</v>
      </c>
      <c r="Y99" s="22">
        <v>192.87746865397759</v>
      </c>
      <c r="Z99" s="22">
        <v>247.52213968583399</v>
      </c>
      <c r="AA99" s="22">
        <v>165.90461738862282</v>
      </c>
      <c r="AB99" s="22">
        <v>195.46777429448548</v>
      </c>
      <c r="AC99" s="22">
        <v>189.41025053292728</v>
      </c>
      <c r="AD99" s="22">
        <v>187.87235643720973</v>
      </c>
      <c r="AE99" s="22">
        <v>214.6917342305141</v>
      </c>
    </row>
    <row r="100" spans="1:31" x14ac:dyDescent="0.25">
      <c r="A100" s="11" t="s">
        <v>463</v>
      </c>
      <c r="B100" s="11" t="s">
        <v>460</v>
      </c>
      <c r="C100" s="22"/>
      <c r="D100" s="22"/>
      <c r="E100" s="22"/>
      <c r="F100" s="22"/>
      <c r="G100" s="22">
        <v>4591.1400275100004</v>
      </c>
      <c r="H100" s="22"/>
      <c r="I100" s="22"/>
      <c r="J100" s="22"/>
      <c r="K100" s="22"/>
      <c r="L100" s="22"/>
      <c r="M100" s="22"/>
      <c r="N100" s="22"/>
      <c r="O100" s="22"/>
      <c r="P100" s="22"/>
      <c r="Q100" s="22">
        <v>3738.5286599999999</v>
      </c>
      <c r="R100" s="22">
        <v>4006.512158</v>
      </c>
      <c r="S100" s="22">
        <f t="shared" ref="S100:W101" si="19">S106+S109+S112+S115+S118+S121+S124</f>
        <v>4591.1400275100004</v>
      </c>
      <c r="T100" s="22">
        <f t="shared" si="19"/>
        <v>4584.4385944300002</v>
      </c>
      <c r="U100" s="22">
        <f t="shared" si="19"/>
        <v>4585.8088019500001</v>
      </c>
      <c r="V100" s="22">
        <f t="shared" si="19"/>
        <v>4589.1820461200005</v>
      </c>
      <c r="W100" s="22">
        <f t="shared" si="19"/>
        <v>4591.3012683300003</v>
      </c>
      <c r="X100" s="22">
        <v>4841.7776516599997</v>
      </c>
      <c r="Y100" s="22">
        <v>4731.7269263899998</v>
      </c>
      <c r="Z100" s="22">
        <v>5111.0768844300001</v>
      </c>
      <c r="AA100" s="22">
        <v>4950.7808720000012</v>
      </c>
      <c r="AB100" s="22">
        <v>4703.45930056</v>
      </c>
      <c r="AC100" s="22">
        <v>4702.9895689999994</v>
      </c>
      <c r="AD100" s="22">
        <v>4703.566052000001</v>
      </c>
      <c r="AE100" s="22">
        <v>4706.6240589999998</v>
      </c>
    </row>
    <row r="101" spans="1:31" x14ac:dyDescent="0.25">
      <c r="A101" s="11" t="s">
        <v>462</v>
      </c>
      <c r="B101" s="11" t="s">
        <v>386</v>
      </c>
      <c r="C101" s="22"/>
      <c r="D101" s="22"/>
      <c r="E101" s="22"/>
      <c r="F101" s="22"/>
      <c r="G101" s="22">
        <v>47920.889782735896</v>
      </c>
      <c r="H101" s="22"/>
      <c r="I101" s="22"/>
      <c r="J101" s="22"/>
      <c r="K101" s="22"/>
      <c r="L101" s="22"/>
      <c r="M101" s="22"/>
      <c r="N101" s="22"/>
      <c r="O101" s="22"/>
      <c r="P101" s="22"/>
      <c r="Q101" s="22"/>
      <c r="R101" s="22"/>
      <c r="S101" s="22">
        <f t="shared" si="19"/>
        <v>47920.889782735896</v>
      </c>
      <c r="T101" s="22">
        <f t="shared" si="19"/>
        <v>46979.110609463096</v>
      </c>
      <c r="U101" s="22">
        <f t="shared" si="19"/>
        <v>44825.000846404699</v>
      </c>
      <c r="V101" s="22">
        <f t="shared" si="19"/>
        <v>44260.257523020897</v>
      </c>
      <c r="W101" s="22">
        <f t="shared" si="19"/>
        <v>42248.155690458196</v>
      </c>
      <c r="X101" s="22">
        <v>42627.4885251089</v>
      </c>
      <c r="Y101" s="22">
        <v>40834.946343217307</v>
      </c>
      <c r="Z101" s="22"/>
      <c r="AA101" s="22">
        <v>39366.495081381501</v>
      </c>
      <c r="AB101" s="22">
        <v>37328.642761130199</v>
      </c>
      <c r="AC101" s="22">
        <v>36249.435174686558</v>
      </c>
      <c r="AD101" s="22">
        <v>35294.049204215888</v>
      </c>
      <c r="AE101" s="22">
        <v>34556.495494362716</v>
      </c>
    </row>
    <row r="102" spans="1:31" x14ac:dyDescent="0.25">
      <c r="A102" s="11" t="s">
        <v>461</v>
      </c>
      <c r="B102" s="11" t="s">
        <v>460</v>
      </c>
      <c r="C102" s="15"/>
      <c r="D102" s="15"/>
      <c r="E102" s="15"/>
      <c r="F102" s="15"/>
      <c r="G102" s="15">
        <v>10.437688568763985</v>
      </c>
      <c r="H102" s="15"/>
      <c r="I102" s="15"/>
      <c r="J102" s="15"/>
      <c r="K102" s="15"/>
      <c r="L102" s="15"/>
      <c r="M102" s="15"/>
      <c r="N102" s="15"/>
      <c r="O102" s="15"/>
      <c r="P102" s="15"/>
      <c r="Q102" s="15"/>
      <c r="R102" s="15"/>
      <c r="S102" s="15">
        <f t="shared" ref="S102:W102" si="20">S101/S100</f>
        <v>10.437688568763985</v>
      </c>
      <c r="T102" s="15">
        <f t="shared" si="20"/>
        <v>10.247516602478166</v>
      </c>
      <c r="U102" s="15">
        <f t="shared" si="20"/>
        <v>9.7747208360156641</v>
      </c>
      <c r="V102" s="15">
        <f t="shared" si="20"/>
        <v>9.6444763093330454</v>
      </c>
      <c r="W102" s="15">
        <f t="shared" si="20"/>
        <v>9.2017825059485077</v>
      </c>
      <c r="X102" s="15">
        <v>8.8040987405718845</v>
      </c>
      <c r="Y102" s="15">
        <v>8.6300302148610495</v>
      </c>
      <c r="Z102" s="22"/>
      <c r="AA102" s="22">
        <v>7.9515729132803141</v>
      </c>
      <c r="AB102" s="22">
        <v>7.9364230400985507</v>
      </c>
      <c r="AC102" s="22">
        <v>7.707743052127225</v>
      </c>
      <c r="AD102" s="22">
        <v>7.5036788713126548</v>
      </c>
      <c r="AE102" s="22">
        <v>7.3420980858421938</v>
      </c>
    </row>
    <row r="103" spans="1:31" x14ac:dyDescent="0.25">
      <c r="A103" s="11">
        <v>2001653010</v>
      </c>
      <c r="B103" s="11" t="s">
        <v>2352</v>
      </c>
      <c r="C103" s="15"/>
      <c r="D103" s="15"/>
      <c r="E103" s="15"/>
      <c r="F103" s="15"/>
      <c r="G103" s="15"/>
      <c r="H103" s="15"/>
      <c r="I103" s="15"/>
      <c r="J103" s="15"/>
      <c r="K103" s="15"/>
      <c r="L103" s="15"/>
      <c r="M103" s="15"/>
      <c r="N103" s="15"/>
      <c r="O103" s="15"/>
      <c r="P103" s="15"/>
      <c r="Q103" s="15"/>
      <c r="R103" s="15"/>
      <c r="S103" s="15"/>
      <c r="T103" s="15"/>
      <c r="U103" s="15"/>
      <c r="V103" s="15"/>
      <c r="W103" s="15"/>
      <c r="X103" s="15">
        <v>0</v>
      </c>
      <c r="Y103" s="15">
        <v>428.74916167000003</v>
      </c>
      <c r="Z103" s="22">
        <v>0</v>
      </c>
      <c r="AA103" s="22">
        <v>0</v>
      </c>
      <c r="AB103" s="22">
        <v>0</v>
      </c>
      <c r="AC103" s="22">
        <v>0</v>
      </c>
      <c r="AD103" s="22">
        <v>0</v>
      </c>
      <c r="AE103" s="22">
        <v>0</v>
      </c>
    </row>
    <row r="104" spans="1:31" x14ac:dyDescent="0.25">
      <c r="A104" s="11">
        <v>2001653030</v>
      </c>
      <c r="B104" s="11" t="s">
        <v>386</v>
      </c>
      <c r="C104" s="15"/>
      <c r="D104" s="15"/>
      <c r="E104" s="15"/>
      <c r="F104" s="15"/>
      <c r="G104" s="15"/>
      <c r="H104" s="15"/>
      <c r="I104" s="15"/>
      <c r="J104" s="15"/>
      <c r="K104" s="15"/>
      <c r="L104" s="15"/>
      <c r="M104" s="15"/>
      <c r="N104" s="15"/>
      <c r="O104" s="15"/>
      <c r="P104" s="15"/>
      <c r="Q104" s="15"/>
      <c r="R104" s="15"/>
      <c r="S104" s="15"/>
      <c r="T104" s="15"/>
      <c r="U104" s="15"/>
      <c r="V104" s="15"/>
      <c r="W104" s="15"/>
      <c r="X104" s="15">
        <v>0</v>
      </c>
      <c r="Y104" s="15">
        <v>3652.9428574284002</v>
      </c>
      <c r="Z104" s="22"/>
      <c r="AA104" s="22">
        <v>0</v>
      </c>
      <c r="AB104" s="22">
        <v>0</v>
      </c>
      <c r="AC104" s="22">
        <v>0</v>
      </c>
      <c r="AD104" s="22">
        <v>0</v>
      </c>
      <c r="AE104" s="22">
        <v>0</v>
      </c>
    </row>
    <row r="105" spans="1:31" x14ac:dyDescent="0.25">
      <c r="A105" s="11">
        <v>2001653040</v>
      </c>
      <c r="B105" s="11" t="s">
        <v>2352</v>
      </c>
      <c r="C105" s="15"/>
      <c r="D105" s="15"/>
      <c r="E105" s="15"/>
      <c r="F105" s="15"/>
      <c r="G105" s="15"/>
      <c r="H105" s="15"/>
      <c r="I105" s="15"/>
      <c r="J105" s="15"/>
      <c r="K105" s="15"/>
      <c r="L105" s="15"/>
      <c r="M105" s="15"/>
      <c r="N105" s="15"/>
      <c r="O105" s="15"/>
      <c r="P105" s="15"/>
      <c r="Q105" s="15"/>
      <c r="R105" s="15"/>
      <c r="S105" s="15"/>
      <c r="T105" s="15"/>
      <c r="U105" s="15"/>
      <c r="V105" s="15"/>
      <c r="W105" s="15"/>
      <c r="X105" s="15">
        <v>0</v>
      </c>
      <c r="Y105" s="15">
        <v>8.52</v>
      </c>
      <c r="Z105" s="22"/>
      <c r="AA105" s="22">
        <v>0</v>
      </c>
      <c r="AB105" s="22">
        <v>0</v>
      </c>
      <c r="AC105" s="22">
        <v>0</v>
      </c>
      <c r="AD105" s="22">
        <v>0</v>
      </c>
      <c r="AE105" s="22">
        <v>0</v>
      </c>
    </row>
    <row r="106" spans="1:31" x14ac:dyDescent="0.25">
      <c r="A106" s="11" t="s">
        <v>459</v>
      </c>
      <c r="B106" s="11" t="s">
        <v>456</v>
      </c>
      <c r="C106" s="22"/>
      <c r="D106" s="22"/>
      <c r="E106" s="22"/>
      <c r="F106" s="22"/>
      <c r="G106" s="22">
        <v>0</v>
      </c>
      <c r="H106" s="22"/>
      <c r="I106" s="22"/>
      <c r="J106" s="22"/>
      <c r="K106" s="22"/>
      <c r="L106" s="22"/>
      <c r="M106" s="22"/>
      <c r="N106" s="22"/>
      <c r="O106" s="22"/>
      <c r="P106" s="22"/>
      <c r="Q106" s="22"/>
      <c r="R106" s="22"/>
      <c r="S106" s="22">
        <v>0</v>
      </c>
      <c r="T106" s="22">
        <v>390.99059999999997</v>
      </c>
      <c r="U106" s="22">
        <v>390.93892499999998</v>
      </c>
      <c r="V106" s="22">
        <v>391.24930000000001</v>
      </c>
      <c r="W106" s="22">
        <v>0</v>
      </c>
      <c r="X106" s="22">
        <v>0</v>
      </c>
      <c r="Y106" s="22">
        <v>0</v>
      </c>
      <c r="Z106" s="22">
        <v>0</v>
      </c>
      <c r="AA106" s="22">
        <v>0</v>
      </c>
      <c r="AB106" s="22">
        <v>0</v>
      </c>
      <c r="AC106" s="22">
        <v>0</v>
      </c>
      <c r="AD106" s="22">
        <v>0</v>
      </c>
      <c r="AE106" s="22">
        <v>0</v>
      </c>
    </row>
    <row r="107" spans="1:31" x14ac:dyDescent="0.25">
      <c r="A107" s="11" t="s">
        <v>458</v>
      </c>
      <c r="B107" s="11" t="s">
        <v>386</v>
      </c>
      <c r="C107" s="22"/>
      <c r="D107" s="22"/>
      <c r="E107" s="22"/>
      <c r="F107" s="22"/>
      <c r="G107" s="22">
        <v>0</v>
      </c>
      <c r="H107" s="22"/>
      <c r="I107" s="22"/>
      <c r="J107" s="22"/>
      <c r="K107" s="22"/>
      <c r="L107" s="22"/>
      <c r="M107" s="22"/>
      <c r="N107" s="22"/>
      <c r="O107" s="22"/>
      <c r="P107" s="22"/>
      <c r="Q107" s="22"/>
      <c r="R107" s="22"/>
      <c r="S107" s="22">
        <v>0</v>
      </c>
      <c r="T107" s="22">
        <v>3972.4644960000001</v>
      </c>
      <c r="U107" s="22">
        <v>3764.74184775</v>
      </c>
      <c r="V107" s="22">
        <v>3759.905773</v>
      </c>
      <c r="W107" s="22">
        <v>0</v>
      </c>
      <c r="X107" s="22">
        <v>0</v>
      </c>
      <c r="Y107" s="22">
        <v>0</v>
      </c>
      <c r="Z107" s="22"/>
      <c r="AA107" s="22">
        <v>0</v>
      </c>
      <c r="AB107" s="22">
        <v>0</v>
      </c>
      <c r="AC107" s="22">
        <v>0</v>
      </c>
      <c r="AD107" s="22">
        <v>0</v>
      </c>
      <c r="AE107" s="22">
        <v>0</v>
      </c>
    </row>
    <row r="108" spans="1:31" x14ac:dyDescent="0.25">
      <c r="A108" s="11" t="s">
        <v>457</v>
      </c>
      <c r="B108" s="11" t="s">
        <v>456</v>
      </c>
      <c r="C108" s="15"/>
      <c r="D108" s="15"/>
      <c r="E108" s="15"/>
      <c r="F108" s="15"/>
      <c r="G108" s="15">
        <v>0</v>
      </c>
      <c r="H108" s="15"/>
      <c r="I108" s="15"/>
      <c r="J108" s="15"/>
      <c r="K108" s="15"/>
      <c r="L108" s="15"/>
      <c r="M108" s="15"/>
      <c r="N108" s="15"/>
      <c r="O108" s="15"/>
      <c r="P108" s="15"/>
      <c r="Q108" s="15"/>
      <c r="R108" s="15"/>
      <c r="S108" s="15">
        <v>0</v>
      </c>
      <c r="T108" s="15">
        <v>10.16</v>
      </c>
      <c r="U108" s="15">
        <v>9.6300000000000008</v>
      </c>
      <c r="V108" s="15">
        <v>9.61</v>
      </c>
      <c r="W108" s="15">
        <v>0</v>
      </c>
      <c r="X108" s="15">
        <v>0</v>
      </c>
      <c r="Y108" s="15">
        <v>0</v>
      </c>
      <c r="Z108" s="22"/>
      <c r="AA108" s="22">
        <v>0</v>
      </c>
      <c r="AB108" s="22">
        <v>0</v>
      </c>
      <c r="AC108" s="22">
        <v>0</v>
      </c>
      <c r="AD108" s="22">
        <v>0</v>
      </c>
      <c r="AE108" s="22">
        <v>0</v>
      </c>
    </row>
    <row r="109" spans="1:31" x14ac:dyDescent="0.25">
      <c r="A109" s="11" t="s">
        <v>455</v>
      </c>
      <c r="B109" s="11" t="s">
        <v>452</v>
      </c>
      <c r="C109" s="22"/>
      <c r="D109" s="22"/>
      <c r="E109" s="22"/>
      <c r="F109" s="22"/>
      <c r="G109" s="22">
        <v>2722.8061361100004</v>
      </c>
      <c r="H109" s="22"/>
      <c r="I109" s="22"/>
      <c r="J109" s="22"/>
      <c r="K109" s="22"/>
      <c r="L109" s="22"/>
      <c r="M109" s="22"/>
      <c r="N109" s="22"/>
      <c r="O109" s="22"/>
      <c r="P109" s="22"/>
      <c r="Q109" s="22"/>
      <c r="R109" s="22"/>
      <c r="S109" s="22">
        <v>2722.8061361100004</v>
      </c>
      <c r="T109" s="22">
        <v>2797.1650122200003</v>
      </c>
      <c r="U109" s="22">
        <v>2840.8752749999999</v>
      </c>
      <c r="V109" s="22">
        <v>2892.2857705500001</v>
      </c>
      <c r="W109" s="22">
        <v>3241.1767661100002</v>
      </c>
      <c r="X109" s="22">
        <v>3490.0112533299998</v>
      </c>
      <c r="Y109" s="22">
        <v>3101.77117361</v>
      </c>
      <c r="Z109" s="22">
        <v>3780.1370980500001</v>
      </c>
      <c r="AA109" s="22">
        <v>3652.1536257886855</v>
      </c>
      <c r="AB109" s="22">
        <v>3404.2634222199999</v>
      </c>
      <c r="AC109" s="22">
        <v>2343.1504464358341</v>
      </c>
      <c r="AD109" s="22">
        <v>2344.9598368444927</v>
      </c>
      <c r="AE109" s="22">
        <v>2297.0343754721521</v>
      </c>
    </row>
    <row r="110" spans="1:31" x14ac:dyDescent="0.25">
      <c r="A110" s="11" t="s">
        <v>454</v>
      </c>
      <c r="B110" s="11" t="s">
        <v>386</v>
      </c>
      <c r="C110" s="22"/>
      <c r="D110" s="22"/>
      <c r="E110" s="22"/>
      <c r="F110" s="22"/>
      <c r="G110" s="22">
        <v>28314.313899116198</v>
      </c>
      <c r="H110" s="22"/>
      <c r="I110" s="22"/>
      <c r="J110" s="22"/>
      <c r="K110" s="22"/>
      <c r="L110" s="22"/>
      <c r="M110" s="22"/>
      <c r="N110" s="22"/>
      <c r="O110" s="22"/>
      <c r="P110" s="22"/>
      <c r="Q110" s="22"/>
      <c r="R110" s="22"/>
      <c r="S110" s="22">
        <v>28314.313899116198</v>
      </c>
      <c r="T110" s="22">
        <v>28582.8167219721</v>
      </c>
      <c r="U110" s="22">
        <v>27658.442806057199</v>
      </c>
      <c r="V110" s="22">
        <v>27744.059070624298</v>
      </c>
      <c r="W110" s="22">
        <v>29698.275943434299</v>
      </c>
      <c r="X110" s="22">
        <v>30529.2443395548</v>
      </c>
      <c r="Y110" s="22">
        <v>26714.290199643201</v>
      </c>
      <c r="Z110" s="22"/>
      <c r="AA110" s="22">
        <v>28943.8695726242</v>
      </c>
      <c r="AB110" s="22">
        <v>26924.833972926801</v>
      </c>
      <c r="AC110" s="22">
        <v>17992.3941502942</v>
      </c>
      <c r="AD110" s="22">
        <v>17536.849490096542</v>
      </c>
      <c r="AE110" s="22">
        <v>16773.636796102204</v>
      </c>
    </row>
    <row r="111" spans="1:31" x14ac:dyDescent="0.25">
      <c r="A111" s="11" t="s">
        <v>453</v>
      </c>
      <c r="B111" s="11" t="s">
        <v>452</v>
      </c>
      <c r="C111" s="15"/>
      <c r="D111" s="15"/>
      <c r="E111" s="15"/>
      <c r="F111" s="15"/>
      <c r="G111" s="15">
        <v>10.398945971073832</v>
      </c>
      <c r="H111" s="15"/>
      <c r="I111" s="15"/>
      <c r="J111" s="15"/>
      <c r="K111" s="15"/>
      <c r="L111" s="15"/>
      <c r="M111" s="15"/>
      <c r="N111" s="15"/>
      <c r="O111" s="15"/>
      <c r="P111" s="15"/>
      <c r="Q111" s="15"/>
      <c r="R111" s="15"/>
      <c r="S111" s="15">
        <v>10.398945971073832</v>
      </c>
      <c r="T111" s="15">
        <v>10.218495010877831</v>
      </c>
      <c r="U111" s="15">
        <v>9.7358877559512713</v>
      </c>
      <c r="V111" s="15">
        <v>9.5924335531161766</v>
      </c>
      <c r="W111" s="15">
        <v>9.1628066244216608</v>
      </c>
      <c r="X111" s="15">
        <v>8.7476062750299945</v>
      </c>
      <c r="Y111" s="15">
        <v>8.6125921947207154</v>
      </c>
      <c r="Z111" s="22"/>
      <c r="AA111" s="22">
        <v>7.9251511678602373</v>
      </c>
      <c r="AB111" s="22">
        <v>7.9091511535756789</v>
      </c>
      <c r="AC111" s="22">
        <v>7.6787191269183888</v>
      </c>
      <c r="AD111" s="22">
        <v>7.4785287212829594</v>
      </c>
      <c r="AE111" s="22">
        <v>7.3023011650204008</v>
      </c>
    </row>
    <row r="112" spans="1:31" x14ac:dyDescent="0.25">
      <c r="A112" s="11" t="s">
        <v>451</v>
      </c>
      <c r="B112" s="11" t="s">
        <v>448</v>
      </c>
      <c r="C112" s="22"/>
      <c r="D112" s="22"/>
      <c r="E112" s="22"/>
      <c r="F112" s="22"/>
      <c r="G112" s="22">
        <v>503.92624999999998</v>
      </c>
      <c r="H112" s="22"/>
      <c r="I112" s="22"/>
      <c r="J112" s="22"/>
      <c r="K112" s="22"/>
      <c r="L112" s="22"/>
      <c r="M112" s="22"/>
      <c r="N112" s="22"/>
      <c r="O112" s="22"/>
      <c r="P112" s="22"/>
      <c r="Q112" s="22"/>
      <c r="R112" s="22"/>
      <c r="S112" s="22">
        <v>503.92624999999998</v>
      </c>
      <c r="T112" s="22">
        <v>0</v>
      </c>
      <c r="U112" s="22">
        <v>0</v>
      </c>
      <c r="V112" s="22">
        <v>0</v>
      </c>
      <c r="W112" s="22">
        <v>0</v>
      </c>
      <c r="X112" s="22">
        <v>0</v>
      </c>
      <c r="Y112" s="22">
        <v>0</v>
      </c>
      <c r="Z112" s="22">
        <v>0</v>
      </c>
      <c r="AA112" s="22">
        <v>0</v>
      </c>
      <c r="AB112" s="22">
        <v>0</v>
      </c>
      <c r="AC112" s="22">
        <v>1004.0644265696574</v>
      </c>
      <c r="AD112" s="22">
        <v>1004.3656778547365</v>
      </c>
      <c r="AE112" s="22">
        <v>1004.9006455215685</v>
      </c>
    </row>
    <row r="113" spans="1:31" x14ac:dyDescent="0.25">
      <c r="A113" s="11" t="s">
        <v>450</v>
      </c>
      <c r="B113" s="11" t="s">
        <v>386</v>
      </c>
      <c r="C113" s="22"/>
      <c r="D113" s="22"/>
      <c r="E113" s="22"/>
      <c r="F113" s="22"/>
      <c r="G113" s="22">
        <v>5276.1078374999997</v>
      </c>
      <c r="H113" s="22"/>
      <c r="I113" s="22"/>
      <c r="J113" s="22"/>
      <c r="K113" s="22"/>
      <c r="L113" s="22"/>
      <c r="M113" s="22"/>
      <c r="N113" s="22"/>
      <c r="O113" s="22"/>
      <c r="P113" s="22"/>
      <c r="Q113" s="22"/>
      <c r="R113" s="22"/>
      <c r="S113" s="22">
        <v>5276.1078374999997</v>
      </c>
      <c r="T113" s="22">
        <v>0</v>
      </c>
      <c r="U113" s="22">
        <v>0</v>
      </c>
      <c r="V113" s="22">
        <v>0</v>
      </c>
      <c r="W113" s="22">
        <v>0</v>
      </c>
      <c r="X113" s="22">
        <v>0</v>
      </c>
      <c r="Y113" s="22">
        <v>0</v>
      </c>
      <c r="Z113" s="22"/>
      <c r="AA113" s="22">
        <v>0</v>
      </c>
      <c r="AB113" s="22">
        <v>0</v>
      </c>
      <c r="AC113" s="22">
        <v>7711.2147960549682</v>
      </c>
      <c r="AD113" s="22">
        <v>7495.6722433521672</v>
      </c>
      <c r="AE113" s="22">
        <v>7370.3066224285276</v>
      </c>
    </row>
    <row r="114" spans="1:31" x14ac:dyDescent="0.25">
      <c r="A114" s="11" t="s">
        <v>449</v>
      </c>
      <c r="B114" s="11" t="s">
        <v>448</v>
      </c>
      <c r="C114" s="15"/>
      <c r="D114" s="15"/>
      <c r="E114" s="15"/>
      <c r="F114" s="15"/>
      <c r="G114" s="15">
        <v>10.47</v>
      </c>
      <c r="H114" s="15"/>
      <c r="I114" s="15"/>
      <c r="J114" s="15"/>
      <c r="K114" s="15"/>
      <c r="L114" s="15"/>
      <c r="M114" s="15"/>
      <c r="N114" s="15"/>
      <c r="O114" s="15"/>
      <c r="P114" s="15"/>
      <c r="Q114" s="15"/>
      <c r="R114" s="15"/>
      <c r="S114" s="15">
        <v>10.47</v>
      </c>
      <c r="T114" s="15">
        <v>0</v>
      </c>
      <c r="U114" s="15">
        <v>0</v>
      </c>
      <c r="V114" s="15">
        <v>0</v>
      </c>
      <c r="W114" s="15">
        <v>0</v>
      </c>
      <c r="X114" s="15">
        <v>0</v>
      </c>
      <c r="Y114" s="15">
        <v>0</v>
      </c>
      <c r="Z114" s="22"/>
      <c r="AA114" s="22">
        <v>0</v>
      </c>
      <c r="AB114" s="22">
        <v>0</v>
      </c>
      <c r="AC114" s="22">
        <v>7.68</v>
      </c>
      <c r="AD114" s="22">
        <v>7.4630907931486306</v>
      </c>
      <c r="AE114" s="22">
        <v>7.3343635067555901</v>
      </c>
    </row>
    <row r="115" spans="1:31" x14ac:dyDescent="0.25">
      <c r="A115" s="11" t="s">
        <v>447</v>
      </c>
      <c r="B115" s="11" t="s">
        <v>444</v>
      </c>
      <c r="C115" s="22"/>
      <c r="D115" s="22"/>
      <c r="E115" s="22"/>
      <c r="F115" s="22"/>
      <c r="G115" s="22">
        <v>0</v>
      </c>
      <c r="H115" s="22"/>
      <c r="I115" s="22"/>
      <c r="J115" s="22"/>
      <c r="K115" s="22"/>
      <c r="L115" s="22"/>
      <c r="M115" s="22"/>
      <c r="N115" s="22"/>
      <c r="O115" s="22"/>
      <c r="P115" s="22"/>
      <c r="Q115" s="22"/>
      <c r="R115" s="22"/>
      <c r="S115" s="22">
        <v>0</v>
      </c>
      <c r="T115" s="22">
        <v>0</v>
      </c>
      <c r="U115" s="22">
        <v>0</v>
      </c>
      <c r="V115" s="22">
        <v>0</v>
      </c>
      <c r="W115" s="22">
        <v>0</v>
      </c>
      <c r="X115" s="22">
        <v>0</v>
      </c>
      <c r="Y115" s="22">
        <v>0</v>
      </c>
      <c r="Z115" s="22">
        <v>0</v>
      </c>
      <c r="AA115" s="22">
        <v>0</v>
      </c>
      <c r="AB115" s="22">
        <v>0</v>
      </c>
      <c r="AC115" s="22">
        <v>37.127937776289571</v>
      </c>
      <c r="AD115" s="22">
        <v>37.139675002763632</v>
      </c>
      <c r="AE115" s="22">
        <v>37.160364168578838</v>
      </c>
    </row>
    <row r="116" spans="1:31" x14ac:dyDescent="0.25">
      <c r="A116" s="11" t="s">
        <v>446</v>
      </c>
      <c r="B116" s="11" t="s">
        <v>386</v>
      </c>
      <c r="C116" s="22"/>
      <c r="D116" s="22"/>
      <c r="E116" s="22"/>
      <c r="F116" s="22"/>
      <c r="G116" s="22">
        <v>0</v>
      </c>
      <c r="H116" s="22"/>
      <c r="I116" s="22"/>
      <c r="J116" s="22"/>
      <c r="K116" s="22"/>
      <c r="L116" s="22"/>
      <c r="M116" s="22"/>
      <c r="N116" s="22"/>
      <c r="O116" s="22"/>
      <c r="P116" s="22"/>
      <c r="Q116" s="22"/>
      <c r="R116" s="22"/>
      <c r="S116" s="22">
        <v>0</v>
      </c>
      <c r="T116" s="22">
        <v>0</v>
      </c>
      <c r="U116" s="22">
        <v>0</v>
      </c>
      <c r="V116" s="22">
        <v>0</v>
      </c>
      <c r="W116" s="22">
        <v>0</v>
      </c>
      <c r="X116" s="22">
        <v>0</v>
      </c>
      <c r="Y116" s="22">
        <v>0</v>
      </c>
      <c r="Z116" s="22"/>
      <c r="AA116" s="22">
        <v>0</v>
      </c>
      <c r="AB116" s="22">
        <v>0</v>
      </c>
      <c r="AC116" s="22">
        <v>288.85535589953287</v>
      </c>
      <c r="AD116" s="22">
        <v>280.40454627086535</v>
      </c>
      <c r="AE116" s="22">
        <v>276.10150577254075</v>
      </c>
    </row>
    <row r="117" spans="1:31" x14ac:dyDescent="0.25">
      <c r="A117" s="11" t="s">
        <v>445</v>
      </c>
      <c r="B117" s="11" t="s">
        <v>444</v>
      </c>
      <c r="C117" s="15"/>
      <c r="D117" s="15"/>
      <c r="E117" s="15"/>
      <c r="F117" s="15"/>
      <c r="G117" s="15">
        <v>0</v>
      </c>
      <c r="H117" s="15"/>
      <c r="I117" s="15"/>
      <c r="J117" s="15"/>
      <c r="K117" s="15"/>
      <c r="L117" s="15"/>
      <c r="M117" s="15"/>
      <c r="N117" s="15"/>
      <c r="O117" s="15"/>
      <c r="P117" s="15"/>
      <c r="Q117" s="15"/>
      <c r="R117" s="15"/>
      <c r="S117" s="15">
        <v>0</v>
      </c>
      <c r="T117" s="15">
        <v>0</v>
      </c>
      <c r="U117" s="15">
        <v>0</v>
      </c>
      <c r="V117" s="15">
        <v>0</v>
      </c>
      <c r="W117" s="15">
        <v>0</v>
      </c>
      <c r="X117" s="15">
        <v>0</v>
      </c>
      <c r="Y117" s="15">
        <v>0</v>
      </c>
      <c r="Z117" s="22"/>
      <c r="AA117" s="22">
        <v>0</v>
      </c>
      <c r="AB117" s="22">
        <v>0</v>
      </c>
      <c r="AC117" s="22">
        <v>7.78</v>
      </c>
      <c r="AD117" s="22">
        <v>7.549999999999998</v>
      </c>
      <c r="AE117" s="22">
        <v>7.43</v>
      </c>
    </row>
    <row r="118" spans="1:31" x14ac:dyDescent="0.25">
      <c r="A118" s="11" t="s">
        <v>443</v>
      </c>
      <c r="B118" s="11" t="s">
        <v>440</v>
      </c>
      <c r="C118" s="22"/>
      <c r="D118" s="22"/>
      <c r="E118" s="22"/>
      <c r="F118" s="22"/>
      <c r="G118" s="22">
        <v>1313.9075580699998</v>
      </c>
      <c r="H118" s="22"/>
      <c r="I118" s="22"/>
      <c r="J118" s="22"/>
      <c r="K118" s="22"/>
      <c r="L118" s="22"/>
      <c r="M118" s="22"/>
      <c r="N118" s="22"/>
      <c r="O118" s="22"/>
      <c r="P118" s="22"/>
      <c r="Q118" s="22"/>
      <c r="R118" s="22"/>
      <c r="S118" s="22">
        <v>1313.9075580699998</v>
      </c>
      <c r="T118" s="22">
        <v>1396.28298221</v>
      </c>
      <c r="U118" s="22">
        <v>1353.9946019500001</v>
      </c>
      <c r="V118" s="22">
        <v>1305.64697557</v>
      </c>
      <c r="W118" s="22">
        <v>1350.1245022200001</v>
      </c>
      <c r="X118" s="22">
        <v>1351.7663983299999</v>
      </c>
      <c r="Y118" s="22">
        <v>1201.2065911099999</v>
      </c>
      <c r="Z118" s="22">
        <v>1087.9499002699999</v>
      </c>
      <c r="AA118" s="22">
        <v>1055.4995084160917</v>
      </c>
      <c r="AB118" s="22">
        <v>1055.9632283400001</v>
      </c>
      <c r="AC118" s="22">
        <v>1075.8977726824785</v>
      </c>
      <c r="AD118" s="22">
        <v>1074.2689456199382</v>
      </c>
      <c r="AE118" s="22">
        <v>1123.9807171770146</v>
      </c>
    </row>
    <row r="119" spans="1:31" x14ac:dyDescent="0.25">
      <c r="A119" s="11" t="s">
        <v>442</v>
      </c>
      <c r="B119" s="11" t="s">
        <v>386</v>
      </c>
      <c r="C119" s="22"/>
      <c r="D119" s="22"/>
      <c r="E119" s="22"/>
      <c r="F119" s="22"/>
      <c r="G119" s="22">
        <v>13795.672163655001</v>
      </c>
      <c r="H119" s="22"/>
      <c r="I119" s="22"/>
      <c r="J119" s="22"/>
      <c r="K119" s="22"/>
      <c r="L119" s="22"/>
      <c r="M119" s="22"/>
      <c r="N119" s="22"/>
      <c r="O119" s="22"/>
      <c r="P119" s="22"/>
      <c r="Q119" s="22"/>
      <c r="R119" s="22"/>
      <c r="S119" s="22">
        <v>13795.672163655001</v>
      </c>
      <c r="T119" s="22">
        <v>14423.829391490999</v>
      </c>
      <c r="U119" s="22">
        <v>13401.8161925975</v>
      </c>
      <c r="V119" s="22">
        <v>12756.2926793966</v>
      </c>
      <c r="W119" s="22">
        <v>12549.879747023899</v>
      </c>
      <c r="X119" s="22">
        <v>12098.2441855541</v>
      </c>
      <c r="Y119" s="22">
        <v>10467.713286145701</v>
      </c>
      <c r="Z119" s="22"/>
      <c r="AA119" s="22">
        <v>8471.1499680282996</v>
      </c>
      <c r="AB119" s="22">
        <v>8455.5152617034</v>
      </c>
      <c r="AC119" s="22">
        <v>8369.3841966363943</v>
      </c>
      <c r="AD119" s="22">
        <v>8138.4553071875971</v>
      </c>
      <c r="AE119" s="22">
        <v>8321.4319850040592</v>
      </c>
    </row>
    <row r="120" spans="1:31" x14ac:dyDescent="0.25">
      <c r="A120" s="11" t="s">
        <v>441</v>
      </c>
      <c r="B120" s="11" t="s">
        <v>440</v>
      </c>
      <c r="C120" s="15"/>
      <c r="D120" s="15"/>
      <c r="E120" s="15"/>
      <c r="F120" s="15"/>
      <c r="G120" s="15">
        <v>10.4997281421529</v>
      </c>
      <c r="H120" s="15"/>
      <c r="I120" s="15"/>
      <c r="J120" s="15"/>
      <c r="K120" s="15"/>
      <c r="L120" s="15"/>
      <c r="M120" s="15"/>
      <c r="N120" s="15"/>
      <c r="O120" s="15"/>
      <c r="P120" s="15"/>
      <c r="Q120" s="15"/>
      <c r="R120" s="15"/>
      <c r="S120" s="15">
        <v>10.4997281421529</v>
      </c>
      <c r="T120" s="15">
        <v>10.3301619909893</v>
      </c>
      <c r="U120" s="15">
        <v>9.8979834729742908</v>
      </c>
      <c r="V120" s="15">
        <v>9.7700932319991374</v>
      </c>
      <c r="W120" s="15">
        <v>9.2953499669017408</v>
      </c>
      <c r="X120" s="15">
        <v>8.9499518559571545</v>
      </c>
      <c r="Y120" s="15">
        <v>8.7143322086443042</v>
      </c>
      <c r="Z120" s="22"/>
      <c r="AA120" s="22">
        <v>8.0257261140181058</v>
      </c>
      <c r="AB120" s="22">
        <v>8.0073955558051733</v>
      </c>
      <c r="AC120" s="22">
        <v>7.7789771566953387</v>
      </c>
      <c r="AD120" s="22">
        <v>7.5758080324020387</v>
      </c>
      <c r="AE120" s="22">
        <v>7.4035362509635698</v>
      </c>
    </row>
    <row r="121" spans="1:31" x14ac:dyDescent="0.25">
      <c r="A121" s="11" t="s">
        <v>439</v>
      </c>
      <c r="B121" s="11" t="s">
        <v>436</v>
      </c>
      <c r="C121" s="22"/>
      <c r="D121" s="22"/>
      <c r="E121" s="22"/>
      <c r="F121" s="22"/>
      <c r="G121" s="22">
        <v>0</v>
      </c>
      <c r="H121" s="22"/>
      <c r="I121" s="22"/>
      <c r="J121" s="22"/>
      <c r="K121" s="22"/>
      <c r="L121" s="22"/>
      <c r="M121" s="22"/>
      <c r="N121" s="22"/>
      <c r="O121" s="22"/>
      <c r="P121" s="22"/>
      <c r="Q121" s="22"/>
      <c r="R121" s="22"/>
      <c r="S121" s="22">
        <v>0</v>
      </c>
      <c r="T121" s="22">
        <v>0</v>
      </c>
      <c r="U121" s="22">
        <v>0</v>
      </c>
      <c r="V121" s="22">
        <v>0</v>
      </c>
      <c r="W121" s="22">
        <v>0</v>
      </c>
      <c r="X121" s="22">
        <v>0</v>
      </c>
      <c r="Y121" s="22">
        <v>0</v>
      </c>
      <c r="Z121" s="22">
        <v>142.48694166999999</v>
      </c>
      <c r="AA121" s="22">
        <v>142.56871000892713</v>
      </c>
      <c r="AB121" s="22">
        <v>142.6319</v>
      </c>
      <c r="AC121" s="22">
        <v>142.70581887573846</v>
      </c>
      <c r="AD121" s="22">
        <v>142.74747223062209</v>
      </c>
      <c r="AE121" s="22">
        <v>142.82170666453791</v>
      </c>
    </row>
    <row r="122" spans="1:31" x14ac:dyDescent="0.25">
      <c r="A122" s="11" t="s">
        <v>438</v>
      </c>
      <c r="B122" s="11" t="s">
        <v>386</v>
      </c>
      <c r="C122" s="22"/>
      <c r="D122" s="22"/>
      <c r="E122" s="22"/>
      <c r="F122" s="22"/>
      <c r="G122" s="22">
        <v>0</v>
      </c>
      <c r="H122" s="22"/>
      <c r="I122" s="22"/>
      <c r="J122" s="22"/>
      <c r="K122" s="22"/>
      <c r="L122" s="22"/>
      <c r="M122" s="22"/>
      <c r="N122" s="22"/>
      <c r="O122" s="22"/>
      <c r="P122" s="22"/>
      <c r="Q122" s="22"/>
      <c r="R122" s="22"/>
      <c r="S122" s="22">
        <v>0</v>
      </c>
      <c r="T122" s="22">
        <v>0</v>
      </c>
      <c r="U122" s="22">
        <v>0</v>
      </c>
      <c r="V122" s="22">
        <v>0</v>
      </c>
      <c r="W122" s="22">
        <v>0</v>
      </c>
      <c r="X122" s="22">
        <v>0</v>
      </c>
      <c r="Y122" s="22">
        <v>0</v>
      </c>
      <c r="Z122" s="22"/>
      <c r="AA122" s="22">
        <v>1141.9753670999999</v>
      </c>
      <c r="AB122" s="22">
        <v>1142.4815189999999</v>
      </c>
      <c r="AC122" s="22">
        <v>1110.2512708532452</v>
      </c>
      <c r="AD122" s="22">
        <v>1082.0258395081153</v>
      </c>
      <c r="AE122" s="22">
        <v>1062.5934975841622</v>
      </c>
    </row>
    <row r="123" spans="1:31" x14ac:dyDescent="0.25">
      <c r="A123" s="11" t="s">
        <v>437</v>
      </c>
      <c r="B123" s="11" t="s">
        <v>436</v>
      </c>
      <c r="C123" s="15"/>
      <c r="D123" s="15"/>
      <c r="E123" s="15"/>
      <c r="F123" s="15"/>
      <c r="G123" s="15">
        <v>0</v>
      </c>
      <c r="H123" s="15"/>
      <c r="I123" s="15"/>
      <c r="J123" s="15"/>
      <c r="K123" s="15"/>
      <c r="L123" s="15"/>
      <c r="M123" s="15"/>
      <c r="N123" s="15"/>
      <c r="O123" s="15"/>
      <c r="P123" s="15"/>
      <c r="Q123" s="15"/>
      <c r="R123" s="15"/>
      <c r="S123" s="15">
        <v>0</v>
      </c>
      <c r="T123" s="15">
        <v>0</v>
      </c>
      <c r="U123" s="15">
        <v>0</v>
      </c>
      <c r="V123" s="15">
        <v>0</v>
      </c>
      <c r="W123" s="15">
        <v>0</v>
      </c>
      <c r="X123" s="15">
        <v>0</v>
      </c>
      <c r="Y123" s="15">
        <v>0</v>
      </c>
      <c r="Z123" s="22"/>
      <c r="AA123" s="22">
        <v>8.0099999994984419</v>
      </c>
      <c r="AB123" s="22">
        <v>8.01</v>
      </c>
      <c r="AC123" s="22">
        <v>7.7799999999999994</v>
      </c>
      <c r="AD123" s="22">
        <v>7.5799999999999983</v>
      </c>
      <c r="AE123" s="22">
        <v>7.44</v>
      </c>
    </row>
    <row r="124" spans="1:31" x14ac:dyDescent="0.25">
      <c r="A124" s="11" t="s">
        <v>435</v>
      </c>
      <c r="B124" s="11" t="s">
        <v>432</v>
      </c>
      <c r="C124" s="22"/>
      <c r="D124" s="22"/>
      <c r="E124" s="22"/>
      <c r="F124" s="22"/>
      <c r="G124" s="22">
        <v>50.500083329999995</v>
      </c>
      <c r="H124" s="22"/>
      <c r="I124" s="22"/>
      <c r="J124" s="22"/>
      <c r="K124" s="22"/>
      <c r="L124" s="22"/>
      <c r="M124" s="22"/>
      <c r="N124" s="22"/>
      <c r="O124" s="22"/>
      <c r="P124" s="22"/>
      <c r="Q124" s="22"/>
      <c r="R124" s="22"/>
      <c r="S124" s="22">
        <v>50.500083329999995</v>
      </c>
      <c r="T124" s="22">
        <v>0</v>
      </c>
      <c r="U124" s="22">
        <v>0</v>
      </c>
      <c r="V124" s="22">
        <v>0</v>
      </c>
      <c r="W124" s="22">
        <v>0</v>
      </c>
      <c r="X124" s="22">
        <v>0</v>
      </c>
      <c r="Y124" s="22">
        <v>0</v>
      </c>
      <c r="Z124" s="22">
        <v>100.50294443999999</v>
      </c>
      <c r="AA124" s="22">
        <v>100.55902778629667</v>
      </c>
      <c r="AB124" s="22">
        <v>100.60075000000001</v>
      </c>
      <c r="AC124" s="22">
        <v>100.04316666000204</v>
      </c>
      <c r="AD124" s="22">
        <v>100.08444444744747</v>
      </c>
      <c r="AE124" s="22">
        <v>100.72624999614783</v>
      </c>
    </row>
    <row r="125" spans="1:31" x14ac:dyDescent="0.25">
      <c r="A125" s="11" t="s">
        <v>434</v>
      </c>
      <c r="B125" s="11" t="s">
        <v>386</v>
      </c>
      <c r="C125" s="22"/>
      <c r="D125" s="22"/>
      <c r="E125" s="22"/>
      <c r="F125" s="22"/>
      <c r="G125" s="22">
        <v>534.79588246469996</v>
      </c>
      <c r="H125" s="22"/>
      <c r="I125" s="22"/>
      <c r="J125" s="22"/>
      <c r="K125" s="22"/>
      <c r="L125" s="22"/>
      <c r="M125" s="22"/>
      <c r="N125" s="22"/>
      <c r="O125" s="22"/>
      <c r="P125" s="22"/>
      <c r="Q125" s="22"/>
      <c r="R125" s="22"/>
      <c r="S125" s="22">
        <v>534.79588246469996</v>
      </c>
      <c r="T125" s="22">
        <v>0</v>
      </c>
      <c r="U125" s="22">
        <v>0</v>
      </c>
      <c r="V125" s="22">
        <v>0</v>
      </c>
      <c r="W125" s="22">
        <v>0</v>
      </c>
      <c r="X125" s="22">
        <v>0</v>
      </c>
      <c r="Y125" s="22">
        <v>0</v>
      </c>
      <c r="Z125" s="22"/>
      <c r="AA125" s="22">
        <v>809.50017362899996</v>
      </c>
      <c r="AB125" s="22">
        <v>805.81200750000005</v>
      </c>
      <c r="AC125" s="22">
        <v>777.3354049482158</v>
      </c>
      <c r="AD125" s="22">
        <v>760.64177780060061</v>
      </c>
      <c r="AE125" s="22">
        <v>752.42508747122429</v>
      </c>
    </row>
    <row r="126" spans="1:31" x14ac:dyDescent="0.25">
      <c r="A126" s="11" t="s">
        <v>433</v>
      </c>
      <c r="B126" s="11" t="s">
        <v>432</v>
      </c>
      <c r="C126" s="15"/>
      <c r="D126" s="15"/>
      <c r="E126" s="15"/>
      <c r="F126" s="15"/>
      <c r="G126" s="15">
        <v>10.59</v>
      </c>
      <c r="H126" s="15"/>
      <c r="I126" s="15"/>
      <c r="J126" s="15"/>
      <c r="K126" s="15"/>
      <c r="L126" s="15"/>
      <c r="M126" s="15"/>
      <c r="N126" s="15"/>
      <c r="O126" s="15"/>
      <c r="P126" s="15"/>
      <c r="Q126" s="15"/>
      <c r="R126" s="15"/>
      <c r="S126" s="15">
        <v>10.59</v>
      </c>
      <c r="T126" s="15">
        <v>0</v>
      </c>
      <c r="U126" s="15">
        <v>0</v>
      </c>
      <c r="V126" s="15">
        <v>0</v>
      </c>
      <c r="W126" s="15">
        <v>0</v>
      </c>
      <c r="X126" s="15">
        <v>0</v>
      </c>
      <c r="Y126" s="15">
        <v>0</v>
      </c>
      <c r="Z126" s="22"/>
      <c r="AA126" s="22">
        <v>8.0499999994959364</v>
      </c>
      <c r="AB126" s="22">
        <v>8.01</v>
      </c>
      <c r="AC126" s="22">
        <v>7.77</v>
      </c>
      <c r="AD126" s="22">
        <v>7.5999999999999988</v>
      </c>
      <c r="AE126" s="22">
        <v>7.47</v>
      </c>
    </row>
    <row r="127" spans="1:31" x14ac:dyDescent="0.25">
      <c r="A127" s="11">
        <v>2002443010</v>
      </c>
      <c r="B127" s="11" t="s">
        <v>431</v>
      </c>
      <c r="C127" s="22"/>
      <c r="D127" s="22"/>
      <c r="E127" s="22"/>
      <c r="F127" s="22"/>
      <c r="G127" s="22">
        <v>159197.18562551003</v>
      </c>
      <c r="H127" s="22"/>
      <c r="I127" s="22"/>
      <c r="J127" s="22"/>
      <c r="K127" s="22"/>
      <c r="L127" s="22"/>
      <c r="M127" s="22"/>
      <c r="N127" s="22"/>
      <c r="O127" s="22"/>
      <c r="P127" s="22"/>
      <c r="Q127" s="22"/>
      <c r="R127" s="22"/>
      <c r="S127" s="22">
        <f t="shared" ref="S127:W127" si="21">S68+S74+S100</f>
        <v>176524.26664251002</v>
      </c>
      <c r="T127" s="22">
        <f t="shared" si="21"/>
        <v>185583.57735479856</v>
      </c>
      <c r="U127" s="22">
        <f t="shared" si="21"/>
        <v>177723.30192468932</v>
      </c>
      <c r="V127" s="22">
        <f t="shared" si="21"/>
        <v>184491.12687553771</v>
      </c>
      <c r="W127" s="22">
        <f t="shared" si="21"/>
        <v>183844.14547819091</v>
      </c>
      <c r="X127" s="22">
        <v>189583.57958965999</v>
      </c>
      <c r="Y127" s="22">
        <v>182830.25713439003</v>
      </c>
      <c r="Z127" s="22">
        <v>188167.61496043007</v>
      </c>
      <c r="AA127" s="22">
        <v>185861.93054600002</v>
      </c>
      <c r="AB127" s="22">
        <v>191559.12392956007</v>
      </c>
      <c r="AC127" s="22">
        <v>187070.16659899999</v>
      </c>
      <c r="AD127" s="22">
        <v>191404.14013199997</v>
      </c>
      <c r="AE127" s="22">
        <v>198846.58040680003</v>
      </c>
    </row>
    <row r="128" spans="1:31" x14ac:dyDescent="0.25">
      <c r="A128" s="11" t="s">
        <v>430</v>
      </c>
      <c r="B128" s="11" t="s">
        <v>426</v>
      </c>
      <c r="C128" s="22"/>
      <c r="D128" s="22"/>
      <c r="E128" s="22"/>
      <c r="F128" s="22"/>
      <c r="G128" s="22">
        <v>145301.34914013947</v>
      </c>
      <c r="H128" s="22"/>
      <c r="I128" s="22"/>
      <c r="J128" s="22"/>
      <c r="K128" s="22"/>
      <c r="L128" s="22"/>
      <c r="M128" s="22"/>
      <c r="N128" s="22"/>
      <c r="O128" s="22"/>
      <c r="P128" s="22"/>
      <c r="Q128" s="22"/>
      <c r="R128" s="22"/>
      <c r="S128" s="22">
        <f t="shared" ref="S128:W129" si="22">S69+S75+S100</f>
        <v>158961.41449288995</v>
      </c>
      <c r="T128" s="22">
        <f t="shared" si="22"/>
        <v>165572.64493351814</v>
      </c>
      <c r="U128" s="22">
        <f t="shared" si="22"/>
        <v>158411.08938404877</v>
      </c>
      <c r="V128" s="22">
        <f t="shared" si="22"/>
        <v>165931.01316560939</v>
      </c>
      <c r="W128" s="22">
        <f t="shared" si="22"/>
        <v>163815.88581671906</v>
      </c>
      <c r="X128" s="22">
        <v>170229.33448070474</v>
      </c>
      <c r="Y128" s="22">
        <v>162532.75468369081</v>
      </c>
      <c r="Z128" s="22"/>
      <c r="AA128" s="22">
        <v>165985.41741435815</v>
      </c>
      <c r="AB128" s="22">
        <v>171546.72471389693</v>
      </c>
      <c r="AC128" s="22">
        <v>168173.10806744103</v>
      </c>
      <c r="AD128" s="22">
        <v>171614.05616902173</v>
      </c>
      <c r="AE128" s="22">
        <v>179119.40184398953</v>
      </c>
    </row>
    <row r="129" spans="1:31" x14ac:dyDescent="0.25">
      <c r="A129" s="11" t="s">
        <v>429</v>
      </c>
      <c r="B129" s="11" t="s">
        <v>428</v>
      </c>
      <c r="C129" s="22"/>
      <c r="D129" s="22"/>
      <c r="E129" s="22"/>
      <c r="F129" s="22"/>
      <c r="G129" s="22">
        <v>94128.937268886802</v>
      </c>
      <c r="H129" s="22"/>
      <c r="I129" s="22"/>
      <c r="J129" s="22"/>
      <c r="K129" s="22"/>
      <c r="L129" s="22"/>
      <c r="M129" s="22"/>
      <c r="N129" s="22"/>
      <c r="O129" s="22"/>
      <c r="P129" s="22"/>
      <c r="Q129" s="22"/>
      <c r="R129" s="22"/>
      <c r="S129" s="22">
        <f t="shared" si="22"/>
        <v>1019212.8760322159</v>
      </c>
      <c r="T129" s="22">
        <f t="shared" si="22"/>
        <v>1097264.9232395608</v>
      </c>
      <c r="U129" s="22">
        <f t="shared" si="22"/>
        <v>997174.8403920884</v>
      </c>
      <c r="V129" s="22">
        <f t="shared" si="22"/>
        <v>1035830.1849300447</v>
      </c>
      <c r="W129" s="22">
        <f t="shared" si="22"/>
        <v>992612.06976354518</v>
      </c>
      <c r="X129" s="22">
        <v>1010119.0360646346</v>
      </c>
      <c r="Y129" s="22">
        <v>902944.31047478761</v>
      </c>
      <c r="Z129" s="22"/>
      <c r="AA129" s="22">
        <v>748206.48823943711</v>
      </c>
      <c r="AB129" s="22">
        <v>874715.11200894834</v>
      </c>
      <c r="AC129" s="22">
        <v>830612.13674292911</v>
      </c>
      <c r="AD129" s="22">
        <v>715305.46246683376</v>
      </c>
      <c r="AE129" s="22">
        <v>837357.83779617655</v>
      </c>
    </row>
    <row r="130" spans="1:31" x14ac:dyDescent="0.25">
      <c r="A130" s="11" t="s">
        <v>427</v>
      </c>
      <c r="B130" s="11" t="s">
        <v>426</v>
      </c>
      <c r="C130" s="15"/>
      <c r="D130" s="15"/>
      <c r="E130" s="15"/>
      <c r="F130" s="15"/>
      <c r="G130" s="15">
        <v>0.64781874239930026</v>
      </c>
      <c r="H130" s="15"/>
      <c r="I130" s="15"/>
      <c r="J130" s="15"/>
      <c r="K130" s="15"/>
      <c r="L130" s="15"/>
      <c r="M130" s="15"/>
      <c r="N130" s="15"/>
      <c r="O130" s="15"/>
      <c r="P130" s="15"/>
      <c r="Q130" s="15"/>
      <c r="R130" s="15"/>
      <c r="S130" s="15">
        <f t="shared" ref="S130:W130" si="23">S129/S128</f>
        <v>6.4116998410189874</v>
      </c>
      <c r="T130" s="15">
        <f t="shared" si="23"/>
        <v>6.6270906264748151</v>
      </c>
      <c r="U130" s="15">
        <f t="shared" si="23"/>
        <v>6.294855014692545</v>
      </c>
      <c r="V130" s="15">
        <f t="shared" si="23"/>
        <v>6.2425351666853395</v>
      </c>
      <c r="W130" s="15">
        <f t="shared" si="23"/>
        <v>6.0593150952045161</v>
      </c>
      <c r="X130" s="15">
        <v>5.9338717333652626</v>
      </c>
      <c r="Y130" s="15">
        <v>5.5554605730520645</v>
      </c>
      <c r="Z130" s="22"/>
      <c r="AA130" s="22">
        <v>4.5076639857563503</v>
      </c>
      <c r="AB130" s="22">
        <v>5.0989904556195125</v>
      </c>
      <c r="AC130" s="22">
        <v>4.9390306588722606</v>
      </c>
      <c r="AD130" s="22">
        <v>4.1681053314323702</v>
      </c>
      <c r="AE130" s="22">
        <v>4.674858385946953</v>
      </c>
    </row>
    <row r="131" spans="1:31" x14ac:dyDescent="0.25">
      <c r="A131" s="11" t="s">
        <v>425</v>
      </c>
      <c r="B131" s="11" t="s">
        <v>421</v>
      </c>
      <c r="C131" s="27"/>
      <c r="D131" s="27"/>
      <c r="E131" s="27"/>
      <c r="F131" s="27"/>
      <c r="G131" s="27">
        <v>13856.841342370544</v>
      </c>
      <c r="H131" s="27"/>
      <c r="I131" s="27"/>
      <c r="J131" s="27"/>
      <c r="K131" s="27"/>
      <c r="L131" s="27"/>
      <c r="M131" s="27"/>
      <c r="N131" s="27"/>
      <c r="O131" s="27"/>
      <c r="P131" s="27"/>
      <c r="Q131" s="27"/>
      <c r="R131" s="27"/>
      <c r="S131" s="27">
        <f t="shared" ref="S131:W131" si="24">S13+S78</f>
        <v>17523.857006620059</v>
      </c>
      <c r="T131" s="27">
        <f t="shared" si="24"/>
        <v>19969.458616728007</v>
      </c>
      <c r="U131" s="27">
        <f t="shared" si="24"/>
        <v>19269.426995022939</v>
      </c>
      <c r="V131" s="27">
        <f t="shared" si="24"/>
        <v>18519.353423928278</v>
      </c>
      <c r="W131" s="27">
        <f t="shared" si="24"/>
        <v>19974.313603791124</v>
      </c>
      <c r="X131" s="27">
        <v>19295.615255955239</v>
      </c>
      <c r="Y131" s="27">
        <v>20238.975032699207</v>
      </c>
      <c r="Z131" s="22"/>
      <c r="AA131" s="22">
        <v>19820.902147641857</v>
      </c>
      <c r="AB131" s="22">
        <v>19955.032479663125</v>
      </c>
      <c r="AC131" s="22">
        <v>18838.614304558956</v>
      </c>
      <c r="AD131" s="22">
        <v>19731.411689978275</v>
      </c>
      <c r="AE131" s="22">
        <v>19667.576899810472</v>
      </c>
    </row>
    <row r="132" spans="1:31" x14ac:dyDescent="0.25">
      <c r="A132" s="11" t="s">
        <v>424</v>
      </c>
      <c r="B132" s="11" t="s">
        <v>423</v>
      </c>
      <c r="C132" s="27"/>
      <c r="D132" s="27"/>
      <c r="E132" s="27"/>
      <c r="F132" s="27"/>
      <c r="G132" s="27">
        <v>1781.7093299624539</v>
      </c>
      <c r="H132" s="27"/>
      <c r="I132" s="27"/>
      <c r="J132" s="27"/>
      <c r="K132" s="27"/>
      <c r="L132" s="27"/>
      <c r="M132" s="27"/>
      <c r="N132" s="27"/>
      <c r="O132" s="27"/>
      <c r="P132" s="27"/>
      <c r="Q132" s="27"/>
      <c r="R132" s="27"/>
      <c r="S132" s="27">
        <f t="shared" ref="S132:W132" si="25">S15+S79</f>
        <v>15312.50292559361</v>
      </c>
      <c r="T132" s="27">
        <f t="shared" si="25"/>
        <v>20215.029328016004</v>
      </c>
      <c r="U132" s="27">
        <f t="shared" si="25"/>
        <v>19464.054754857967</v>
      </c>
      <c r="V132" s="27">
        <f t="shared" si="25"/>
        <v>17650.254156481511</v>
      </c>
      <c r="W132" s="27">
        <f t="shared" si="25"/>
        <v>22254.662603428878</v>
      </c>
      <c r="X132" s="27">
        <v>19363.470767749201</v>
      </c>
      <c r="Y132" s="27">
        <v>19733.075833941839</v>
      </c>
      <c r="Z132" s="22"/>
      <c r="AA132" s="22">
        <v>1445.6398325242767</v>
      </c>
      <c r="AB132" s="22">
        <v>19627.226747775909</v>
      </c>
      <c r="AC132" s="22">
        <v>18012.430476940452</v>
      </c>
      <c r="AD132" s="22">
        <v>1474.2924966764519</v>
      </c>
      <c r="AE132" s="22">
        <v>13683.518115386538</v>
      </c>
    </row>
    <row r="133" spans="1:31" x14ac:dyDescent="0.25">
      <c r="A133" s="11" t="s">
        <v>422</v>
      </c>
      <c r="B133" s="11" t="s">
        <v>421</v>
      </c>
      <c r="C133" s="28"/>
      <c r="D133" s="28"/>
      <c r="E133" s="28"/>
      <c r="F133" s="28"/>
      <c r="G133" s="28">
        <v>0.12857975969707178</v>
      </c>
      <c r="H133" s="28"/>
      <c r="I133" s="28"/>
      <c r="J133" s="28"/>
      <c r="K133" s="28"/>
      <c r="L133" s="28"/>
      <c r="M133" s="28"/>
      <c r="N133" s="28"/>
      <c r="O133" s="28"/>
      <c r="P133" s="28"/>
      <c r="Q133" s="28"/>
      <c r="R133" s="28"/>
      <c r="S133" s="28">
        <f t="shared" ref="S133:W133" si="26">S132/S131</f>
        <v>0.8738089405665056</v>
      </c>
      <c r="T133" s="28">
        <f t="shared" si="26"/>
        <v>1.0122973144140366</v>
      </c>
      <c r="U133" s="28">
        <f t="shared" si="26"/>
        <v>1.0101003397706272</v>
      </c>
      <c r="V133" s="28">
        <f t="shared" si="26"/>
        <v>0.95307075535780683</v>
      </c>
      <c r="W133" s="28">
        <f t="shared" si="26"/>
        <v>1.1141640731626914</v>
      </c>
      <c r="X133" s="28">
        <v>1.0035166285652912</v>
      </c>
      <c r="Y133" s="28">
        <v>0.97500371446972933</v>
      </c>
      <c r="Z133" s="22"/>
      <c r="AA133" s="22">
        <v>7.2935117773954006E-2</v>
      </c>
      <c r="AB133" s="22">
        <v>0.98357277883554961</v>
      </c>
      <c r="AC133" s="22">
        <v>0.95614412959139106</v>
      </c>
      <c r="AD133" s="22">
        <v>7.4718044498825978E-2</v>
      </c>
      <c r="AE133" s="22">
        <v>0.69573990660325824</v>
      </c>
    </row>
    <row r="134" spans="1:31" x14ac:dyDescent="0.25">
      <c r="A134" s="11" t="s">
        <v>420</v>
      </c>
      <c r="B134" s="11" t="s">
        <v>419</v>
      </c>
      <c r="C134" s="22"/>
      <c r="D134" s="22"/>
      <c r="E134" s="22"/>
      <c r="F134" s="22"/>
      <c r="G134" s="22">
        <v>30759.674715939735</v>
      </c>
      <c r="H134" s="22"/>
      <c r="I134" s="22"/>
      <c r="J134" s="22"/>
      <c r="K134" s="22"/>
      <c r="L134" s="22"/>
      <c r="M134" s="22"/>
      <c r="N134" s="22"/>
      <c r="O134" s="22"/>
      <c r="P134" s="22"/>
      <c r="Q134" s="22">
        <v>36487.420963175675</v>
      </c>
      <c r="R134" s="22">
        <v>38943.878983013099</v>
      </c>
      <c r="S134" s="22">
        <v>30759.674715939735</v>
      </c>
      <c r="T134" s="22">
        <v>37097.418067440216</v>
      </c>
      <c r="U134" s="22">
        <v>31789.042338510968</v>
      </c>
      <c r="V134" s="22">
        <v>37412.711847883904</v>
      </c>
      <c r="W134" s="22">
        <v>36606.214589583295</v>
      </c>
      <c r="X134" s="22">
        <v>37261.690320378999</v>
      </c>
      <c r="Y134" s="22">
        <v>36241.485305420792</v>
      </c>
      <c r="Z134" s="22">
        <v>39411.199188127655</v>
      </c>
      <c r="AA134" s="22">
        <v>42286.914107687859</v>
      </c>
      <c r="AB134" s="22">
        <v>42493.345260078662</v>
      </c>
      <c r="AC134" s="22">
        <v>36961.875437459697</v>
      </c>
      <c r="AD134" s="22">
        <v>42987.013398982555</v>
      </c>
      <c r="AE134" s="22">
        <v>34337.035976665371</v>
      </c>
    </row>
    <row r="135" spans="1:31" x14ac:dyDescent="0.25">
      <c r="A135" s="11" t="s">
        <v>418</v>
      </c>
      <c r="B135" s="11" t="s">
        <v>417</v>
      </c>
      <c r="C135" s="22"/>
      <c r="D135" s="22"/>
      <c r="E135" s="22"/>
      <c r="F135" s="22"/>
      <c r="G135" s="22">
        <v>17702.16324966</v>
      </c>
      <c r="H135" s="22"/>
      <c r="I135" s="22"/>
      <c r="J135" s="22"/>
      <c r="K135" s="22"/>
      <c r="L135" s="22"/>
      <c r="M135" s="22"/>
      <c r="N135" s="22"/>
      <c r="O135" s="22"/>
      <c r="P135" s="22"/>
      <c r="Q135" s="22">
        <v>24439.789289560002</v>
      </c>
      <c r="R135" s="22">
        <v>26544.537759599996</v>
      </c>
      <c r="S135" s="22">
        <v>17702.16324966</v>
      </c>
      <c r="T135" s="22">
        <v>23533.068535450009</v>
      </c>
      <c r="U135" s="22">
        <v>17707.026692149997</v>
      </c>
      <c r="V135" s="22">
        <v>22527.252384020001</v>
      </c>
      <c r="W135" s="22">
        <v>21221.459452900002</v>
      </c>
      <c r="X135" s="22">
        <v>21347.979590839997</v>
      </c>
      <c r="Y135" s="22">
        <v>19428.258409210001</v>
      </c>
      <c r="Z135" s="22">
        <v>21944.742490650002</v>
      </c>
      <c r="AA135" s="22">
        <v>23658.54107463</v>
      </c>
      <c r="AB135" s="22">
        <v>23500.75019974</v>
      </c>
      <c r="AC135" s="22">
        <v>17245.876345889999</v>
      </c>
      <c r="AD135" s="22">
        <v>23552.367142440002</v>
      </c>
      <c r="AE135" s="22">
        <v>15740.272543450001</v>
      </c>
    </row>
    <row r="136" spans="1:31" x14ac:dyDescent="0.25">
      <c r="A136" s="11" t="s">
        <v>416</v>
      </c>
      <c r="B136" s="11" t="s">
        <v>415</v>
      </c>
      <c r="C136" s="22"/>
      <c r="D136" s="22"/>
      <c r="E136" s="22"/>
      <c r="F136" s="22"/>
      <c r="G136" s="22">
        <v>7135.7251224700003</v>
      </c>
      <c r="H136" s="22"/>
      <c r="I136" s="22"/>
      <c r="J136" s="22"/>
      <c r="K136" s="22"/>
      <c r="L136" s="22"/>
      <c r="M136" s="22"/>
      <c r="N136" s="22"/>
      <c r="O136" s="22"/>
      <c r="P136" s="22"/>
      <c r="Q136" s="22"/>
      <c r="R136" s="22"/>
      <c r="S136" s="22">
        <v>7135.7251224700003</v>
      </c>
      <c r="T136" s="22">
        <v>10525.334625170011</v>
      </c>
      <c r="U136" s="22">
        <v>6976.6177082900012</v>
      </c>
      <c r="V136" s="22">
        <v>9566.272090389999</v>
      </c>
      <c r="W136" s="22">
        <v>10495.346846930001</v>
      </c>
      <c r="X136" s="22">
        <v>9534.21874656</v>
      </c>
      <c r="Y136" s="22">
        <v>9339.9069970700002</v>
      </c>
      <c r="Z136" s="22">
        <v>8496.3994299200003</v>
      </c>
      <c r="AA136" s="22">
        <v>9426.9011911500002</v>
      </c>
      <c r="AB136" s="22">
        <v>10129.7433869</v>
      </c>
      <c r="AC136" s="22">
        <v>6765.1562534599998</v>
      </c>
      <c r="AD136" s="22">
        <v>10829.26077465</v>
      </c>
      <c r="AE136" s="22">
        <v>7589.0332938299998</v>
      </c>
    </row>
    <row r="137" spans="1:31" x14ac:dyDescent="0.25">
      <c r="A137" s="11" t="s">
        <v>414</v>
      </c>
      <c r="B137" s="11" t="s">
        <v>413</v>
      </c>
      <c r="C137" s="22"/>
      <c r="D137" s="22"/>
      <c r="E137" s="22"/>
      <c r="F137" s="22"/>
      <c r="G137" s="22">
        <v>7672.0382695899971</v>
      </c>
      <c r="H137" s="22"/>
      <c r="I137" s="22"/>
      <c r="J137" s="22"/>
      <c r="K137" s="22"/>
      <c r="L137" s="22"/>
      <c r="M137" s="22"/>
      <c r="N137" s="22"/>
      <c r="O137" s="22"/>
      <c r="P137" s="22"/>
      <c r="Q137" s="22"/>
      <c r="R137" s="22"/>
      <c r="S137" s="22">
        <v>7672.0382695899971</v>
      </c>
      <c r="T137" s="22">
        <v>7685.7294555199987</v>
      </c>
      <c r="U137" s="22">
        <v>7097.6052401699972</v>
      </c>
      <c r="V137" s="22">
        <v>7593.0136456</v>
      </c>
      <c r="W137" s="22">
        <v>7704.3883753800001</v>
      </c>
      <c r="X137" s="22">
        <v>7890.11173607</v>
      </c>
      <c r="Y137" s="22">
        <v>7693.1805780300001</v>
      </c>
      <c r="Z137" s="22">
        <v>8294.698983979999</v>
      </c>
      <c r="AA137" s="22">
        <v>7969.9337649999998</v>
      </c>
      <c r="AB137" s="22">
        <v>7585.2490765100001</v>
      </c>
      <c r="AC137" s="22">
        <v>7363.8695431899996</v>
      </c>
      <c r="AD137" s="22">
        <v>7522.5013936099995</v>
      </c>
      <c r="AE137" s="22">
        <v>6935.2848098100003</v>
      </c>
    </row>
    <row r="138" spans="1:31" x14ac:dyDescent="0.25">
      <c r="A138" s="29" t="s">
        <v>412</v>
      </c>
      <c r="B138" s="11" t="s">
        <v>411</v>
      </c>
      <c r="C138" s="22"/>
      <c r="D138" s="22"/>
      <c r="E138" s="22"/>
      <c r="F138" s="22"/>
      <c r="G138" s="22">
        <v>2894.3998576000017</v>
      </c>
      <c r="H138" s="22"/>
      <c r="I138" s="22"/>
      <c r="J138" s="22"/>
      <c r="K138" s="22"/>
      <c r="L138" s="22"/>
      <c r="M138" s="22"/>
      <c r="N138" s="22"/>
      <c r="O138" s="22"/>
      <c r="P138" s="22"/>
      <c r="Q138" s="22"/>
      <c r="R138" s="22"/>
      <c r="S138" s="22">
        <v>2894.3998576000017</v>
      </c>
      <c r="T138" s="22">
        <v>5322.0044547599991</v>
      </c>
      <c r="U138" s="22">
        <v>3632.8037436899995</v>
      </c>
      <c r="V138" s="22">
        <v>5367.9666480299993</v>
      </c>
      <c r="W138" s="22">
        <v>3021.7242305899999</v>
      </c>
      <c r="X138" s="22">
        <v>3923.6491082100001</v>
      </c>
      <c r="Y138" s="22">
        <v>2395.1708341100002</v>
      </c>
      <c r="Z138" s="22">
        <v>5153.6440767500007</v>
      </c>
      <c r="AA138" s="22">
        <v>6261.7061184799995</v>
      </c>
      <c r="AB138" s="22">
        <v>5785.7577363299997</v>
      </c>
      <c r="AC138" s="22">
        <v>3116.85054924</v>
      </c>
      <c r="AD138" s="22">
        <v>5200.6049741800007</v>
      </c>
      <c r="AE138" s="22">
        <v>1215.9544398099999</v>
      </c>
    </row>
    <row r="139" spans="1:31" x14ac:dyDescent="0.25">
      <c r="A139" s="11" t="s">
        <v>410</v>
      </c>
      <c r="B139" s="11" t="s">
        <v>409</v>
      </c>
      <c r="C139" s="22"/>
      <c r="D139" s="22"/>
      <c r="E139" s="22"/>
      <c r="F139" s="22"/>
      <c r="G139" s="22">
        <v>2769.2693724200021</v>
      </c>
      <c r="H139" s="22"/>
      <c r="I139" s="22"/>
      <c r="J139" s="22"/>
      <c r="K139" s="22"/>
      <c r="L139" s="22"/>
      <c r="M139" s="22"/>
      <c r="N139" s="22"/>
      <c r="O139" s="22"/>
      <c r="P139" s="22"/>
      <c r="Q139" s="22"/>
      <c r="R139" s="22"/>
      <c r="S139" s="22">
        <v>2769.2693724200021</v>
      </c>
      <c r="T139" s="22">
        <v>5175.595075969999</v>
      </c>
      <c r="U139" s="22">
        <v>3491.4107407399997</v>
      </c>
      <c r="V139" s="22">
        <v>5207.9674525500004</v>
      </c>
      <c r="W139" s="22">
        <v>2860.3710936299999</v>
      </c>
      <c r="X139" s="22">
        <v>3788.46088543</v>
      </c>
      <c r="Y139" s="22">
        <v>2259.04856333</v>
      </c>
      <c r="Z139" s="22">
        <v>5016.4773611400005</v>
      </c>
      <c r="AA139" s="22">
        <v>6147.9213486499993</v>
      </c>
      <c r="AB139" s="22">
        <v>5671.1857667799995</v>
      </c>
      <c r="AC139" s="22">
        <v>3001.4215990699995</v>
      </c>
      <c r="AD139" s="22">
        <v>5084.4759588000006</v>
      </c>
      <c r="AE139" s="22">
        <v>1099.0677708399999</v>
      </c>
    </row>
    <row r="140" spans="1:31" x14ac:dyDescent="0.25">
      <c r="A140" s="11" t="s">
        <v>408</v>
      </c>
      <c r="B140" s="11" t="s">
        <v>407</v>
      </c>
      <c r="C140" s="22"/>
      <c r="D140" s="22"/>
      <c r="E140" s="22"/>
      <c r="F140" s="22"/>
      <c r="G140" s="22">
        <v>125.13048518000001</v>
      </c>
      <c r="H140" s="22"/>
      <c r="I140" s="22"/>
      <c r="J140" s="22"/>
      <c r="K140" s="22"/>
      <c r="L140" s="22"/>
      <c r="M140" s="22"/>
      <c r="N140" s="22"/>
      <c r="O140" s="22"/>
      <c r="P140" s="22"/>
      <c r="Q140" s="22"/>
      <c r="R140" s="22"/>
      <c r="S140" s="22">
        <v>125.13048518000001</v>
      </c>
      <c r="T140" s="22">
        <v>146.40937879000001</v>
      </c>
      <c r="U140" s="22">
        <v>141.39300294999998</v>
      </c>
      <c r="V140" s="22">
        <v>159.99919548</v>
      </c>
      <c r="W140" s="22">
        <v>161.35313696</v>
      </c>
      <c r="X140" s="22">
        <v>135.18822277999999</v>
      </c>
      <c r="Y140" s="22">
        <v>136.12227078000001</v>
      </c>
      <c r="Z140" s="22">
        <v>137.16671561000001</v>
      </c>
      <c r="AA140" s="22">
        <v>113.78476983</v>
      </c>
      <c r="AB140" s="22">
        <v>114.57196954999999</v>
      </c>
      <c r="AC140" s="22">
        <v>115.42895016999999</v>
      </c>
      <c r="AD140" s="22">
        <v>116.12901538</v>
      </c>
      <c r="AE140" s="22">
        <v>116.88666897</v>
      </c>
    </row>
    <row r="141" spans="1:31" x14ac:dyDescent="0.25">
      <c r="A141" s="11" t="s">
        <v>406</v>
      </c>
      <c r="B141" s="11" t="s">
        <v>405</v>
      </c>
      <c r="C141" s="22"/>
      <c r="D141" s="22"/>
      <c r="E141" s="22"/>
      <c r="F141" s="22"/>
      <c r="G141" s="22">
        <v>1834.9813212797337</v>
      </c>
      <c r="H141" s="22"/>
      <c r="I141" s="22"/>
      <c r="J141" s="22"/>
      <c r="K141" s="22"/>
      <c r="L141" s="22"/>
      <c r="M141" s="22"/>
      <c r="N141" s="22"/>
      <c r="O141" s="22"/>
      <c r="P141" s="22"/>
      <c r="Q141" s="22">
        <v>1682.9452940369836</v>
      </c>
      <c r="R141" s="22">
        <v>1798.7122524131069</v>
      </c>
      <c r="S141" s="22">
        <v>1834.9813212797337</v>
      </c>
      <c r="T141" s="22">
        <v>1768.7167324856205</v>
      </c>
      <c r="U141" s="22">
        <v>1798.4867363609696</v>
      </c>
      <c r="V141" s="22">
        <v>1843.3905298639011</v>
      </c>
      <c r="W141" s="22">
        <v>1952.1479156833</v>
      </c>
      <c r="X141" s="22">
        <v>2004.1166535390014</v>
      </c>
      <c r="Y141" s="22">
        <v>2535.7194992107961</v>
      </c>
      <c r="Z141" s="22">
        <v>2905.5251960718015</v>
      </c>
      <c r="AA141" s="22">
        <v>3049.7819168099031</v>
      </c>
      <c r="AB141" s="22">
        <v>3233.0891687113035</v>
      </c>
      <c r="AC141" s="22">
        <v>3410.636918616261</v>
      </c>
      <c r="AD141" s="22">
        <v>3432.1370603713003</v>
      </c>
      <c r="AE141" s="22">
        <v>3679.1478022244009</v>
      </c>
    </row>
    <row r="142" spans="1:31" x14ac:dyDescent="0.25">
      <c r="A142" s="11" t="s">
        <v>404</v>
      </c>
      <c r="B142" s="11" t="s">
        <v>403</v>
      </c>
      <c r="C142" s="22"/>
      <c r="D142" s="22"/>
      <c r="E142" s="22"/>
      <c r="F142" s="22"/>
      <c r="G142" s="22">
        <v>22256.293889719724</v>
      </c>
      <c r="H142" s="22"/>
      <c r="I142" s="22"/>
      <c r="J142" s="22"/>
      <c r="K142" s="22"/>
      <c r="L142" s="22"/>
      <c r="M142" s="22"/>
      <c r="N142" s="22"/>
      <c r="O142" s="22"/>
      <c r="P142" s="22"/>
      <c r="Q142" s="22"/>
      <c r="R142" s="22"/>
      <c r="S142" s="22">
        <v>22256.293889719724</v>
      </c>
      <c r="T142" s="22">
        <v>22476.834464855638</v>
      </c>
      <c r="U142" s="22">
        <v>24793.022238980968</v>
      </c>
      <c r="V142" s="22">
        <v>22814.658008643903</v>
      </c>
      <c r="W142" s="22">
        <v>26787.100563023301</v>
      </c>
      <c r="X142" s="22">
        <v>26661.112426359003</v>
      </c>
      <c r="Y142" s="22">
        <v>25694.568726540798</v>
      </c>
      <c r="Z142" s="22">
        <v>23740.715463091801</v>
      </c>
      <c r="AA142" s="22">
        <v>23586.862645019901</v>
      </c>
      <c r="AB142" s="22">
        <v>24296.379229961301</v>
      </c>
      <c r="AC142" s="22">
        <v>23746.972911556259</v>
      </c>
      <c r="AD142" s="22">
        <v>25085.752249101301</v>
      </c>
      <c r="AE142" s="22">
        <v>25875.624575394402</v>
      </c>
    </row>
    <row r="143" spans="1:31" x14ac:dyDescent="0.25">
      <c r="A143" s="11" t="s">
        <v>402</v>
      </c>
      <c r="B143" s="11" t="s">
        <v>401</v>
      </c>
      <c r="C143" s="22"/>
      <c r="D143" s="22"/>
      <c r="E143" s="22"/>
      <c r="F143" s="22"/>
      <c r="G143" s="22">
        <v>3735.6429514199904</v>
      </c>
      <c r="H143" s="22"/>
      <c r="I143" s="22"/>
      <c r="J143" s="22"/>
      <c r="K143" s="22"/>
      <c r="L143" s="22"/>
      <c r="M143" s="22"/>
      <c r="N143" s="22"/>
      <c r="O143" s="22"/>
      <c r="P143" s="22"/>
      <c r="Q143" s="22"/>
      <c r="R143" s="22"/>
      <c r="S143" s="22">
        <v>3735.6429514199904</v>
      </c>
      <c r="T143" s="22">
        <v>4313.5268383200146</v>
      </c>
      <c r="U143" s="22">
        <v>4160.0195386199966</v>
      </c>
      <c r="V143" s="22">
        <v>4055.39892384</v>
      </c>
      <c r="W143" s="22">
        <v>4278.6957936399995</v>
      </c>
      <c r="X143" s="22">
        <v>4698.1164898799998</v>
      </c>
      <c r="Y143" s="22">
        <v>4829.4409296000003</v>
      </c>
      <c r="Z143" s="22">
        <v>4582.3348943999999</v>
      </c>
      <c r="AA143" s="22">
        <v>4527.7423271099997</v>
      </c>
      <c r="AB143" s="22">
        <v>5134.8069046000001</v>
      </c>
      <c r="AC143" s="22">
        <v>4310.8251951899992</v>
      </c>
      <c r="AD143" s="22">
        <v>4247.8576902300001</v>
      </c>
      <c r="AE143" s="22">
        <v>4441.6159568200001</v>
      </c>
    </row>
    <row r="144" spans="1:31" x14ac:dyDescent="0.25">
      <c r="A144" s="11" t="s">
        <v>400</v>
      </c>
      <c r="B144" s="11" t="s">
        <v>399</v>
      </c>
      <c r="C144" s="22"/>
      <c r="D144" s="22"/>
      <c r="E144" s="22"/>
      <c r="F144" s="22"/>
      <c r="G144" s="22">
        <v>16685.669617019998</v>
      </c>
      <c r="H144" s="22"/>
      <c r="I144" s="22"/>
      <c r="J144" s="22"/>
      <c r="K144" s="22"/>
      <c r="L144" s="22"/>
      <c r="M144" s="22"/>
      <c r="N144" s="22"/>
      <c r="O144" s="22"/>
      <c r="P144" s="22"/>
      <c r="Q144" s="22"/>
      <c r="R144" s="22"/>
      <c r="S144" s="22">
        <v>16685.669617019998</v>
      </c>
      <c r="T144" s="22">
        <v>16394.590894050001</v>
      </c>
      <c r="U144" s="22">
        <v>18834.515963999998</v>
      </c>
      <c r="V144" s="22">
        <v>16915.86855494</v>
      </c>
      <c r="W144" s="22">
        <v>20556.256853700001</v>
      </c>
      <c r="X144" s="22">
        <v>19958.879282939997</v>
      </c>
      <c r="Y144" s="22">
        <v>18329.408297729999</v>
      </c>
      <c r="Z144" s="22">
        <v>16252.855372620001</v>
      </c>
      <c r="AA144" s="22">
        <v>16009.3384011</v>
      </c>
      <c r="AB144" s="22">
        <v>15928.48315665</v>
      </c>
      <c r="AC144" s="22">
        <v>16025.510797749999</v>
      </c>
      <c r="AD144" s="22">
        <v>17405.757498499999</v>
      </c>
      <c r="AE144" s="22">
        <v>17754.860816349999</v>
      </c>
    </row>
    <row r="145" spans="1:31" x14ac:dyDescent="0.25">
      <c r="A145" s="11" t="s">
        <v>398</v>
      </c>
      <c r="B145" s="11" t="s">
        <v>397</v>
      </c>
      <c r="C145" s="22">
        <v>4472.1906829606096</v>
      </c>
      <c r="D145" s="22">
        <v>4577.2249537672933</v>
      </c>
      <c r="E145" s="22">
        <v>4964.3398329276743</v>
      </c>
      <c r="F145" s="22">
        <v>5513.1403765950172</v>
      </c>
      <c r="G145" s="22">
        <v>5606.9207737167135</v>
      </c>
      <c r="H145" s="22">
        <v>6060.3705642005079</v>
      </c>
      <c r="I145" s="22">
        <v>7377.3947509765394</v>
      </c>
      <c r="J145" s="22">
        <v>7557.8173813648391</v>
      </c>
      <c r="K145" s="22">
        <v>7800.2613258229094</v>
      </c>
      <c r="L145" s="22">
        <v>8158.8165328099958</v>
      </c>
      <c r="M145" s="22">
        <v>8361.6319544826292</v>
      </c>
      <c r="N145" s="22">
        <v>8630.1196509841393</v>
      </c>
      <c r="O145" s="22">
        <v>9479.2426173441836</v>
      </c>
      <c r="P145" s="22">
        <v>10584.164521563704</v>
      </c>
      <c r="Q145" s="22">
        <v>10364.686379578689</v>
      </c>
      <c r="R145" s="22">
        <v>10600.628971125476</v>
      </c>
      <c r="S145" s="22">
        <v>11222.530145000001</v>
      </c>
      <c r="T145" s="22">
        <v>11795.632799504585</v>
      </c>
      <c r="U145" s="22">
        <v>12283.528910000001</v>
      </c>
      <c r="V145" s="22">
        <v>13042.068934000001</v>
      </c>
      <c r="W145" s="22">
        <v>13432.607221</v>
      </c>
      <c r="X145" s="22">
        <v>13909.594075999999</v>
      </c>
      <c r="Y145" s="22">
        <v>14277.507396999999</v>
      </c>
      <c r="Z145" s="22">
        <v>14560.931501405852</v>
      </c>
      <c r="AA145" s="22">
        <v>15578.591116247955</v>
      </c>
      <c r="AB145" s="22">
        <v>15759.505891627357</v>
      </c>
      <c r="AC145" s="22">
        <v>16305.362172953437</v>
      </c>
      <c r="AD145" s="22">
        <v>16002.509196171257</v>
      </c>
      <c r="AE145" s="22">
        <v>14917.615630990964</v>
      </c>
    </row>
    <row r="146" spans="1:31" x14ac:dyDescent="0.25">
      <c r="A146" s="11" t="s">
        <v>396</v>
      </c>
      <c r="B146" s="11" t="s">
        <v>395</v>
      </c>
      <c r="C146" s="22">
        <v>4456.3959437568401</v>
      </c>
      <c r="D146" s="22">
        <v>4561.5688972200805</v>
      </c>
      <c r="E146" s="22">
        <v>4949.1297220781698</v>
      </c>
      <c r="F146" s="22">
        <v>5498.80370143658</v>
      </c>
      <c r="G146" s="22">
        <v>5592.42358379083</v>
      </c>
      <c r="H146" s="22">
        <v>6046.3066831713304</v>
      </c>
      <c r="I146" s="22">
        <v>7363.2836154984398</v>
      </c>
      <c r="J146" s="22">
        <v>7543.6906498691505</v>
      </c>
      <c r="K146" s="22">
        <v>7786.0652877619405</v>
      </c>
      <c r="L146" s="22">
        <v>8144.6651318927898</v>
      </c>
      <c r="M146" s="22">
        <v>8343.9843039809311</v>
      </c>
      <c r="N146" s="22">
        <v>8610.8873243058697</v>
      </c>
      <c r="O146" s="22">
        <v>9454.0094864724997</v>
      </c>
      <c r="P146" s="22">
        <v>10555.927363353701</v>
      </c>
      <c r="Q146" s="22">
        <v>10332.4487983009</v>
      </c>
      <c r="R146" s="22">
        <v>10561.492464983299</v>
      </c>
      <c r="S146" s="22">
        <v>11177.030236000001</v>
      </c>
      <c r="T146" s="22">
        <v>11742.479797775801</v>
      </c>
      <c r="U146" s="22">
        <v>12234.777383000001</v>
      </c>
      <c r="V146" s="22">
        <v>12997.479047000001</v>
      </c>
      <c r="W146" s="22">
        <v>13391.264983999999</v>
      </c>
      <c r="X146" s="22">
        <v>13870.946076</v>
      </c>
      <c r="Y146" s="22">
        <v>14240.623003000001</v>
      </c>
      <c r="Z146" s="22">
        <v>14524.4107888648</v>
      </c>
      <c r="AA146" s="22">
        <v>15543.3099890905</v>
      </c>
      <c r="AB146" s="22">
        <v>15724.3249434631</v>
      </c>
      <c r="AC146" s="22">
        <v>16273.6771845192</v>
      </c>
      <c r="AD146" s="22">
        <v>15962.881317221902</v>
      </c>
      <c r="AE146" s="22">
        <v>14880.3183086012</v>
      </c>
    </row>
    <row r="147" spans="1:31" x14ac:dyDescent="0.25">
      <c r="A147" s="11" t="s">
        <v>394</v>
      </c>
      <c r="B147" s="11" t="s">
        <v>393</v>
      </c>
      <c r="C147" s="22">
        <v>15.794739203769199</v>
      </c>
      <c r="D147" s="22">
        <v>15.656056547212399</v>
      </c>
      <c r="E147" s="22">
        <v>15.210110849504801</v>
      </c>
      <c r="F147" s="22">
        <v>14.336675158437499</v>
      </c>
      <c r="G147" s="22">
        <v>14.4971899258835</v>
      </c>
      <c r="H147" s="22">
        <v>14.0638810291772</v>
      </c>
      <c r="I147" s="22">
        <v>14.1111354780992</v>
      </c>
      <c r="J147" s="22">
        <v>14.1267314956885</v>
      </c>
      <c r="K147" s="22">
        <v>14.196038060969199</v>
      </c>
      <c r="L147" s="22">
        <v>14.1514009172057</v>
      </c>
      <c r="M147" s="22">
        <v>17.647650501697399</v>
      </c>
      <c r="N147" s="22">
        <v>19.232326678270297</v>
      </c>
      <c r="O147" s="22">
        <v>25.233130871684398</v>
      </c>
      <c r="P147" s="22">
        <v>28.2371582100028</v>
      </c>
      <c r="Q147" s="22">
        <v>32.237581277789104</v>
      </c>
      <c r="R147" s="22">
        <v>39.136506142176394</v>
      </c>
      <c r="S147" s="22">
        <v>45.499909000000002</v>
      </c>
      <c r="T147" s="22">
        <v>53.153001728785199</v>
      </c>
      <c r="U147" s="22">
        <v>48.751527000000003</v>
      </c>
      <c r="V147" s="22">
        <v>44.589886999999997</v>
      </c>
      <c r="W147" s="22">
        <v>41.342236999999997</v>
      </c>
      <c r="X147" s="22">
        <v>38.648000000000003</v>
      </c>
      <c r="Y147" s="22">
        <v>36.884394</v>
      </c>
      <c r="Z147" s="22">
        <v>36.520712541052404</v>
      </c>
      <c r="AA147" s="22">
        <v>35.281127157456304</v>
      </c>
      <c r="AB147" s="22">
        <v>35.180948164258503</v>
      </c>
      <c r="AC147" s="22">
        <v>31.684988434237201</v>
      </c>
      <c r="AD147" s="22">
        <v>39.627878949355498</v>
      </c>
      <c r="AE147" s="22">
        <v>37.297322389764602</v>
      </c>
    </row>
    <row r="148" spans="1:31" x14ac:dyDescent="0.25">
      <c r="A148" s="11" t="s">
        <v>392</v>
      </c>
      <c r="B148" s="11" t="s">
        <v>53</v>
      </c>
      <c r="C148" s="22">
        <v>684.09345953335708</v>
      </c>
      <c r="D148" s="22">
        <v>719.00309261416896</v>
      </c>
      <c r="E148" s="22">
        <v>801.38572887297903</v>
      </c>
      <c r="F148" s="22">
        <v>1142.24787673182</v>
      </c>
      <c r="G148" s="22">
        <v>1038.7484668987499</v>
      </c>
      <c r="H148" s="22">
        <v>1038.4250728223301</v>
      </c>
      <c r="I148" s="22">
        <v>965.19018032982194</v>
      </c>
      <c r="J148" s="22">
        <v>927.09636296691303</v>
      </c>
      <c r="K148" s="22">
        <v>764.87910695419998</v>
      </c>
      <c r="L148" s="22">
        <v>828.50240254556593</v>
      </c>
      <c r="M148" s="22">
        <v>835.66168238852299</v>
      </c>
      <c r="N148" s="22">
        <v>750.48905176255903</v>
      </c>
      <c r="O148" s="22">
        <v>881.82527709444003</v>
      </c>
      <c r="P148" s="22">
        <v>991.52536100799296</v>
      </c>
      <c r="Q148" s="22">
        <v>855.97435671371602</v>
      </c>
      <c r="R148" s="22">
        <v>965.77032294856906</v>
      </c>
      <c r="S148" s="22">
        <v>1481.0351659999999</v>
      </c>
      <c r="T148" s="22">
        <v>1746.8405779362599</v>
      </c>
      <c r="U148" s="22">
        <v>2169.4465829999999</v>
      </c>
      <c r="V148" s="22">
        <v>2706.6654840000001</v>
      </c>
      <c r="W148" s="22">
        <v>3431.1242080000002</v>
      </c>
      <c r="X148" s="22">
        <v>3657.6870650000001</v>
      </c>
      <c r="Y148" s="22">
        <v>3705.525967</v>
      </c>
      <c r="Z148" s="22">
        <v>3585.39203245311</v>
      </c>
      <c r="AA148" s="22">
        <v>4107.8861869728798</v>
      </c>
      <c r="AB148" s="22">
        <v>5018.9799073224804</v>
      </c>
      <c r="AC148" s="22">
        <v>5404.8976381715802</v>
      </c>
      <c r="AD148" s="22">
        <v>5310.0344596199502</v>
      </c>
      <c r="AE148" s="22">
        <v>4665.33467543196</v>
      </c>
    </row>
    <row r="149" spans="1:31" x14ac:dyDescent="0.25">
      <c r="A149" s="11" t="s">
        <v>391</v>
      </c>
      <c r="B149" s="11" t="s">
        <v>12</v>
      </c>
      <c r="C149" s="22"/>
      <c r="D149" s="22"/>
      <c r="E149" s="22"/>
      <c r="F149" s="22"/>
      <c r="G149" s="22">
        <v>27587.904663000001</v>
      </c>
      <c r="H149" s="22"/>
      <c r="I149" s="22"/>
      <c r="J149" s="22"/>
      <c r="K149" s="22"/>
      <c r="L149" s="22"/>
      <c r="M149" s="22"/>
      <c r="N149" s="22"/>
      <c r="O149" s="22"/>
      <c r="P149" s="22"/>
      <c r="Q149" s="22">
        <v>26535.092251999999</v>
      </c>
      <c r="R149" s="22">
        <v>22784.391941000002</v>
      </c>
      <c r="S149" s="22">
        <v>27587.904663000001</v>
      </c>
      <c r="T149" s="22">
        <v>19293.8927635</v>
      </c>
      <c r="U149" s="22">
        <v>28219.635929900003</v>
      </c>
      <c r="V149" s="22">
        <v>25283.151106000001</v>
      </c>
      <c r="W149" s="22">
        <v>29282.913005279999</v>
      </c>
      <c r="X149" s="22">
        <v>29598.082980000003</v>
      </c>
      <c r="Y149" s="22">
        <v>36704.085444570002</v>
      </c>
      <c r="Z149" s="22">
        <v>29956.610692039998</v>
      </c>
      <c r="AA149" s="22">
        <v>35050.612932999997</v>
      </c>
      <c r="AB149" s="22">
        <v>33996.924545360002</v>
      </c>
      <c r="AC149" s="22">
        <v>39574.004736999988</v>
      </c>
      <c r="AD149" s="22">
        <v>39206.071815999996</v>
      </c>
      <c r="AE149" s="22">
        <v>34192.151406000004</v>
      </c>
    </row>
    <row r="150" spans="1:31" x14ac:dyDescent="0.25">
      <c r="A150" s="11" t="s">
        <v>390</v>
      </c>
      <c r="B150" s="11" t="s">
        <v>386</v>
      </c>
      <c r="C150" s="22"/>
      <c r="D150" s="22"/>
      <c r="E150" s="22"/>
      <c r="F150" s="22"/>
      <c r="G150" s="22">
        <v>268904.30269054195</v>
      </c>
      <c r="H150" s="22"/>
      <c r="I150" s="22"/>
      <c r="J150" s="22"/>
      <c r="K150" s="22"/>
      <c r="L150" s="22"/>
      <c r="M150" s="22"/>
      <c r="N150" s="22"/>
      <c r="O150" s="22"/>
      <c r="P150" s="22"/>
      <c r="Q150" s="22"/>
      <c r="R150" s="22"/>
      <c r="S150" s="22">
        <v>268904.30269054195</v>
      </c>
      <c r="T150" s="22">
        <v>190682.80172685502</v>
      </c>
      <c r="U150" s="22">
        <v>262885.15018677001</v>
      </c>
      <c r="V150" s="22">
        <v>229840.02639216001</v>
      </c>
      <c r="W150" s="22">
        <v>260247.44558163171</v>
      </c>
      <c r="X150" s="22">
        <v>251423.97671751759</v>
      </c>
      <c r="Y150" s="22">
        <v>294603.77356017235</v>
      </c>
      <c r="Z150" s="22"/>
      <c r="AA150" s="22">
        <v>262832.20098592906</v>
      </c>
      <c r="AB150" s="22">
        <v>257194.0332975394</v>
      </c>
      <c r="AC150" s="22">
        <v>286011.32939135301</v>
      </c>
      <c r="AD150" s="22">
        <v>283038.55003036669</v>
      </c>
      <c r="AE150" s="22"/>
    </row>
    <row r="151" spans="1:31" x14ac:dyDescent="0.25">
      <c r="A151" s="11" t="s">
        <v>389</v>
      </c>
      <c r="B151" s="11" t="s">
        <v>12</v>
      </c>
      <c r="C151" s="15"/>
      <c r="D151" s="15"/>
      <c r="E151" s="15"/>
      <c r="F151" s="15"/>
      <c r="G151" s="15">
        <v>9.7471810916900701</v>
      </c>
      <c r="H151" s="15"/>
      <c r="I151" s="15"/>
      <c r="J151" s="15"/>
      <c r="K151" s="15"/>
      <c r="L151" s="15"/>
      <c r="M151" s="15"/>
      <c r="N151" s="15"/>
      <c r="O151" s="15"/>
      <c r="P151" s="15"/>
      <c r="Q151" s="15"/>
      <c r="R151" s="15"/>
      <c r="S151" s="15">
        <v>9.7471810916900701</v>
      </c>
      <c r="T151" s="15">
        <v>9.8830652820662195</v>
      </c>
      <c r="U151" s="15">
        <v>9.3156818479089907</v>
      </c>
      <c r="V151" s="23">
        <v>9.0904158692328885</v>
      </c>
      <c r="W151" s="23">
        <v>8.8873482475840611</v>
      </c>
      <c r="X151" s="23">
        <v>8.4946034135862671</v>
      </c>
      <c r="Y151" s="23">
        <v>8.026457272858055</v>
      </c>
      <c r="Z151" s="22"/>
      <c r="AA151" s="22">
        <v>7.498647783658976</v>
      </c>
      <c r="AB151" s="22">
        <v>7.5652146991820173</v>
      </c>
      <c r="AC151" s="22">
        <v>7.2272526192918942</v>
      </c>
      <c r="AD151" s="22">
        <v>7.2192529605799143</v>
      </c>
      <c r="AE151" s="22"/>
    </row>
    <row r="152" spans="1:31" x14ac:dyDescent="0.25">
      <c r="A152" s="11" t="s">
        <v>388</v>
      </c>
      <c r="B152" s="11" t="s">
        <v>384</v>
      </c>
      <c r="C152" s="22"/>
      <c r="D152" s="22"/>
      <c r="E152" s="22"/>
      <c r="F152" s="22"/>
      <c r="G152" s="22">
        <v>15288.78352965</v>
      </c>
      <c r="H152" s="22"/>
      <c r="I152" s="22"/>
      <c r="J152" s="22"/>
      <c r="K152" s="22"/>
      <c r="L152" s="22"/>
      <c r="M152" s="22"/>
      <c r="N152" s="22"/>
      <c r="O152" s="22"/>
      <c r="P152" s="22"/>
      <c r="Q152" s="22"/>
      <c r="R152" s="22"/>
      <c r="S152" s="22">
        <v>15288.78352965</v>
      </c>
      <c r="T152" s="22">
        <v>1508.23764265</v>
      </c>
      <c r="U152" s="22">
        <v>17616.597509750001</v>
      </c>
      <c r="V152" s="22">
        <v>6470.7926816400004</v>
      </c>
      <c r="W152" s="22">
        <v>8772.5815030599988</v>
      </c>
      <c r="X152" s="22">
        <v>17716.03464459</v>
      </c>
      <c r="Y152" s="22">
        <v>4399.3786211999995</v>
      </c>
      <c r="Z152" s="22"/>
      <c r="AA152" s="22">
        <v>14867.077647</v>
      </c>
      <c r="AB152" s="22">
        <v>6463.251088</v>
      </c>
      <c r="AC152" s="22">
        <v>20538.939694830002</v>
      </c>
      <c r="AD152" s="22">
        <v>12739.131604</v>
      </c>
      <c r="AE152" s="22">
        <v>9399.1667910800006</v>
      </c>
    </row>
    <row r="153" spans="1:31" x14ac:dyDescent="0.25">
      <c r="A153" s="11" t="s">
        <v>387</v>
      </c>
      <c r="B153" s="11" t="s">
        <v>386</v>
      </c>
      <c r="C153" s="22"/>
      <c r="D153" s="22"/>
      <c r="E153" s="22"/>
      <c r="F153" s="22"/>
      <c r="G153" s="22">
        <v>147045.83220999999</v>
      </c>
      <c r="H153" s="22"/>
      <c r="I153" s="22"/>
      <c r="J153" s="22"/>
      <c r="K153" s="22"/>
      <c r="L153" s="22"/>
      <c r="M153" s="22"/>
      <c r="N153" s="22"/>
      <c r="O153" s="22"/>
      <c r="P153" s="22"/>
      <c r="Q153" s="22"/>
      <c r="R153" s="22"/>
      <c r="S153" s="22">
        <v>147045.83220999999</v>
      </c>
      <c r="T153" s="22">
        <v>14321.673826935801</v>
      </c>
      <c r="U153" s="22">
        <v>162369.84226812201</v>
      </c>
      <c r="V153" s="22">
        <v>57030.262159901002</v>
      </c>
      <c r="W153" s="22">
        <v>74900.480709713389</v>
      </c>
      <c r="X153" s="22">
        <v>139660.60122625501</v>
      </c>
      <c r="Y153" s="22">
        <v>35302.307004749295</v>
      </c>
      <c r="Z153" s="22"/>
      <c r="AA153" s="22">
        <v>107461.84841999999</v>
      </c>
      <c r="AB153" s="22">
        <v>45772.855746000001</v>
      </c>
      <c r="AC153" s="22">
        <v>143930.05020178901</v>
      </c>
      <c r="AD153" s="22">
        <v>87501.541230999996</v>
      </c>
      <c r="AE153" s="22">
        <v>64194.940730361901</v>
      </c>
    </row>
    <row r="154" spans="1:31" x14ac:dyDescent="0.25">
      <c r="A154" s="11" t="s">
        <v>385</v>
      </c>
      <c r="B154" s="11" t="s">
        <v>384</v>
      </c>
      <c r="C154" s="23"/>
      <c r="D154" s="23"/>
      <c r="E154" s="23"/>
      <c r="F154" s="23"/>
      <c r="G154" s="23">
        <v>9.6178896067715307</v>
      </c>
      <c r="H154" s="23"/>
      <c r="I154" s="23"/>
      <c r="J154" s="23"/>
      <c r="K154" s="23"/>
      <c r="L154" s="23"/>
      <c r="M154" s="23"/>
      <c r="N154" s="23"/>
      <c r="O154" s="23"/>
      <c r="P154" s="23"/>
      <c r="Q154" s="23"/>
      <c r="R154" s="23"/>
      <c r="S154" s="23">
        <v>9.6178896067715307</v>
      </c>
      <c r="T154" s="23">
        <v>9.4956347872158702</v>
      </c>
      <c r="U154" s="23">
        <v>9.2168673421901008</v>
      </c>
      <c r="V154" s="23">
        <v>8.8134893151061178</v>
      </c>
      <c r="W154" s="23">
        <v>8.5380204998479705</v>
      </c>
      <c r="X154" s="23">
        <v>7.8832878817440797</v>
      </c>
      <c r="Y154" s="23">
        <v>8.0243848153083093</v>
      </c>
      <c r="Z154" s="22"/>
      <c r="AA154" s="22">
        <v>7.2281756355583786</v>
      </c>
      <c r="AB154" s="22">
        <v>7.0820172576900511</v>
      </c>
      <c r="AC154" s="22">
        <v>7.0076670139899502</v>
      </c>
      <c r="AD154" s="22">
        <v>6.8687210361752689</v>
      </c>
      <c r="AE154" s="22">
        <v>6.829854407018737</v>
      </c>
    </row>
    <row r="155" spans="1:31" x14ac:dyDescent="0.25">
      <c r="A155" s="11" t="s">
        <v>383</v>
      </c>
      <c r="B155" s="11" t="s">
        <v>382</v>
      </c>
      <c r="C155" s="22"/>
      <c r="D155" s="22"/>
      <c r="E155" s="22"/>
      <c r="F155" s="22"/>
      <c r="G155" s="22">
        <v>15881.012602991899</v>
      </c>
      <c r="H155" s="22"/>
      <c r="I155" s="22"/>
      <c r="J155" s="22"/>
      <c r="K155" s="22"/>
      <c r="L155" s="22"/>
      <c r="M155" s="22"/>
      <c r="N155" s="22"/>
      <c r="O155" s="22"/>
      <c r="P155" s="22">
        <v>21413.498835582803</v>
      </c>
      <c r="Q155" s="22">
        <v>22938.034941572998</v>
      </c>
      <c r="R155" s="22">
        <v>20943.707669623098</v>
      </c>
      <c r="S155" s="22">
        <v>15881.012602991899</v>
      </c>
      <c r="T155" s="22">
        <v>20507.2938228733</v>
      </c>
      <c r="U155" s="22">
        <v>20206.995259848998</v>
      </c>
      <c r="V155" s="22">
        <v>21087.307159520198</v>
      </c>
      <c r="W155" s="22">
        <v>22645.1513518311</v>
      </c>
      <c r="X155" s="22">
        <v>23079.030078291697</v>
      </c>
      <c r="Y155" s="22">
        <v>21962.665100293896</v>
      </c>
      <c r="Z155" s="22">
        <v>21517.621337089899</v>
      </c>
      <c r="AA155" s="22">
        <v>21661.7322498783</v>
      </c>
      <c r="AB155" s="22">
        <v>24941.974257539798</v>
      </c>
      <c r="AC155" s="22">
        <v>25025.781695852194</v>
      </c>
      <c r="AD155" s="22">
        <v>26769.711518711003</v>
      </c>
      <c r="AE155" s="22">
        <v>26570.843159600299</v>
      </c>
    </row>
    <row r="156" spans="1:31" x14ac:dyDescent="0.25">
      <c r="A156" s="11" t="s">
        <v>381</v>
      </c>
      <c r="B156" s="11" t="s">
        <v>380</v>
      </c>
      <c r="C156" s="22"/>
      <c r="D156" s="22"/>
      <c r="E156" s="22"/>
      <c r="F156" s="22"/>
      <c r="G156" s="22">
        <v>1792.2873611092</v>
      </c>
      <c r="H156" s="22">
        <v>1718.1918760893</v>
      </c>
      <c r="I156" s="22">
        <v>2525.0231931090998</v>
      </c>
      <c r="J156" s="22">
        <v>1717.3880094893</v>
      </c>
      <c r="K156" s="22">
        <v>1463.2766001998</v>
      </c>
      <c r="L156" s="22">
        <v>1807.8841803497</v>
      </c>
      <c r="M156" s="22">
        <v>2077.6811991443997</v>
      </c>
      <c r="N156" s="22">
        <v>2865.8979192260999</v>
      </c>
      <c r="O156" s="22">
        <v>3214.7502582726001</v>
      </c>
      <c r="P156" s="22">
        <v>3576.3114553383002</v>
      </c>
      <c r="Q156" s="22">
        <v>3194.9793975366001</v>
      </c>
      <c r="R156" s="22">
        <v>2175.1149161793001</v>
      </c>
      <c r="S156" s="22">
        <v>1792.2873611092</v>
      </c>
      <c r="T156" s="22">
        <v>2768.2679375995003</v>
      </c>
      <c r="U156" s="22">
        <v>2361.5758719594</v>
      </c>
      <c r="V156" s="22">
        <v>2900.6536230107004</v>
      </c>
      <c r="W156" s="22">
        <v>2503.2772760939997</v>
      </c>
      <c r="X156" s="22">
        <v>2355.7915966194</v>
      </c>
      <c r="Y156" s="22">
        <v>2084.3505415495997</v>
      </c>
      <c r="Z156" s="22">
        <v>2346.1848611994001</v>
      </c>
      <c r="AA156" s="22">
        <v>2751.3463242593998</v>
      </c>
      <c r="AB156" s="22">
        <v>2653.1127045489998</v>
      </c>
      <c r="AC156" s="22">
        <v>2970.0906409286999</v>
      </c>
      <c r="AD156" s="22">
        <v>2371.5609211792002</v>
      </c>
      <c r="AE156" s="22">
        <v>5952.4501521295997</v>
      </c>
    </row>
    <row r="157" spans="1:31" x14ac:dyDescent="0.25">
      <c r="A157" s="11" t="s">
        <v>379</v>
      </c>
      <c r="B157" s="11" t="s">
        <v>378</v>
      </c>
      <c r="C157" s="22"/>
      <c r="D157" s="22"/>
      <c r="E157" s="22"/>
      <c r="F157" s="22"/>
      <c r="G157" s="22">
        <v>2570.9363726391002</v>
      </c>
      <c r="H157" s="22"/>
      <c r="I157" s="22"/>
      <c r="J157" s="22"/>
      <c r="K157" s="22"/>
      <c r="L157" s="22"/>
      <c r="M157" s="22"/>
      <c r="N157" s="22"/>
      <c r="O157" s="22"/>
      <c r="P157" s="22">
        <v>5344.1217228876003</v>
      </c>
      <c r="Q157" s="22">
        <v>4909.9861319559004</v>
      </c>
      <c r="R157" s="22">
        <v>4241.9601839093993</v>
      </c>
      <c r="S157" s="22">
        <v>2570.9363726391002</v>
      </c>
      <c r="T157" s="22">
        <v>3717.1102426811999</v>
      </c>
      <c r="U157" s="22">
        <v>3727.7549913264997</v>
      </c>
      <c r="V157" s="22">
        <v>4629.5669614299004</v>
      </c>
      <c r="W157" s="22">
        <v>4350.9439373934993</v>
      </c>
      <c r="X157" s="22">
        <v>3881.0163369604002</v>
      </c>
      <c r="Y157" s="22">
        <v>3552.9286075052996</v>
      </c>
      <c r="Z157" s="22">
        <v>3901.0641912694996</v>
      </c>
      <c r="AA157" s="22">
        <v>4530.1865916676998</v>
      </c>
      <c r="AB157" s="22">
        <v>4250.5136288528993</v>
      </c>
      <c r="AC157" s="22">
        <v>5608.8077484414007</v>
      </c>
      <c r="AD157" s="22">
        <v>4728.7467053766004</v>
      </c>
      <c r="AE157" s="22">
        <v>7346.0256778592993</v>
      </c>
    </row>
    <row r="158" spans="1:31" x14ac:dyDescent="0.25">
      <c r="A158" s="11" t="s">
        <v>377</v>
      </c>
      <c r="B158" s="11" t="s">
        <v>376</v>
      </c>
      <c r="C158" s="22"/>
      <c r="D158" s="22"/>
      <c r="E158" s="22"/>
      <c r="F158" s="22"/>
      <c r="G158" s="22">
        <v>4452.1715588052002</v>
      </c>
      <c r="H158" s="22"/>
      <c r="I158" s="22"/>
      <c r="J158" s="22"/>
      <c r="K158" s="22"/>
      <c r="L158" s="22"/>
      <c r="M158" s="22"/>
      <c r="N158" s="22"/>
      <c r="O158" s="22"/>
      <c r="P158" s="22">
        <v>7326.7391700704011</v>
      </c>
      <c r="Q158" s="22">
        <v>7501.0552708245996</v>
      </c>
      <c r="R158" s="22">
        <v>6395.9131592805998</v>
      </c>
      <c r="S158" s="22">
        <v>4452.1715588052002</v>
      </c>
      <c r="T158" s="22">
        <v>5975.5719125212991</v>
      </c>
      <c r="U158" s="22">
        <v>5839.4753161576</v>
      </c>
      <c r="V158" s="22">
        <v>7179.4641443891014</v>
      </c>
      <c r="W158" s="22">
        <v>7109.1792821829995</v>
      </c>
      <c r="X158" s="22">
        <v>6379.1298076288995</v>
      </c>
      <c r="Y158" s="22">
        <v>5992.5752073337999</v>
      </c>
      <c r="Z158" s="22">
        <v>6545.1514706773996</v>
      </c>
      <c r="AA158" s="22">
        <v>7379.411156316899</v>
      </c>
      <c r="AB158" s="22">
        <v>7113.646593742299</v>
      </c>
      <c r="AC158" s="22">
        <v>10019.868647950601</v>
      </c>
      <c r="AD158" s="22">
        <v>8922.3734240353006</v>
      </c>
      <c r="AE158" s="22">
        <v>9844.3938953605993</v>
      </c>
    </row>
    <row r="159" spans="1:31" x14ac:dyDescent="0.25">
      <c r="A159" s="11" t="s">
        <v>375</v>
      </c>
      <c r="B159" s="11" t="s">
        <v>374</v>
      </c>
      <c r="C159" s="22"/>
      <c r="D159" s="22"/>
      <c r="E159" s="22"/>
      <c r="F159" s="22"/>
      <c r="G159" s="22">
        <v>6565.7913924352006</v>
      </c>
      <c r="H159" s="22">
        <v>8627.274073958999</v>
      </c>
      <c r="I159" s="22">
        <v>9681.4074796343994</v>
      </c>
      <c r="J159" s="22">
        <v>9804.557664444701</v>
      </c>
      <c r="K159" s="22">
        <v>9107.0785690145003</v>
      </c>
      <c r="L159" s="22">
        <v>9168.0715148326999</v>
      </c>
      <c r="M159" s="22">
        <v>9897.4273658589009</v>
      </c>
      <c r="N159" s="22">
        <v>10397.277182399099</v>
      </c>
      <c r="O159" s="22">
        <v>10517.793149489</v>
      </c>
      <c r="P159" s="22">
        <v>10048.112865068302</v>
      </c>
      <c r="Q159" s="22">
        <v>10308.9870731346</v>
      </c>
      <c r="R159" s="22">
        <v>8921.9947772734013</v>
      </c>
      <c r="S159" s="22">
        <v>6565.7913924352006</v>
      </c>
      <c r="T159" s="22">
        <v>8242.4726342114991</v>
      </c>
      <c r="U159" s="22">
        <v>8292.4460623723007</v>
      </c>
      <c r="V159" s="22">
        <v>9916.5403738579007</v>
      </c>
      <c r="W159" s="22">
        <v>10589.127438293601</v>
      </c>
      <c r="X159" s="22">
        <v>9333.4278824601988</v>
      </c>
      <c r="Y159" s="22">
        <v>9097.6506375053996</v>
      </c>
      <c r="Z159" s="22">
        <v>9345.5283005539004</v>
      </c>
      <c r="AA159" s="22">
        <v>10160.366366500901</v>
      </c>
      <c r="AB159" s="22">
        <v>9861.0276078445986</v>
      </c>
      <c r="AC159" s="22">
        <v>12756.3546750361</v>
      </c>
      <c r="AD159" s="22">
        <v>12358.630403941201</v>
      </c>
      <c r="AE159" s="22">
        <v>12873.221410605198</v>
      </c>
    </row>
    <row r="160" spans="1:31" x14ac:dyDescent="0.25">
      <c r="A160" s="11" t="s">
        <v>373</v>
      </c>
      <c r="B160" s="11" t="s">
        <v>372</v>
      </c>
      <c r="C160" s="22"/>
      <c r="D160" s="22"/>
      <c r="E160" s="22"/>
      <c r="F160" s="22"/>
      <c r="G160" s="22">
        <v>9590.5247337227993</v>
      </c>
      <c r="H160" s="22">
        <v>12128.331490510001</v>
      </c>
      <c r="I160" s="22">
        <v>13458.038889431797</v>
      </c>
      <c r="J160" s="22">
        <v>13803.560315542602</v>
      </c>
      <c r="K160" s="22">
        <v>13794.8690906008</v>
      </c>
      <c r="L160" s="22">
        <v>13604.733755748302</v>
      </c>
      <c r="M160" s="22">
        <v>14756.602387215398</v>
      </c>
      <c r="N160" s="22">
        <v>14636.784762624802</v>
      </c>
      <c r="O160" s="22">
        <v>14485.819050705099</v>
      </c>
      <c r="P160" s="22">
        <v>14131.845023377802</v>
      </c>
      <c r="Q160" s="22">
        <v>14170.010895971398</v>
      </c>
      <c r="R160" s="22">
        <v>12477.023410582398</v>
      </c>
      <c r="S160" s="22">
        <v>9590.5247337227993</v>
      </c>
      <c r="T160" s="22">
        <v>11845.1562539566</v>
      </c>
      <c r="U160" s="22">
        <v>12197.441150040704</v>
      </c>
      <c r="V160" s="22">
        <v>13890.616261653902</v>
      </c>
      <c r="W160" s="22">
        <v>14942.9466890968</v>
      </c>
      <c r="X160" s="22">
        <v>13337.565323678096</v>
      </c>
      <c r="Y160" s="22">
        <v>13077.219979030499</v>
      </c>
      <c r="Z160" s="22">
        <v>13518.326071149999</v>
      </c>
      <c r="AA160" s="22">
        <v>14129.218014190499</v>
      </c>
      <c r="AB160" s="22">
        <v>14104.936584578896</v>
      </c>
      <c r="AC160" s="22">
        <v>16812.500717475297</v>
      </c>
      <c r="AD160" s="22">
        <v>16867.570452706201</v>
      </c>
      <c r="AE160" s="22">
        <v>17456.964464753601</v>
      </c>
    </row>
    <row r="161" spans="1:31" x14ac:dyDescent="0.25">
      <c r="A161" s="11" t="s">
        <v>371</v>
      </c>
      <c r="B161" s="11" t="s">
        <v>370</v>
      </c>
      <c r="C161" s="22"/>
      <c r="D161" s="22"/>
      <c r="E161" s="22"/>
      <c r="F161" s="22"/>
      <c r="G161" s="22">
        <v>6290.4878692691</v>
      </c>
      <c r="H161" s="48">
        <v>4639.1811038268006</v>
      </c>
      <c r="I161" s="48">
        <v>4609.8442353511</v>
      </c>
      <c r="J161" s="48">
        <v>5610.3989968685</v>
      </c>
      <c r="K161" s="48">
        <v>7900.9435965331004</v>
      </c>
      <c r="L161" s="48">
        <v>7914.2943405522001</v>
      </c>
      <c r="M161" s="48">
        <v>9201.9550266226997</v>
      </c>
      <c r="N161" s="48">
        <v>7856.5109531951002</v>
      </c>
      <c r="O161" s="48">
        <v>7901.9942845925998</v>
      </c>
      <c r="P161" s="48">
        <v>7211.1648686750004</v>
      </c>
      <c r="Q161" s="48">
        <v>8697.3699723016998</v>
      </c>
      <c r="R161" s="48">
        <v>8395.8607590907995</v>
      </c>
      <c r="S161" s="48">
        <v>6290.4878692691</v>
      </c>
      <c r="T161" s="22">
        <v>8662.137568916698</v>
      </c>
      <c r="U161" s="22">
        <v>8009.554109808294</v>
      </c>
      <c r="V161" s="22">
        <v>7196.6908978662968</v>
      </c>
      <c r="W161" s="22">
        <v>7702.2046627343007</v>
      </c>
      <c r="X161" s="22">
        <v>9741.4647546136021</v>
      </c>
      <c r="Y161" s="22">
        <v>8885.4451212633994</v>
      </c>
      <c r="Z161" s="22">
        <v>7999.2952659399007</v>
      </c>
      <c r="AA161" s="22">
        <v>7532.5142356878005</v>
      </c>
      <c r="AB161" s="22">
        <v>10837.0376729609</v>
      </c>
      <c r="AC161" s="22">
        <v>8213.2809783768989</v>
      </c>
      <c r="AD161" s="22">
        <v>9902.1410660048005</v>
      </c>
      <c r="AE161" s="22">
        <v>9113.8786948467005</v>
      </c>
    </row>
    <row r="162" spans="1:31" x14ac:dyDescent="0.25">
      <c r="A162" s="11" t="s">
        <v>369</v>
      </c>
      <c r="B162" s="11" t="s">
        <v>368</v>
      </c>
      <c r="G162" s="12">
        <v>51</v>
      </c>
      <c r="P162" s="22">
        <v>53</v>
      </c>
      <c r="Q162" s="12">
        <v>60</v>
      </c>
      <c r="R162" s="22">
        <v>58</v>
      </c>
      <c r="S162" s="12">
        <v>51</v>
      </c>
      <c r="T162" s="12">
        <v>58</v>
      </c>
      <c r="U162" s="12">
        <v>56</v>
      </c>
      <c r="V162" s="22">
        <v>55</v>
      </c>
      <c r="W162" s="12">
        <v>55</v>
      </c>
      <c r="X162" s="12">
        <v>62</v>
      </c>
      <c r="Y162" s="12">
        <v>60</v>
      </c>
      <c r="Z162" s="22">
        <v>55</v>
      </c>
      <c r="AA162" s="22">
        <v>53</v>
      </c>
      <c r="AB162" s="22">
        <v>67</v>
      </c>
      <c r="AC162" s="22">
        <v>57</v>
      </c>
      <c r="AD162" s="22">
        <v>63</v>
      </c>
      <c r="AE162" s="22">
        <v>62</v>
      </c>
    </row>
    <row r="163" spans="1:31" x14ac:dyDescent="0.25">
      <c r="A163" s="11" t="s">
        <v>367</v>
      </c>
      <c r="B163" s="11" t="s">
        <v>366</v>
      </c>
      <c r="C163" s="22"/>
      <c r="D163" s="22"/>
      <c r="E163" s="22"/>
      <c r="F163" s="22"/>
      <c r="G163" s="22">
        <v>12977.942792293501</v>
      </c>
      <c r="H163" s="22"/>
      <c r="I163" s="22"/>
      <c r="J163" s="22"/>
      <c r="K163" s="22"/>
      <c r="L163" s="22"/>
      <c r="M163" s="22"/>
      <c r="N163" s="22"/>
      <c r="O163" s="22"/>
      <c r="P163" s="22"/>
      <c r="R163" s="22"/>
      <c r="S163" s="22">
        <v>12977.942792293501</v>
      </c>
      <c r="T163" s="22">
        <v>18292.206459073899</v>
      </c>
      <c r="U163" s="22">
        <v>17261.190155159198</v>
      </c>
      <c r="V163" s="22">
        <v>17119.29663737</v>
      </c>
      <c r="W163" s="22">
        <v>19672.5617629468</v>
      </c>
      <c r="X163" s="22">
        <v>20138.769379833899</v>
      </c>
      <c r="Y163" s="22">
        <v>18366.146085227301</v>
      </c>
      <c r="Z163" s="22"/>
      <c r="AA163" s="22">
        <v>18845.241361346798</v>
      </c>
      <c r="AB163" s="22">
        <v>21384.383303539693</v>
      </c>
      <c r="AC163" s="22">
        <v>22450.482703585098</v>
      </c>
      <c r="AD163" s="22">
        <v>23879.762395264097</v>
      </c>
      <c r="AE163" s="22">
        <v>23896.159687742696</v>
      </c>
    </row>
    <row r="164" spans="1:31" x14ac:dyDescent="0.25">
      <c r="A164" s="11" t="s">
        <v>365</v>
      </c>
      <c r="B164" s="11" t="s">
        <v>364</v>
      </c>
      <c r="C164" s="22"/>
      <c r="D164" s="22"/>
      <c r="E164" s="22"/>
      <c r="F164" s="22"/>
      <c r="G164" s="22">
        <v>20237.835109660999</v>
      </c>
      <c r="H164" s="22"/>
      <c r="I164" s="22"/>
      <c r="J164" s="22"/>
      <c r="K164" s="22"/>
      <c r="L164" s="22"/>
      <c r="M164" s="22"/>
      <c r="N164" s="22"/>
      <c r="O164" s="22"/>
      <c r="P164" s="22"/>
      <c r="R164" s="22"/>
      <c r="S164" s="22">
        <v>20237.835109660999</v>
      </c>
      <c r="T164" s="22">
        <v>26393.551786640201</v>
      </c>
      <c r="U164" s="22">
        <v>25119.400992409999</v>
      </c>
      <c r="V164" s="22">
        <v>27492.431910915901</v>
      </c>
      <c r="W164" s="22">
        <v>26715.151612347101</v>
      </c>
      <c r="X164" s="22">
        <v>28977.067656822699</v>
      </c>
      <c r="Y164" s="22">
        <v>26922.886258173399</v>
      </c>
      <c r="Z164" s="22"/>
      <c r="AA164" s="22">
        <v>27166.677902341205</v>
      </c>
      <c r="AB164" s="22">
        <v>29554.711828373289</v>
      </c>
      <c r="AC164" s="22">
        <v>28634.694064081599</v>
      </c>
      <c r="AD164" s="22">
        <v>31590.565631537709</v>
      </c>
      <c r="AE164" s="22">
        <v>31927.983892581295</v>
      </c>
    </row>
    <row r="165" spans="1:31" x14ac:dyDescent="0.25">
      <c r="A165" s="11" t="s">
        <v>363</v>
      </c>
      <c r="B165" s="11" t="s">
        <v>362</v>
      </c>
      <c r="C165" s="22"/>
      <c r="D165" s="22"/>
      <c r="E165" s="22"/>
      <c r="F165" s="22"/>
      <c r="G165" s="22">
        <v>25473.874100530302</v>
      </c>
      <c r="H165" s="22">
        <v>16767.5125943368</v>
      </c>
      <c r="I165" s="22">
        <v>18067.8831247829</v>
      </c>
      <c r="J165" s="22">
        <v>19413.959312411098</v>
      </c>
      <c r="K165" s="22">
        <v>21764.888947793901</v>
      </c>
      <c r="L165" s="22">
        <v>21588.633966310397</v>
      </c>
      <c r="M165" s="22">
        <v>24028.518581888002</v>
      </c>
      <c r="N165" s="22">
        <v>22563.433984789797</v>
      </c>
      <c r="O165" s="22">
        <v>22458.133699737598</v>
      </c>
      <c r="P165" s="22"/>
      <c r="Q165" s="22"/>
      <c r="R165" s="22"/>
      <c r="S165" s="22">
        <v>25473.874100530302</v>
      </c>
      <c r="T165" s="22">
        <v>30312.737902149503</v>
      </c>
      <c r="U165" s="22">
        <v>29808.122894764703</v>
      </c>
      <c r="V165" s="22">
        <v>31278.9891900927</v>
      </c>
      <c r="W165" s="22">
        <v>31981.016498944999</v>
      </c>
      <c r="X165" s="22">
        <v>32388.449478316401</v>
      </c>
      <c r="Y165" s="22">
        <v>30972.438745384501</v>
      </c>
      <c r="Z165" s="22"/>
      <c r="AA165" s="22">
        <v>31488.847220335912</v>
      </c>
      <c r="AB165" s="22">
        <v>33448.498902060892</v>
      </c>
      <c r="AC165" s="22">
        <v>33817.611324206599</v>
      </c>
      <c r="AD165" s="22">
        <v>35697.641917222703</v>
      </c>
      <c r="AE165" s="22">
        <v>35836.710255438287</v>
      </c>
    </row>
    <row r="166" spans="1:31" x14ac:dyDescent="0.25">
      <c r="A166" s="11">
        <v>2005340060</v>
      </c>
      <c r="B166" s="11" t="s">
        <v>361</v>
      </c>
      <c r="C166" s="22"/>
      <c r="D166" s="22"/>
      <c r="E166" s="22"/>
      <c r="F166" s="22"/>
      <c r="G166" s="22">
        <v>1211244</v>
      </c>
      <c r="H166" s="22"/>
      <c r="I166" s="22"/>
      <c r="J166" s="22"/>
      <c r="K166" s="22"/>
      <c r="L166" s="22"/>
      <c r="M166" s="22"/>
      <c r="N166" s="22"/>
      <c r="O166" s="22"/>
      <c r="P166" s="22"/>
      <c r="Q166" s="22"/>
      <c r="R166" s="22"/>
      <c r="S166" s="22">
        <v>1211244</v>
      </c>
      <c r="T166" s="22">
        <v>1214955</v>
      </c>
      <c r="U166" s="22">
        <v>1218811</v>
      </c>
      <c r="V166" s="22">
        <v>1225032</v>
      </c>
      <c r="W166" s="22">
        <v>1216271</v>
      </c>
      <c r="X166" s="22">
        <v>1225986</v>
      </c>
      <c r="Y166" s="22">
        <v>1229989</v>
      </c>
      <c r="Z166" s="22">
        <v>1241336</v>
      </c>
      <c r="AA166" s="22">
        <v>1253852</v>
      </c>
      <c r="AB166" s="22">
        <v>1258215</v>
      </c>
      <c r="AC166" s="22">
        <v>1270176</v>
      </c>
      <c r="AD166" s="22">
        <v>1267012</v>
      </c>
      <c r="AE166" s="22">
        <v>1265570</v>
      </c>
    </row>
    <row r="167" spans="1:31" x14ac:dyDescent="0.25">
      <c r="A167" s="11" t="s">
        <v>360</v>
      </c>
      <c r="B167" s="11" t="s">
        <v>359</v>
      </c>
      <c r="C167" s="22"/>
      <c r="D167" s="22"/>
      <c r="E167" s="22"/>
      <c r="F167" s="22"/>
      <c r="G167" s="22">
        <v>1200586</v>
      </c>
      <c r="H167" s="22"/>
      <c r="I167" s="22"/>
      <c r="J167" s="22"/>
      <c r="K167" s="22"/>
      <c r="L167" s="22"/>
      <c r="M167" s="22"/>
      <c r="N167" s="22"/>
      <c r="O167" s="22"/>
      <c r="P167" s="22"/>
      <c r="Q167" s="22"/>
      <c r="R167" s="22"/>
      <c r="S167" s="22">
        <v>1200586</v>
      </c>
      <c r="T167" s="22">
        <v>1204267</v>
      </c>
      <c r="U167" s="22">
        <v>1208438</v>
      </c>
      <c r="V167" s="22">
        <v>1214353</v>
      </c>
      <c r="W167" s="22">
        <v>1205557</v>
      </c>
      <c r="X167" s="22">
        <v>1215280</v>
      </c>
      <c r="Y167" s="22">
        <v>1219561</v>
      </c>
      <c r="Z167" s="22">
        <v>1230691</v>
      </c>
      <c r="AA167" s="22">
        <v>1243241</v>
      </c>
      <c r="AB167" s="22">
        <v>1247475</v>
      </c>
      <c r="AC167" s="22">
        <v>1259782</v>
      </c>
      <c r="AD167" s="22">
        <v>1256526</v>
      </c>
      <c r="AE167" s="22">
        <v>1254628</v>
      </c>
    </row>
    <row r="168" spans="1:31" x14ac:dyDescent="0.25">
      <c r="A168" s="11">
        <v>2005540060</v>
      </c>
      <c r="B168" s="11" t="s">
        <v>358</v>
      </c>
      <c r="C168" s="22"/>
      <c r="D168" s="22"/>
      <c r="E168" s="22"/>
      <c r="F168" s="22"/>
      <c r="G168" s="22">
        <v>10006</v>
      </c>
      <c r="H168" s="22"/>
      <c r="I168" s="22"/>
      <c r="J168" s="22"/>
      <c r="K168" s="22"/>
      <c r="L168" s="22"/>
      <c r="M168" s="22"/>
      <c r="N168" s="22"/>
      <c r="O168" s="22"/>
      <c r="P168" s="22"/>
      <c r="Q168" s="22"/>
      <c r="R168" s="22"/>
      <c r="S168" s="22">
        <v>10006</v>
      </c>
      <c r="T168" s="22">
        <v>10036</v>
      </c>
      <c r="U168" s="22">
        <v>9715</v>
      </c>
      <c r="V168" s="22">
        <v>10019</v>
      </c>
      <c r="W168" s="22">
        <v>10056</v>
      </c>
      <c r="X168" s="22">
        <v>10061</v>
      </c>
      <c r="Y168" s="22">
        <v>9780</v>
      </c>
      <c r="Z168" s="22">
        <v>9990</v>
      </c>
      <c r="AA168" s="22">
        <v>9948</v>
      </c>
      <c r="AB168" s="22">
        <v>10139</v>
      </c>
      <c r="AC168" s="22">
        <v>9790</v>
      </c>
      <c r="AD168" s="22">
        <v>9875</v>
      </c>
      <c r="AE168" s="22">
        <v>10329</v>
      </c>
    </row>
    <row r="169" spans="1:31" x14ac:dyDescent="0.25">
      <c r="A169" s="30">
        <v>2006100000</v>
      </c>
      <c r="B169" s="11" t="s">
        <v>357</v>
      </c>
      <c r="C169" s="22">
        <v>9051.3938417380377</v>
      </c>
      <c r="D169" s="22">
        <v>6712.8243119251201</v>
      </c>
      <c r="E169" s="22">
        <v>8701.0135558149559</v>
      </c>
      <c r="F169" s="22">
        <v>11600.648525474764</v>
      </c>
      <c r="G169" s="22">
        <v>4603.1182612917128</v>
      </c>
      <c r="H169" s="22">
        <v>1299.9366236924768</v>
      </c>
      <c r="I169" s="22">
        <v>1600.0180430448979</v>
      </c>
      <c r="J169" s="22">
        <v>3003.3080507057548</v>
      </c>
      <c r="K169" s="22">
        <v>4724.9188521714659</v>
      </c>
      <c r="L169" s="22">
        <v>8399.4323466065562</v>
      </c>
      <c r="M169" s="22">
        <v>2201.9699555138518</v>
      </c>
      <c r="N169" s="22">
        <v>6001.8348562113597</v>
      </c>
      <c r="O169" s="22">
        <v>6804.0352940012444</v>
      </c>
      <c r="P169" s="22">
        <v>13900.631947553062</v>
      </c>
      <c r="Q169" s="22">
        <v>9400.7525432426355</v>
      </c>
      <c r="R169" s="22">
        <v>11356.690458000043</v>
      </c>
      <c r="S169" s="22">
        <v>4001.1110748200003</v>
      </c>
      <c r="T169" s="22">
        <v>10802.99561392</v>
      </c>
      <c r="U169" s="22">
        <v>3300.8707832199998</v>
      </c>
      <c r="V169" s="22">
        <v>12594.207063049998</v>
      </c>
      <c r="W169" s="22">
        <v>14503.629366040001</v>
      </c>
      <c r="X169" s="22">
        <v>19107.314857139041</v>
      </c>
      <c r="Y169" s="22">
        <v>14703.34713351</v>
      </c>
      <c r="Z169" s="22">
        <v>12202.734371569999</v>
      </c>
      <c r="AA169" s="22">
        <v>14909.447495172755</v>
      </c>
      <c r="AB169" s="22">
        <v>22234.797278509999</v>
      </c>
      <c r="AC169" s="22">
        <v>12552.643864197358</v>
      </c>
      <c r="AD169" s="22">
        <v>20904.333499529999</v>
      </c>
      <c r="AE169" s="22">
        <v>11802.394372979999</v>
      </c>
    </row>
    <row r="170" spans="1:31" x14ac:dyDescent="0.25">
      <c r="A170" s="30">
        <v>2006110000</v>
      </c>
      <c r="B170" s="11" t="s">
        <v>355</v>
      </c>
      <c r="C170" s="22">
        <v>0</v>
      </c>
      <c r="D170" s="22">
        <v>0</v>
      </c>
      <c r="E170" s="22">
        <v>0</v>
      </c>
      <c r="F170" s="22">
        <v>0</v>
      </c>
      <c r="G170" s="22">
        <v>0</v>
      </c>
      <c r="H170" s="22">
        <v>0</v>
      </c>
      <c r="I170" s="22">
        <v>0</v>
      </c>
      <c r="J170" s="22">
        <v>0</v>
      </c>
      <c r="K170" s="22">
        <v>0</v>
      </c>
      <c r="L170" s="22">
        <v>0</v>
      </c>
      <c r="M170" s="22">
        <v>0</v>
      </c>
      <c r="N170" s="22">
        <v>0</v>
      </c>
      <c r="O170" s="22">
        <v>0</v>
      </c>
      <c r="P170" s="22">
        <v>0</v>
      </c>
      <c r="Q170" s="22">
        <v>0</v>
      </c>
      <c r="R170" s="22">
        <v>0</v>
      </c>
      <c r="S170" s="22">
        <v>0</v>
      </c>
      <c r="T170" s="22">
        <v>0</v>
      </c>
      <c r="U170" s="22">
        <v>0</v>
      </c>
      <c r="V170" s="22">
        <v>0</v>
      </c>
      <c r="W170" s="22">
        <v>0</v>
      </c>
      <c r="X170" s="22">
        <v>0</v>
      </c>
      <c r="Y170" s="22">
        <v>0</v>
      </c>
      <c r="Z170" s="22">
        <v>0</v>
      </c>
      <c r="AA170" s="22">
        <v>0</v>
      </c>
      <c r="AB170" s="22">
        <v>0</v>
      </c>
      <c r="AC170" s="22">
        <v>0</v>
      </c>
      <c r="AD170" s="22">
        <v>0</v>
      </c>
      <c r="AE170" s="22">
        <v>0</v>
      </c>
    </row>
    <row r="171" spans="1:31" x14ac:dyDescent="0.25">
      <c r="A171" s="30">
        <v>2006120000</v>
      </c>
      <c r="B171" s="11" t="s">
        <v>354</v>
      </c>
      <c r="C171" s="22">
        <v>9051.3938417380377</v>
      </c>
      <c r="D171" s="22">
        <v>6712.8243119251201</v>
      </c>
      <c r="E171" s="22">
        <v>8701.0135558149559</v>
      </c>
      <c r="F171" s="22">
        <v>11600.648525474764</v>
      </c>
      <c r="G171" s="22">
        <v>4603.1182612917128</v>
      </c>
      <c r="H171" s="22">
        <v>1299.9366236924768</v>
      </c>
      <c r="I171" s="22">
        <v>1600.0180430448979</v>
      </c>
      <c r="J171" s="22">
        <v>3003.3080507057548</v>
      </c>
      <c r="K171" s="22">
        <v>4724.9188521714659</v>
      </c>
      <c r="L171" s="22">
        <v>8399.4323466065562</v>
      </c>
      <c r="M171" s="22">
        <v>2201.9699555138518</v>
      </c>
      <c r="N171" s="22">
        <v>6001.8348562113597</v>
      </c>
      <c r="O171" s="22">
        <v>6804.0352940012444</v>
      </c>
      <c r="P171" s="22">
        <v>13900.631947553062</v>
      </c>
      <c r="Q171" s="22">
        <v>9400.7525432426355</v>
      </c>
      <c r="R171" s="22">
        <v>11356.690458000043</v>
      </c>
      <c r="S171" s="22">
        <v>4001.1110748200003</v>
      </c>
      <c r="T171" s="22">
        <v>10802.99561392</v>
      </c>
      <c r="U171" s="22">
        <v>3300.8707832199998</v>
      </c>
      <c r="V171" s="22">
        <v>12594.207063049998</v>
      </c>
      <c r="W171" s="22">
        <v>14503.629366040001</v>
      </c>
      <c r="X171" s="22">
        <v>19107.314857139041</v>
      </c>
      <c r="Y171" s="22">
        <v>14703.34713351</v>
      </c>
      <c r="Z171" s="22">
        <v>12202.734371569999</v>
      </c>
      <c r="AA171" s="22">
        <v>14909.447495172755</v>
      </c>
      <c r="AB171" s="22">
        <v>22234.797278509999</v>
      </c>
      <c r="AC171" s="22">
        <v>12552.643864197358</v>
      </c>
      <c r="AD171" s="22">
        <v>20904.333499529999</v>
      </c>
      <c r="AE171" s="22">
        <v>11802.394372979999</v>
      </c>
    </row>
    <row r="172" spans="1:31" x14ac:dyDescent="0.25">
      <c r="A172" s="30">
        <v>2006200000</v>
      </c>
      <c r="B172" s="11" t="s">
        <v>356</v>
      </c>
      <c r="C172" s="22">
        <v>36802.224093261968</v>
      </c>
      <c r="D172" s="22">
        <v>32586.433539074886</v>
      </c>
      <c r="E172" s="22">
        <v>30090.169693185046</v>
      </c>
      <c r="F172" s="22">
        <v>18592.575218525235</v>
      </c>
      <c r="G172" s="22">
        <v>28016.503313708286</v>
      </c>
      <c r="H172" s="22">
        <v>20619.006493307523</v>
      </c>
      <c r="I172" s="22">
        <v>24958.1632549551</v>
      </c>
      <c r="J172" s="22">
        <v>16400.420354294245</v>
      </c>
      <c r="K172" s="22">
        <v>19762.523391828538</v>
      </c>
      <c r="L172" s="22">
        <v>12840.703217393444</v>
      </c>
      <c r="M172" s="22">
        <v>17641.878440486151</v>
      </c>
      <c r="N172" s="22">
        <v>17949.29280078864</v>
      </c>
      <c r="O172" s="22">
        <v>16429.997922998755</v>
      </c>
      <c r="P172" s="22">
        <v>8795.5992984469376</v>
      </c>
      <c r="Q172" s="22">
        <v>17134.339708757361</v>
      </c>
      <c r="R172" s="22">
        <v>11427.701482999959</v>
      </c>
      <c r="S172" s="22">
        <v>23586.793589199999</v>
      </c>
      <c r="T172" s="22">
        <v>8490.8971495799997</v>
      </c>
      <c r="U172" s="22">
        <v>24918.765146680002</v>
      </c>
      <c r="V172" s="22">
        <v>12688.944043040001</v>
      </c>
      <c r="W172" s="22">
        <v>14779.28363924</v>
      </c>
      <c r="X172" s="22">
        <v>10490.786363860958</v>
      </c>
      <c r="Y172" s="22">
        <v>22000.738311060002</v>
      </c>
      <c r="Z172" s="22">
        <v>17753.876320470001</v>
      </c>
      <c r="AA172" s="22">
        <v>20141.16543782724</v>
      </c>
      <c r="AB172" s="22">
        <v>11762.127266850001</v>
      </c>
      <c r="AC172" s="22">
        <v>27021.36087280263</v>
      </c>
      <c r="AD172" s="22">
        <v>18301.73831647</v>
      </c>
      <c r="AE172" s="22">
        <v>22389.757033020003</v>
      </c>
    </row>
    <row r="173" spans="1:31" x14ac:dyDescent="0.25">
      <c r="A173" s="30">
        <v>2006210000</v>
      </c>
      <c r="B173" s="11" t="s">
        <v>355</v>
      </c>
      <c r="C173" s="22">
        <v>33731.421420778199</v>
      </c>
      <c r="D173" s="22">
        <v>29452.002989161851</v>
      </c>
      <c r="E173" s="22">
        <v>26485.400234372722</v>
      </c>
      <c r="F173" s="22">
        <v>14379.48782774254</v>
      </c>
      <c r="G173" s="22">
        <v>24779.085259313364</v>
      </c>
      <c r="H173" s="22">
        <v>17557.470054151043</v>
      </c>
      <c r="I173" s="22">
        <v>22350.062135565873</v>
      </c>
      <c r="J173" s="22">
        <v>13485.736271305346</v>
      </c>
      <c r="K173" s="22">
        <v>17423.27816219355</v>
      </c>
      <c r="L173" s="22">
        <v>10110.008433169838</v>
      </c>
      <c r="M173" s="22">
        <v>14751.135566698382</v>
      </c>
      <c r="N173" s="22">
        <v>13614.595540560013</v>
      </c>
      <c r="O173" s="22">
        <v>13088.321484726021</v>
      </c>
      <c r="P173" s="22">
        <v>4554.8491623881537</v>
      </c>
      <c r="Q173" s="22">
        <v>12054.218823974214</v>
      </c>
      <c r="R173" s="22">
        <v>5437.5115932675226</v>
      </c>
      <c r="S173" s="22">
        <v>15594.37722522</v>
      </c>
      <c r="T173" s="22">
        <v>1296.30769461</v>
      </c>
      <c r="U173" s="22">
        <v>17410.99342504</v>
      </c>
      <c r="V173" s="22">
        <v>6221.1040653800001</v>
      </c>
      <c r="W173" s="22">
        <v>8499.5903090100001</v>
      </c>
      <c r="X173" s="22">
        <v>4126.4421890235926</v>
      </c>
      <c r="Y173" s="22">
        <v>17431.01043179</v>
      </c>
      <c r="Z173" s="22">
        <v>11940.70001789</v>
      </c>
      <c r="AA173" s="22">
        <v>14599.605022950625</v>
      </c>
      <c r="AB173" s="22">
        <v>6182.5992690000003</v>
      </c>
      <c r="AC173" s="22">
        <v>20228.487969219121</v>
      </c>
      <c r="AD173" s="22">
        <v>12419.887193120001</v>
      </c>
      <c r="AE173" s="22">
        <v>9063.8538925800003</v>
      </c>
    </row>
    <row r="174" spans="1:31" x14ac:dyDescent="0.25">
      <c r="A174" s="30">
        <v>2006220000</v>
      </c>
      <c r="B174" s="11" t="s">
        <v>354</v>
      </c>
      <c r="C174" s="22">
        <v>3070.8026724837673</v>
      </c>
      <c r="D174" s="22">
        <v>3134.4305499130346</v>
      </c>
      <c r="E174" s="22">
        <v>3604.7694588123218</v>
      </c>
      <c r="F174" s="22">
        <v>4213.0873907826945</v>
      </c>
      <c r="G174" s="22">
        <v>3237.4180543949228</v>
      </c>
      <c r="H174" s="22">
        <v>3061.5364391564794</v>
      </c>
      <c r="I174" s="22">
        <v>2608.1011193892282</v>
      </c>
      <c r="J174" s="22">
        <v>2914.6840829888974</v>
      </c>
      <c r="K174" s="22">
        <v>2339.245229634987</v>
      </c>
      <c r="L174" s="22">
        <v>2730.6947842236059</v>
      </c>
      <c r="M174" s="22">
        <v>2890.7428737877685</v>
      </c>
      <c r="N174" s="22">
        <v>4334.6972602286287</v>
      </c>
      <c r="O174" s="22">
        <v>3341.6764382727342</v>
      </c>
      <c r="P174" s="22">
        <v>4240.7501360587848</v>
      </c>
      <c r="Q174" s="22">
        <v>5080.1208847831494</v>
      </c>
      <c r="R174" s="22">
        <v>5990.1898897324363</v>
      </c>
      <c r="S174" s="22">
        <v>7992.4163639799999</v>
      </c>
      <c r="T174" s="22">
        <v>7194.5894549700006</v>
      </c>
      <c r="U174" s="22">
        <v>7507.7717216400006</v>
      </c>
      <c r="V174" s="22">
        <v>6467.8399776599999</v>
      </c>
      <c r="W174" s="22">
        <v>6279.6933302299994</v>
      </c>
      <c r="X174" s="22">
        <v>6364.3441748373652</v>
      </c>
      <c r="Y174" s="22">
        <v>4569.7278792700008</v>
      </c>
      <c r="Z174" s="22">
        <v>5813.1763025800001</v>
      </c>
      <c r="AA174" s="22">
        <v>5541.5604148766142</v>
      </c>
      <c r="AB174" s="22">
        <v>5579.5279978500002</v>
      </c>
      <c r="AC174" s="22">
        <v>6792.8729035835104</v>
      </c>
      <c r="AD174" s="22">
        <v>5881.8511233500003</v>
      </c>
      <c r="AE174" s="22">
        <v>13325.903140440005</v>
      </c>
    </row>
    <row r="175" spans="1:31" x14ac:dyDescent="0.25">
      <c r="A175" s="11">
        <v>2036123212</v>
      </c>
      <c r="B175" s="11" t="s">
        <v>2211</v>
      </c>
      <c r="S175" s="22">
        <v>1925.1356229999999</v>
      </c>
      <c r="V175" s="22">
        <v>1674.5101179999999</v>
      </c>
      <c r="W175" s="22">
        <v>1446.023344</v>
      </c>
      <c r="X175" s="22">
        <v>1595.2830045481214</v>
      </c>
      <c r="Y175" s="22">
        <v>1489.268291572881</v>
      </c>
      <c r="Z175" s="22">
        <v>2018.0857196051545</v>
      </c>
      <c r="AA175" s="22">
        <v>718.78289529142535</v>
      </c>
      <c r="AB175" s="22">
        <v>1957.890038</v>
      </c>
      <c r="AC175" s="22">
        <v>1670.3154098430746</v>
      </c>
      <c r="AD175" s="22">
        <v>501.14399645497491</v>
      </c>
      <c r="AE175" s="22">
        <v>2561.2298443520481</v>
      </c>
    </row>
    <row r="176" spans="1:31" x14ac:dyDescent="0.25">
      <c r="A176" s="11">
        <f>A175+1</f>
        <v>2036123213</v>
      </c>
      <c r="B176" s="11" t="s">
        <v>2212</v>
      </c>
      <c r="S176" s="22">
        <v>2666.0044039999998</v>
      </c>
      <c r="V176" s="22">
        <v>2914.6719280000002</v>
      </c>
      <c r="W176" s="22">
        <v>3145.277924</v>
      </c>
      <c r="X176" s="22">
        <v>3246.4946471118778</v>
      </c>
      <c r="Y176" s="22">
        <v>3242.4586348171188</v>
      </c>
      <c r="Z176" s="22">
        <v>3092.9911643948453</v>
      </c>
      <c r="AA176" s="22">
        <v>4231.9979767085752</v>
      </c>
      <c r="AB176" s="22">
        <v>2745.5692629999999</v>
      </c>
      <c r="AC176" s="22">
        <v>3032.6741591569253</v>
      </c>
      <c r="AD176" s="22">
        <v>4202.4220555450202</v>
      </c>
      <c r="AE176" s="22">
        <v>2145.3942146479517</v>
      </c>
    </row>
  </sheetData>
  <autoFilter ref="A2:X174"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65"/>
  <sheetViews>
    <sheetView zoomScaleNormal="100" workbookViewId="0">
      <pane xSplit="2" ySplit="2" topLeftCell="N38" activePane="bottomRight" state="frozen"/>
      <selection pane="topRight" activeCell="C1" sqref="C1"/>
      <selection pane="bottomLeft" activeCell="A3" sqref="A3"/>
      <selection pane="bottomRight" activeCell="P45" sqref="P45"/>
    </sheetView>
  </sheetViews>
  <sheetFormatPr baseColWidth="10" defaultColWidth="8.5546875" defaultRowHeight="14.4" x14ac:dyDescent="0.3"/>
  <cols>
    <col min="1" max="1" width="11" bestFit="1" customWidth="1"/>
    <col min="2" max="2" width="31.77734375" customWidth="1"/>
    <col min="3" max="17" width="13.5546875" customWidth="1"/>
  </cols>
  <sheetData>
    <row r="1" spans="1:17"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92</v>
      </c>
      <c r="Q1" s="12" t="s">
        <v>91</v>
      </c>
    </row>
    <row r="2" spans="1:17" x14ac:dyDescent="0.3">
      <c r="A2" s="13" t="s">
        <v>206</v>
      </c>
      <c r="B2" s="13" t="s">
        <v>205</v>
      </c>
      <c r="C2" s="19">
        <v>45261</v>
      </c>
      <c r="D2" s="19">
        <v>45566</v>
      </c>
      <c r="E2" s="19">
        <v>45597</v>
      </c>
      <c r="F2" s="19">
        <v>45627</v>
      </c>
      <c r="G2" s="19">
        <v>45658</v>
      </c>
      <c r="H2" s="19">
        <v>45689</v>
      </c>
      <c r="I2" s="19">
        <v>45717</v>
      </c>
      <c r="J2" s="19">
        <v>45748</v>
      </c>
      <c r="K2" s="19">
        <v>45778</v>
      </c>
      <c r="L2" s="19">
        <v>45809</v>
      </c>
      <c r="M2" s="19">
        <v>45839</v>
      </c>
      <c r="N2" s="19">
        <v>45870</v>
      </c>
      <c r="O2" s="19">
        <v>45901</v>
      </c>
      <c r="P2" s="19">
        <v>45931</v>
      </c>
      <c r="Q2" s="19">
        <v>45962</v>
      </c>
    </row>
    <row r="3" spans="1:17" x14ac:dyDescent="0.3">
      <c r="A3" s="11" t="s">
        <v>1527</v>
      </c>
      <c r="B3" s="11" t="s">
        <v>1526</v>
      </c>
      <c r="C3" s="36">
        <v>1.1914</v>
      </c>
      <c r="D3" s="36"/>
      <c r="E3" s="36"/>
      <c r="F3" s="36">
        <v>1.1914</v>
      </c>
      <c r="G3" s="36">
        <v>1.3291999999999999</v>
      </c>
      <c r="H3" s="36">
        <v>1.3038000000000001</v>
      </c>
      <c r="I3" s="36">
        <v>1.2355</v>
      </c>
      <c r="J3" s="36">
        <v>1.2786</v>
      </c>
      <c r="K3" s="36">
        <v>1.2672000000000001</v>
      </c>
      <c r="L3" s="36">
        <v>1.3101674745254299</v>
      </c>
      <c r="M3" s="36">
        <v>1.2335</v>
      </c>
      <c r="N3" s="36">
        <v>1.287997524659769</v>
      </c>
      <c r="O3" s="36">
        <v>1.2689630000000001</v>
      </c>
      <c r="P3" s="36">
        <v>1.3314736706426229</v>
      </c>
      <c r="Q3" s="36">
        <v>1.3357122499535929</v>
      </c>
    </row>
    <row r="4" spans="1:17" x14ac:dyDescent="0.3">
      <c r="A4" s="11" t="s">
        <v>1525</v>
      </c>
      <c r="B4" s="11" t="s">
        <v>1524</v>
      </c>
      <c r="C4" s="23">
        <v>23408.35</v>
      </c>
      <c r="D4" s="23"/>
      <c r="E4" s="23"/>
      <c r="F4" s="23">
        <v>23408.35</v>
      </c>
      <c r="G4" s="23">
        <v>28924</v>
      </c>
      <c r="H4" s="23">
        <v>22721</v>
      </c>
      <c r="I4" s="23">
        <v>27776</v>
      </c>
      <c r="J4" s="23">
        <v>25801</v>
      </c>
      <c r="K4" s="23">
        <v>28049</v>
      </c>
      <c r="L4" s="23">
        <v>20300</v>
      </c>
      <c r="M4" s="23">
        <v>25695</v>
      </c>
      <c r="N4" s="23">
        <v>22694.00179076771</v>
      </c>
      <c r="O4" s="23">
        <v>27500.755335000002</v>
      </c>
      <c r="P4" s="23">
        <v>24160.137957628591</v>
      </c>
      <c r="Q4" s="23">
        <v>25869.232746455051</v>
      </c>
    </row>
    <row r="5" spans="1:17" x14ac:dyDescent="0.3">
      <c r="A5" s="11" t="s">
        <v>1523</v>
      </c>
      <c r="B5" s="11" t="s">
        <v>1522</v>
      </c>
      <c r="C5" s="23">
        <v>23408.35</v>
      </c>
      <c r="D5" s="23"/>
      <c r="E5" s="23"/>
      <c r="F5" s="23">
        <v>23408.35</v>
      </c>
      <c r="G5" s="23">
        <v>28924</v>
      </c>
      <c r="H5" s="23">
        <v>22721</v>
      </c>
      <c r="I5" s="23">
        <v>27776</v>
      </c>
      <c r="J5" s="23">
        <v>25801</v>
      </c>
      <c r="K5" s="23">
        <v>28049</v>
      </c>
      <c r="L5" s="23">
        <v>20300</v>
      </c>
      <c r="M5" s="23">
        <v>25695</v>
      </c>
      <c r="N5" s="23">
        <v>22694.00179076771</v>
      </c>
      <c r="O5" s="23">
        <v>27500.755335000002</v>
      </c>
      <c r="P5" s="23">
        <v>24160.137957628591</v>
      </c>
      <c r="Q5" s="23">
        <v>25869.232746455051</v>
      </c>
    </row>
    <row r="6" spans="1:17" x14ac:dyDescent="0.3">
      <c r="A6" s="11" t="s">
        <v>1521</v>
      </c>
      <c r="B6" s="11" t="s">
        <v>87</v>
      </c>
      <c r="C6" s="23">
        <v>2222</v>
      </c>
      <c r="D6" s="23"/>
      <c r="E6" s="23"/>
      <c r="F6" s="23">
        <v>2222</v>
      </c>
      <c r="G6" s="23">
        <v>1789</v>
      </c>
      <c r="H6" s="23">
        <v>1711</v>
      </c>
      <c r="I6" s="23">
        <v>1794</v>
      </c>
      <c r="J6" s="23">
        <v>1826</v>
      </c>
      <c r="K6" s="23">
        <v>1600</v>
      </c>
      <c r="L6" s="23">
        <v>1712</v>
      </c>
      <c r="M6" s="23">
        <v>1767</v>
      </c>
      <c r="N6" s="23">
        <v>1434.7243847715449</v>
      </c>
      <c r="O6" s="23">
        <v>1627.2180840000001</v>
      </c>
      <c r="P6" s="23">
        <v>1618.6740286434469</v>
      </c>
      <c r="Q6" s="23">
        <v>1768.506211791941</v>
      </c>
    </row>
    <row r="7" spans="1:17" x14ac:dyDescent="0.3">
      <c r="A7" s="11" t="s">
        <v>1520</v>
      </c>
      <c r="B7" s="11" t="s">
        <v>1519</v>
      </c>
      <c r="C7" s="23">
        <v>1232</v>
      </c>
      <c r="D7" s="23"/>
      <c r="E7" s="23"/>
      <c r="F7" s="23">
        <v>1232</v>
      </c>
      <c r="G7" s="23">
        <v>1233</v>
      </c>
      <c r="H7" s="23">
        <v>1233</v>
      </c>
      <c r="I7" s="23">
        <v>1234</v>
      </c>
      <c r="J7" s="23">
        <v>1234</v>
      </c>
      <c r="K7" s="23">
        <v>1235</v>
      </c>
      <c r="L7" s="23">
        <v>1235</v>
      </c>
      <c r="M7" s="23">
        <v>1228</v>
      </c>
      <c r="N7" s="23">
        <v>1228.5876756038999</v>
      </c>
      <c r="O7" s="23">
        <v>1229.110508</v>
      </c>
      <c r="P7" s="23">
        <v>1230.0968286238999</v>
      </c>
      <c r="Q7" s="23">
        <v>1230.5616818639</v>
      </c>
    </row>
    <row r="8" spans="1:17" x14ac:dyDescent="0.3">
      <c r="A8" s="11" t="s">
        <v>1518</v>
      </c>
      <c r="B8" s="11" t="s">
        <v>1517</v>
      </c>
      <c r="C8" s="23">
        <v>4553</v>
      </c>
      <c r="D8" s="23"/>
      <c r="E8" s="23"/>
      <c r="F8" s="23">
        <v>4553</v>
      </c>
      <c r="G8" s="23">
        <v>4801</v>
      </c>
      <c r="H8" s="23">
        <v>4475</v>
      </c>
      <c r="I8" s="23">
        <v>4148</v>
      </c>
      <c r="J8" s="23">
        <v>4141</v>
      </c>
      <c r="K8" s="23">
        <v>4514</v>
      </c>
      <c r="L8" s="23">
        <v>5154</v>
      </c>
      <c r="M8" s="23">
        <v>4399</v>
      </c>
      <c r="N8" s="23">
        <v>5331.2007692322641</v>
      </c>
      <c r="O8" s="23">
        <v>5327.9923550000003</v>
      </c>
      <c r="P8" s="23">
        <v>4610.9040151212439</v>
      </c>
      <c r="Q8" s="23">
        <v>4362.9639219092123</v>
      </c>
    </row>
    <row r="9" spans="1:17" x14ac:dyDescent="0.3">
      <c r="A9" s="11" t="s">
        <v>1516</v>
      </c>
      <c r="B9" s="11" t="s">
        <v>1515</v>
      </c>
      <c r="C9" s="23">
        <v>15402</v>
      </c>
      <c r="D9" s="23"/>
      <c r="E9" s="23"/>
      <c r="F9" s="23">
        <v>15402</v>
      </c>
      <c r="G9" s="23">
        <v>21101</v>
      </c>
      <c r="H9" s="23">
        <v>15302</v>
      </c>
      <c r="I9" s="23">
        <v>20601</v>
      </c>
      <c r="J9" s="23">
        <v>18600</v>
      </c>
      <c r="K9" s="23">
        <v>20700</v>
      </c>
      <c r="L9" s="23">
        <v>12199</v>
      </c>
      <c r="M9" s="23">
        <v>18301</v>
      </c>
      <c r="N9" s="23">
        <v>14699.488961159999</v>
      </c>
      <c r="O9" s="23">
        <v>19316.434388999998</v>
      </c>
      <c r="P9" s="23">
        <v>16700.463085240001</v>
      </c>
      <c r="Q9" s="23">
        <v>18507.200930890001</v>
      </c>
    </row>
    <row r="10" spans="1:17" x14ac:dyDescent="0.3">
      <c r="A10" s="11" t="s">
        <v>1514</v>
      </c>
      <c r="B10" s="11" t="s">
        <v>1513</v>
      </c>
      <c r="C10" s="23">
        <v>0</v>
      </c>
      <c r="D10" s="23"/>
      <c r="E10" s="23"/>
      <c r="F10" s="23">
        <v>0</v>
      </c>
      <c r="G10" s="23">
        <v>0</v>
      </c>
      <c r="H10" s="23">
        <v>0</v>
      </c>
      <c r="I10" s="23">
        <v>0</v>
      </c>
      <c r="J10" s="23">
        <v>0</v>
      </c>
      <c r="K10" s="23">
        <v>0</v>
      </c>
      <c r="L10" s="23">
        <v>0</v>
      </c>
      <c r="M10" s="23">
        <v>0</v>
      </c>
      <c r="N10" s="23">
        <v>0</v>
      </c>
      <c r="O10" s="23">
        <v>0</v>
      </c>
      <c r="P10" s="23">
        <v>0</v>
      </c>
      <c r="Q10" s="23">
        <v>0</v>
      </c>
    </row>
    <row r="11" spans="1:17" x14ac:dyDescent="0.3">
      <c r="A11" s="11" t="s">
        <v>1512</v>
      </c>
      <c r="B11" s="11" t="s">
        <v>1511</v>
      </c>
      <c r="C11" s="23">
        <v>284618.59999999998</v>
      </c>
      <c r="D11" s="23"/>
      <c r="E11" s="23"/>
      <c r="F11" s="23">
        <v>284618.59999999998</v>
      </c>
      <c r="G11" s="23">
        <v>288074</v>
      </c>
      <c r="H11" s="23">
        <v>290342</v>
      </c>
      <c r="I11" s="23">
        <v>295643</v>
      </c>
      <c r="J11" s="23">
        <v>299137</v>
      </c>
      <c r="K11" s="23">
        <v>305623</v>
      </c>
      <c r="L11" s="23">
        <v>307386.41529999999</v>
      </c>
      <c r="M11" s="23">
        <v>308259.73420000001</v>
      </c>
      <c r="N11" s="23">
        <v>311173.25311252911</v>
      </c>
      <c r="O11" s="23">
        <v>317720.97954500001</v>
      </c>
      <c r="P11" s="23">
        <v>319462.42918175517</v>
      </c>
      <c r="Q11" s="23">
        <v>326480.40288681252</v>
      </c>
    </row>
    <row r="12" spans="1:17" x14ac:dyDescent="0.3">
      <c r="A12" s="11" t="s">
        <v>1510</v>
      </c>
      <c r="B12" s="11" t="s">
        <v>158</v>
      </c>
      <c r="C12" s="23">
        <v>174121.51</v>
      </c>
      <c r="D12" s="23"/>
      <c r="E12" s="23"/>
      <c r="F12" s="23">
        <v>174121.51</v>
      </c>
      <c r="G12" s="23">
        <v>183385</v>
      </c>
      <c r="H12" s="23">
        <v>175640</v>
      </c>
      <c r="I12" s="23">
        <v>182549</v>
      </c>
      <c r="J12" s="23">
        <v>181928.46335240541</v>
      </c>
      <c r="K12" s="23">
        <v>187625.52673879798</v>
      </c>
      <c r="L12" s="23">
        <v>180865.84137609683</v>
      </c>
      <c r="M12" s="23">
        <v>186233.11139999999</v>
      </c>
      <c r="N12" s="23">
        <v>183897.7605779967</v>
      </c>
      <c r="O12" s="23">
        <v>189567.86692199999</v>
      </c>
      <c r="P12" s="23">
        <v>185108.5245462</v>
      </c>
      <c r="Q12" s="23">
        <v>189459.15364726711</v>
      </c>
    </row>
    <row r="13" spans="1:17" x14ac:dyDescent="0.3">
      <c r="A13" s="11" t="s">
        <v>1509</v>
      </c>
      <c r="B13" s="11" t="s">
        <v>330</v>
      </c>
      <c r="C13" s="23">
        <v>76707</v>
      </c>
      <c r="D13" s="23">
        <v>79944.908287343802</v>
      </c>
      <c r="E13" s="23">
        <v>79418.45317385919</v>
      </c>
      <c r="F13" s="23">
        <v>76707</v>
      </c>
      <c r="G13" s="23">
        <v>78553</v>
      </c>
      <c r="H13" s="23">
        <v>79563</v>
      </c>
      <c r="I13" s="23">
        <v>80012</v>
      </c>
      <c r="J13" s="23">
        <f>SUM(J14:J18)</f>
        <v>81099.195284083937</v>
      </c>
      <c r="K13" s="23">
        <v>78940.962995529335</v>
      </c>
      <c r="L13" s="23">
        <v>82420.334441326064</v>
      </c>
      <c r="M13" s="23">
        <v>82380.036604983005</v>
      </c>
      <c r="N13" s="23">
        <v>83866.176124536607</v>
      </c>
      <c r="O13" s="23">
        <v>81799.813903999995</v>
      </c>
      <c r="P13" s="23">
        <v>85152.156036566186</v>
      </c>
      <c r="Q13" s="23">
        <v>86642.138345702333</v>
      </c>
    </row>
    <row r="14" spans="1:17" x14ac:dyDescent="0.3">
      <c r="A14" s="11">
        <v>2201103180</v>
      </c>
      <c r="B14" s="11" t="s">
        <v>1575</v>
      </c>
      <c r="C14" s="23"/>
      <c r="D14" s="23">
        <v>11867.4593142171</v>
      </c>
      <c r="E14" s="23">
        <v>10433.070482459199</v>
      </c>
      <c r="F14" s="23">
        <v>6719.8230090355</v>
      </c>
      <c r="G14" s="23">
        <v>9624.0314552622003</v>
      </c>
      <c r="H14" s="23">
        <v>10769.2449990319</v>
      </c>
      <c r="I14" s="23">
        <v>11685.314458878</v>
      </c>
      <c r="J14" s="23">
        <v>13299.678999691099</v>
      </c>
      <c r="K14" s="23">
        <v>11288.8270869025</v>
      </c>
      <c r="L14" s="23">
        <v>11351.7485889373</v>
      </c>
      <c r="M14" s="23">
        <v>12063.8208114223</v>
      </c>
      <c r="N14" s="23">
        <v>13129.560031813409</v>
      </c>
      <c r="O14" s="23">
        <v>12006.427784134101</v>
      </c>
      <c r="P14" s="23">
        <v>14628.487229473199</v>
      </c>
      <c r="Q14" s="23">
        <v>13705.265456837171</v>
      </c>
    </row>
    <row r="15" spans="1:17" x14ac:dyDescent="0.3">
      <c r="A15" s="11">
        <v>2201203180</v>
      </c>
      <c r="B15" s="11" t="s">
        <v>14</v>
      </c>
      <c r="C15" s="23"/>
      <c r="D15" s="23">
        <v>2740.7620954006002</v>
      </c>
      <c r="E15" s="23">
        <v>2669.3314260891998</v>
      </c>
      <c r="F15" s="23">
        <v>2572.0814535585</v>
      </c>
      <c r="G15" s="23">
        <v>2575.1629685316002</v>
      </c>
      <c r="H15" s="23">
        <v>2580.8010867875</v>
      </c>
      <c r="I15" s="23">
        <v>1701.7995486629</v>
      </c>
      <c r="J15" s="23">
        <v>3136.18675284133</v>
      </c>
      <c r="K15" s="23">
        <v>3167.3393061660399</v>
      </c>
      <c r="L15" s="23">
        <v>2807.7169129016702</v>
      </c>
      <c r="M15" s="23">
        <v>2856.5038786617001</v>
      </c>
      <c r="N15" s="23">
        <v>2999.740432303076</v>
      </c>
      <c r="O15" s="23">
        <v>3047.7663999128799</v>
      </c>
      <c r="P15" s="23">
        <v>2516.637166423754</v>
      </c>
      <c r="Q15" s="23">
        <v>3165.4663296132189</v>
      </c>
    </row>
    <row r="16" spans="1:17" x14ac:dyDescent="0.3">
      <c r="A16" s="11">
        <v>2201303180</v>
      </c>
      <c r="B16" s="11" t="s">
        <v>1572</v>
      </c>
      <c r="C16" s="23"/>
      <c r="D16" s="23">
        <v>26247.303828309901</v>
      </c>
      <c r="E16" s="23">
        <v>27125.143860030301</v>
      </c>
      <c r="F16" s="23">
        <v>28272.410305094301</v>
      </c>
      <c r="G16" s="23">
        <v>27771.5514421642</v>
      </c>
      <c r="H16" s="23">
        <v>27901.432853889499</v>
      </c>
      <c r="I16" s="23">
        <v>27613.892790782898</v>
      </c>
      <c r="J16" s="23">
        <v>27761.538590239601</v>
      </c>
      <c r="K16" s="23">
        <v>28073.6424737202</v>
      </c>
      <c r="L16" s="23">
        <v>28342.603277248101</v>
      </c>
      <c r="M16" s="23">
        <v>28576.399655299399</v>
      </c>
      <c r="N16" s="23">
        <v>28743.252934286429</v>
      </c>
      <c r="O16" s="23">
        <v>28258.1999537792</v>
      </c>
      <c r="P16" s="23">
        <v>28711.083980972278</v>
      </c>
      <c r="Q16" s="23">
        <v>29449.525856712062</v>
      </c>
    </row>
    <row r="17" spans="1:17" x14ac:dyDescent="0.3">
      <c r="A17" s="11">
        <v>2201403180</v>
      </c>
      <c r="B17" s="11" t="s">
        <v>2345</v>
      </c>
      <c r="C17" s="23"/>
      <c r="D17" s="23">
        <v>26705.7426257958</v>
      </c>
      <c r="E17" s="23">
        <v>26827.099045102099</v>
      </c>
      <c r="F17" s="23">
        <v>26578.873060997299</v>
      </c>
      <c r="G17" s="23">
        <v>26634.4560529255</v>
      </c>
      <c r="H17" s="23">
        <v>25986.572049304501</v>
      </c>
      <c r="I17" s="23">
        <v>26946.477219675999</v>
      </c>
      <c r="J17" s="23">
        <v>24731.617305536201</v>
      </c>
      <c r="K17" s="23">
        <v>24242.226985462501</v>
      </c>
      <c r="L17" s="23">
        <v>27291.509096916801</v>
      </c>
      <c r="M17" s="23">
        <v>26386.074073319902</v>
      </c>
      <c r="N17" s="23">
        <v>26471.45891870499</v>
      </c>
      <c r="O17" s="23">
        <v>26007.1729924582</v>
      </c>
      <c r="P17" s="23">
        <v>26189.8590085576</v>
      </c>
      <c r="Q17" s="23">
        <v>27129.453176238789</v>
      </c>
    </row>
    <row r="18" spans="1:17" x14ac:dyDescent="0.3">
      <c r="A18" s="11">
        <v>2201503180</v>
      </c>
      <c r="B18" s="11" t="s">
        <v>1568</v>
      </c>
      <c r="C18" s="23"/>
      <c r="D18" s="23">
        <v>12383.6404236204</v>
      </c>
      <c r="E18" s="23">
        <v>12363.8083601784</v>
      </c>
      <c r="F18" s="23">
        <v>12563.7917470377</v>
      </c>
      <c r="G18" s="23">
        <v>11947.709812659799</v>
      </c>
      <c r="H18" s="23">
        <v>12324.963449274401</v>
      </c>
      <c r="I18" s="23">
        <v>12064.596032560499</v>
      </c>
      <c r="J18" s="23">
        <v>12170.1736357757</v>
      </c>
      <c r="K18" s="23">
        <v>12168.927143278101</v>
      </c>
      <c r="L18" s="23">
        <v>12626.756565322199</v>
      </c>
      <c r="M18" s="23">
        <v>12497.238186279699</v>
      </c>
      <c r="N18" s="23">
        <v>12522.163807428689</v>
      </c>
      <c r="O18" s="23">
        <v>12480.246809054999</v>
      </c>
      <c r="P18" s="23">
        <v>13106.08865113938</v>
      </c>
      <c r="Q18" s="23">
        <v>13192.42752630109</v>
      </c>
    </row>
    <row r="19" spans="1:17" x14ac:dyDescent="0.3">
      <c r="A19" s="11" t="s">
        <v>1508</v>
      </c>
      <c r="B19" s="11" t="s">
        <v>1504</v>
      </c>
      <c r="C19" s="23">
        <v>40836</v>
      </c>
      <c r="F19" s="23">
        <v>40836</v>
      </c>
      <c r="G19" s="23">
        <v>39719</v>
      </c>
      <c r="H19" s="23">
        <v>40226</v>
      </c>
      <c r="I19" s="23">
        <v>39678</v>
      </c>
      <c r="J19" s="23">
        <f>SUM(J18,J16)</f>
        <v>39931.712226015297</v>
      </c>
      <c r="K19" s="23">
        <f t="shared" ref="K19:L19" si="0">K16+K18</f>
        <v>40242.569616998298</v>
      </c>
      <c r="L19" s="23">
        <f t="shared" si="0"/>
        <v>40969.359842570302</v>
      </c>
      <c r="M19" s="23">
        <v>41073.637841579097</v>
      </c>
      <c r="N19" s="23">
        <v>41265.416741715118</v>
      </c>
      <c r="O19" s="23">
        <v>40738.446763</v>
      </c>
      <c r="P19" s="23">
        <v>41817.172632111658</v>
      </c>
      <c r="Q19" s="23">
        <v>42641.953383013148</v>
      </c>
    </row>
    <row r="20" spans="1:17" x14ac:dyDescent="0.3">
      <c r="A20" s="11" t="s">
        <v>1507</v>
      </c>
      <c r="B20" s="11" t="s">
        <v>1502</v>
      </c>
      <c r="C20" s="23">
        <v>35870.769999999997</v>
      </c>
      <c r="F20" s="23">
        <v>35870.769999999997</v>
      </c>
      <c r="G20" s="23">
        <v>38834</v>
      </c>
      <c r="H20" s="23">
        <v>39337</v>
      </c>
      <c r="I20" s="23">
        <v>40334</v>
      </c>
      <c r="J20" s="23">
        <f>SUM(J17,J15,J14)</f>
        <v>41167.483058068632</v>
      </c>
      <c r="K20" s="23">
        <f t="shared" ref="K20:L20" si="1">K14+K15+K17</f>
        <v>38698.393378531036</v>
      </c>
      <c r="L20" s="23">
        <f t="shared" si="1"/>
        <v>41450.974598755769</v>
      </c>
      <c r="M20" s="23">
        <v>41306.3987634039</v>
      </c>
      <c r="N20" s="23">
        <v>42600.759382821489</v>
      </c>
      <c r="O20" s="23">
        <v>41061.367141000002</v>
      </c>
      <c r="P20" s="23">
        <v>43334.983404454542</v>
      </c>
      <c r="Q20" s="23">
        <v>44000.184962689178</v>
      </c>
    </row>
    <row r="21" spans="1:17" x14ac:dyDescent="0.3">
      <c r="A21" s="11" t="s">
        <v>1506</v>
      </c>
      <c r="B21" s="11" t="s">
        <v>328</v>
      </c>
      <c r="C21" s="23">
        <v>92823.39</v>
      </c>
      <c r="D21" s="23">
        <v>90498.854368176399</v>
      </c>
      <c r="E21" s="23">
        <v>95279.346881522491</v>
      </c>
      <c r="F21" s="23">
        <v>92823.39</v>
      </c>
      <c r="G21" s="23">
        <v>100248</v>
      </c>
      <c r="H21" s="23">
        <v>91491</v>
      </c>
      <c r="I21" s="23">
        <v>97947</v>
      </c>
      <c r="J21" s="23">
        <v>96238.268068321486</v>
      </c>
      <c r="K21" s="23">
        <v>103843.56374326865</v>
      </c>
      <c r="L21" s="23">
        <v>93713.780034770738</v>
      </c>
      <c r="M21" s="23">
        <v>98742.22152153861</v>
      </c>
      <c r="N21" s="23">
        <v>95082.984520660146</v>
      </c>
      <c r="O21" s="23">
        <v>103064.59371787688</v>
      </c>
      <c r="P21" s="23">
        <v>95253.378940163806</v>
      </c>
      <c r="Q21" s="23">
        <v>98115.403544884801</v>
      </c>
    </row>
    <row r="22" spans="1:17" x14ac:dyDescent="0.3">
      <c r="A22" s="11">
        <v>2201103280</v>
      </c>
      <c r="B22" s="11" t="s">
        <v>1575</v>
      </c>
      <c r="C22" s="23"/>
      <c r="D22" s="23">
        <v>1648.417096828</v>
      </c>
      <c r="E22" s="23">
        <v>1098.9340571978</v>
      </c>
      <c r="F22" s="23">
        <v>845.59750116800001</v>
      </c>
      <c r="G22" s="23">
        <v>403.14058651699997</v>
      </c>
      <c r="H22" s="23">
        <v>122.717876248</v>
      </c>
      <c r="I22" s="23">
        <v>305.50678065770001</v>
      </c>
      <c r="J22" s="23">
        <v>244.43215693046099</v>
      </c>
      <c r="K22" s="23">
        <v>306.61390493705898</v>
      </c>
      <c r="L22" s="23">
        <v>231.00435446695201</v>
      </c>
      <c r="M22" s="23">
        <v>229.537329371683</v>
      </c>
      <c r="N22" s="23">
        <v>162.46571107847231</v>
      </c>
      <c r="O22" s="23">
        <v>246.67202280135501</v>
      </c>
      <c r="P22" s="23">
        <v>144.6287799751527</v>
      </c>
      <c r="Q22" s="23">
        <v>210.17497085890801</v>
      </c>
    </row>
    <row r="23" spans="1:17" x14ac:dyDescent="0.3">
      <c r="A23" s="11">
        <v>2201203280</v>
      </c>
      <c r="B23" s="11" t="s">
        <v>14</v>
      </c>
      <c r="C23" s="23"/>
      <c r="D23" s="23">
        <v>3158.8084676004</v>
      </c>
      <c r="E23" s="23">
        <v>3245.5541936916002</v>
      </c>
      <c r="F23" s="23">
        <v>3047.9109258315002</v>
      </c>
      <c r="G23" s="23">
        <v>3730.6140577987999</v>
      </c>
      <c r="H23" s="23">
        <v>2999.6141757597002</v>
      </c>
      <c r="I23" s="23">
        <v>3227.7304852901002</v>
      </c>
      <c r="J23" s="23">
        <v>3137.95749971959</v>
      </c>
      <c r="K23" s="23">
        <v>3286.6976538404701</v>
      </c>
      <c r="L23" s="23">
        <v>3157.8613251526799</v>
      </c>
      <c r="M23" s="23">
        <v>2725.21249539768</v>
      </c>
      <c r="N23" s="23">
        <v>2949.6143663925191</v>
      </c>
      <c r="O23" s="23">
        <v>3125.6243192278598</v>
      </c>
      <c r="P23" s="23">
        <v>3742.773689746954</v>
      </c>
      <c r="Q23" s="23">
        <v>4062.536292828926</v>
      </c>
    </row>
    <row r="24" spans="1:17" x14ac:dyDescent="0.3">
      <c r="A24" s="11">
        <v>2201303280</v>
      </c>
      <c r="B24" s="11" t="s">
        <v>1572</v>
      </c>
      <c r="C24" s="23"/>
      <c r="D24" s="23">
        <v>73008.438692228097</v>
      </c>
      <c r="E24" s="23">
        <v>73011.626718049694</v>
      </c>
      <c r="F24" s="23">
        <v>78222.1549803995</v>
      </c>
      <c r="G24" s="23">
        <v>75974.174710433406</v>
      </c>
      <c r="H24" s="23">
        <v>77465.862446129206</v>
      </c>
      <c r="I24" s="23">
        <v>76902.132994679007</v>
      </c>
      <c r="J24" s="23">
        <v>78105.699907251998</v>
      </c>
      <c r="K24" s="23">
        <v>78890.964826969095</v>
      </c>
      <c r="L24" s="23">
        <v>77461.287196605699</v>
      </c>
      <c r="M24" s="23">
        <v>79336.905702901902</v>
      </c>
      <c r="N24" s="23">
        <v>78116.978720477971</v>
      </c>
      <c r="O24" s="23">
        <v>80087.646031187905</v>
      </c>
      <c r="P24" s="23">
        <v>81797.283883827185</v>
      </c>
      <c r="Q24" s="23">
        <v>78385.515734892848</v>
      </c>
    </row>
    <row r="25" spans="1:17" x14ac:dyDescent="0.3">
      <c r="A25" s="11">
        <v>2201403280</v>
      </c>
      <c r="B25" s="11" t="s">
        <v>2345</v>
      </c>
      <c r="C25" s="23"/>
      <c r="D25" s="23">
        <v>11852.356563032799</v>
      </c>
      <c r="E25" s="23">
        <v>16871.1718884361</v>
      </c>
      <c r="F25" s="23">
        <v>9940.0321192611009</v>
      </c>
      <c r="G25" s="23">
        <v>19028.5046670966</v>
      </c>
      <c r="H25" s="23">
        <v>10114.2453663205</v>
      </c>
      <c r="I25" s="23">
        <v>16557.498176764599</v>
      </c>
      <c r="J25" s="23">
        <v>13666.625130755399</v>
      </c>
      <c r="K25" s="23">
        <v>20178.708643402901</v>
      </c>
      <c r="L25" s="23">
        <v>11939.645870402799</v>
      </c>
      <c r="M25" s="23">
        <v>15430.854526347201</v>
      </c>
      <c r="N25" s="23">
        <v>12892.101102854889</v>
      </c>
      <c r="O25" s="23">
        <v>18500.754757416002</v>
      </c>
      <c r="P25" s="23">
        <v>8791.4266350069029</v>
      </c>
      <c r="Q25" s="23">
        <v>14567.530201662599</v>
      </c>
    </row>
    <row r="26" spans="1:17" x14ac:dyDescent="0.3">
      <c r="A26" s="11">
        <v>2201503280</v>
      </c>
      <c r="B26" s="11" t="s">
        <v>1568</v>
      </c>
      <c r="C26" s="23"/>
      <c r="D26" s="23">
        <v>830.83354848709996</v>
      </c>
      <c r="E26" s="23">
        <v>1052.0600241473001</v>
      </c>
      <c r="F26" s="23">
        <v>767.70026755260005</v>
      </c>
      <c r="G26" s="23">
        <v>1111.1256813681</v>
      </c>
      <c r="H26" s="23">
        <v>788.98097845059999</v>
      </c>
      <c r="I26" s="23">
        <v>954.42610934300001</v>
      </c>
      <c r="J26" s="23">
        <v>1083.55337366403</v>
      </c>
      <c r="K26" s="23">
        <v>1180.5787141191299</v>
      </c>
      <c r="L26" s="23">
        <v>923.98128814260997</v>
      </c>
      <c r="M26" s="23">
        <v>1019.71146752015</v>
      </c>
      <c r="N26" s="23">
        <v>961.82461985629277</v>
      </c>
      <c r="O26" s="23">
        <v>1103.89658724375</v>
      </c>
      <c r="P26" s="23">
        <v>777.2659516076202</v>
      </c>
      <c r="Q26" s="23">
        <v>889.64634464151004</v>
      </c>
    </row>
    <row r="27" spans="1:17" x14ac:dyDescent="0.3">
      <c r="A27" s="11" t="s">
        <v>1505</v>
      </c>
      <c r="B27" s="11" t="s">
        <v>1504</v>
      </c>
      <c r="C27" s="23">
        <v>78989.850000000006</v>
      </c>
      <c r="D27" s="23"/>
      <c r="E27" s="23"/>
      <c r="F27" s="23">
        <v>78989.850000000006</v>
      </c>
      <c r="G27" s="23">
        <v>77085</v>
      </c>
      <c r="H27" s="23">
        <v>78255</v>
      </c>
      <c r="I27" s="23">
        <v>77857</v>
      </c>
      <c r="J27" s="23">
        <v>79189.253280916033</v>
      </c>
      <c r="K27" s="23">
        <f t="shared" ref="K27:L27" si="2">K26+K24</f>
        <v>80071.54354108822</v>
      </c>
      <c r="L27" s="23">
        <f t="shared" si="2"/>
        <v>78385.268484748303</v>
      </c>
      <c r="M27" s="23">
        <v>80356.617170422047</v>
      </c>
      <c r="N27" s="23">
        <v>79078.803340334256</v>
      </c>
      <c r="O27" s="23">
        <v>81191.542618000007</v>
      </c>
      <c r="P27" s="23">
        <v>82574.549835434795</v>
      </c>
      <c r="Q27" s="23">
        <v>79275.162079534362</v>
      </c>
    </row>
    <row r="28" spans="1:17" x14ac:dyDescent="0.3">
      <c r="A28" s="11" t="s">
        <v>1503</v>
      </c>
      <c r="B28" s="11" t="s">
        <v>1502</v>
      </c>
      <c r="C28" s="23">
        <v>13834</v>
      </c>
      <c r="D28" s="23"/>
      <c r="E28" s="23"/>
      <c r="F28" s="23">
        <v>13834</v>
      </c>
      <c r="G28" s="23">
        <v>23162</v>
      </c>
      <c r="H28" s="23">
        <v>13237</v>
      </c>
      <c r="I28" s="23">
        <v>20091</v>
      </c>
      <c r="J28" s="23">
        <v>17049.014787405449</v>
      </c>
      <c r="K28" s="23">
        <f t="shared" ref="K28:L28" si="3">K22+K23+K25</f>
        <v>23772.020202180429</v>
      </c>
      <c r="L28" s="23">
        <f t="shared" si="3"/>
        <v>15328.511550022431</v>
      </c>
      <c r="M28" s="23">
        <v>18385.604351116563</v>
      </c>
      <c r="N28" s="23">
        <v>16004.181180325881</v>
      </c>
      <c r="O28" s="23">
        <v>21873.051099</v>
      </c>
      <c r="P28" s="23">
        <v>12678.829104729009</v>
      </c>
      <c r="Q28" s="23">
        <v>18840.241465350431</v>
      </c>
    </row>
    <row r="29" spans="1:17" x14ac:dyDescent="0.3">
      <c r="A29" s="11" t="s">
        <v>1501</v>
      </c>
      <c r="B29" s="11" t="s">
        <v>1500</v>
      </c>
      <c r="C29" s="23">
        <v>4591</v>
      </c>
      <c r="D29" s="23"/>
      <c r="E29" s="23"/>
      <c r="F29" s="23">
        <v>4591</v>
      </c>
      <c r="G29" s="23">
        <v>4584</v>
      </c>
      <c r="H29" s="23">
        <v>4586</v>
      </c>
      <c r="I29" s="23">
        <v>4589</v>
      </c>
      <c r="J29" s="23">
        <v>4591</v>
      </c>
      <c r="K29" s="23">
        <v>4841</v>
      </c>
      <c r="L29" s="23">
        <v>4731.7268999999997</v>
      </c>
      <c r="M29" s="23">
        <v>5111.0768840000001</v>
      </c>
      <c r="N29" s="23">
        <v>4948.5999327999998</v>
      </c>
      <c r="O29" s="23">
        <v>4703.4593009999999</v>
      </c>
      <c r="P29" s="23">
        <v>4702.989569469999</v>
      </c>
      <c r="Q29" s="23">
        <v>4701.6117566800003</v>
      </c>
    </row>
    <row r="30" spans="1:17" x14ac:dyDescent="0.3">
      <c r="A30" s="11" t="s">
        <v>1499</v>
      </c>
      <c r="B30" s="11" t="s">
        <v>1498</v>
      </c>
      <c r="C30" s="23">
        <v>3800</v>
      </c>
      <c r="D30" s="23"/>
      <c r="E30" s="23"/>
      <c r="F30" s="23">
        <v>3800</v>
      </c>
      <c r="G30" s="23">
        <v>3591</v>
      </c>
      <c r="H30" s="23">
        <v>3486</v>
      </c>
      <c r="I30" s="23">
        <v>3338</v>
      </c>
      <c r="J30" s="23">
        <v>3443</v>
      </c>
      <c r="K30" s="23">
        <v>3473</v>
      </c>
      <c r="L30" s="23">
        <v>3463.2212</v>
      </c>
      <c r="M30" s="23">
        <v>3512.266932</v>
      </c>
      <c r="N30" s="23">
        <v>3557.788842786078</v>
      </c>
      <c r="O30" s="23">
        <v>3529.4934029999999</v>
      </c>
      <c r="P30" s="23">
        <v>3504.0176542996469</v>
      </c>
      <c r="Q30" s="23">
        <v>3490.8829031576402</v>
      </c>
    </row>
    <row r="31" spans="1:17" x14ac:dyDescent="0.3">
      <c r="A31" s="11" t="s">
        <v>1497</v>
      </c>
      <c r="B31" s="11" t="s">
        <v>1496</v>
      </c>
      <c r="C31" s="23">
        <v>0</v>
      </c>
      <c r="D31" s="23"/>
      <c r="E31" s="23"/>
      <c r="F31" s="23">
        <v>0</v>
      </c>
      <c r="G31" s="23">
        <v>0</v>
      </c>
      <c r="H31" s="23">
        <v>0</v>
      </c>
      <c r="I31" s="23">
        <v>0</v>
      </c>
      <c r="J31" s="23">
        <v>0</v>
      </c>
      <c r="K31" s="23">
        <v>0</v>
      </c>
      <c r="L31" s="23">
        <v>0</v>
      </c>
      <c r="M31" s="23">
        <v>0</v>
      </c>
      <c r="N31" s="23">
        <v>0</v>
      </c>
      <c r="O31" s="23">
        <v>0</v>
      </c>
      <c r="P31" s="23">
        <v>0</v>
      </c>
      <c r="Q31" s="23">
        <v>0</v>
      </c>
    </row>
    <row r="32" spans="1:17" x14ac:dyDescent="0.3">
      <c r="A32" s="11" t="s">
        <v>1495</v>
      </c>
      <c r="B32" s="11" t="s">
        <v>15</v>
      </c>
      <c r="C32" s="23">
        <v>3800</v>
      </c>
      <c r="D32" s="23"/>
      <c r="E32" s="23"/>
      <c r="F32" s="23">
        <v>3800</v>
      </c>
      <c r="G32" s="23">
        <v>3591</v>
      </c>
      <c r="H32" s="23">
        <v>3486</v>
      </c>
      <c r="I32" s="23">
        <v>3338</v>
      </c>
      <c r="J32" s="23">
        <v>3443</v>
      </c>
      <c r="K32" s="23">
        <v>3473</v>
      </c>
      <c r="L32" s="23">
        <v>3463.2212</v>
      </c>
      <c r="M32" s="23">
        <v>3512.266932</v>
      </c>
      <c r="N32" s="23">
        <v>3557.788842786078</v>
      </c>
      <c r="O32" s="23">
        <v>3529.4934029999999</v>
      </c>
      <c r="P32" s="23">
        <v>3504.0176542996469</v>
      </c>
      <c r="Q32" s="23">
        <v>3490.8829031576402</v>
      </c>
    </row>
    <row r="33" spans="1:17" x14ac:dyDescent="0.3">
      <c r="A33" s="11" t="s">
        <v>1494</v>
      </c>
      <c r="B33" s="11" t="s">
        <v>104</v>
      </c>
      <c r="C33" s="23">
        <v>77733.399999999994</v>
      </c>
      <c r="D33" s="23"/>
      <c r="E33" s="23"/>
      <c r="F33" s="23">
        <v>77733.399999999994</v>
      </c>
      <c r="G33" s="23">
        <v>79813.149999999994</v>
      </c>
      <c r="H33" s="23">
        <v>81430.603640000001</v>
      </c>
      <c r="I33" s="23">
        <v>82354.020189999996</v>
      </c>
      <c r="J33" s="23">
        <v>82485</v>
      </c>
      <c r="K33" s="23">
        <v>83112</v>
      </c>
      <c r="L33" s="23">
        <v>85232.680300000007</v>
      </c>
      <c r="M33" s="23">
        <v>87230.261849999995</v>
      </c>
      <c r="N33" s="23">
        <v>87341.712942696729</v>
      </c>
      <c r="O33" s="23">
        <v>88955.472066999995</v>
      </c>
      <c r="P33" s="23">
        <v>89467.9037831889</v>
      </c>
      <c r="Q33" s="23">
        <v>92786.468878386484</v>
      </c>
    </row>
    <row r="34" spans="1:17" x14ac:dyDescent="0.3">
      <c r="A34" s="11" t="s">
        <v>1493</v>
      </c>
      <c r="B34" s="11" t="s">
        <v>1492</v>
      </c>
      <c r="C34" s="23">
        <v>27844</v>
      </c>
      <c r="D34" s="23"/>
      <c r="E34" s="23"/>
      <c r="F34" s="23">
        <v>27844</v>
      </c>
      <c r="G34" s="23">
        <v>19561</v>
      </c>
      <c r="H34" s="23">
        <v>28496</v>
      </c>
      <c r="I34" s="23">
        <v>25574</v>
      </c>
      <c r="J34" s="23">
        <v>29606</v>
      </c>
      <c r="K34" s="23">
        <v>29931</v>
      </c>
      <c r="L34" s="23">
        <v>37036.2402</v>
      </c>
      <c r="M34" s="23">
        <v>30287.522410000001</v>
      </c>
      <c r="N34" s="23">
        <v>35385.562879008918</v>
      </c>
      <c r="O34" s="23">
        <v>34320.142032999996</v>
      </c>
      <c r="P34" s="23">
        <v>39968.194276142538</v>
      </c>
      <c r="Q34" s="23">
        <v>39589.451040159511</v>
      </c>
    </row>
    <row r="35" spans="1:17" x14ac:dyDescent="0.3">
      <c r="A35" s="11" t="s">
        <v>1491</v>
      </c>
      <c r="B35" s="11" t="s">
        <v>1460</v>
      </c>
      <c r="C35" s="23">
        <v>26346</v>
      </c>
      <c r="D35" s="23"/>
      <c r="E35" s="23"/>
      <c r="F35" s="23">
        <v>26346</v>
      </c>
      <c r="G35" s="23">
        <v>17874</v>
      </c>
      <c r="H35" s="23">
        <v>26607</v>
      </c>
      <c r="I35" s="23">
        <v>23930</v>
      </c>
      <c r="J35" s="23">
        <v>28044</v>
      </c>
      <c r="K35" s="23">
        <v>29793</v>
      </c>
      <c r="L35" s="23">
        <v>36763.227500000001</v>
      </c>
      <c r="M35" s="23">
        <v>29432.730179999999</v>
      </c>
      <c r="N35" s="23">
        <v>34378.71985704</v>
      </c>
      <c r="O35" s="23">
        <v>33841.337067</v>
      </c>
      <c r="P35" s="23">
        <v>38973.555332600001</v>
      </c>
      <c r="Q35" s="23">
        <v>38544.012102019988</v>
      </c>
    </row>
    <row r="36" spans="1:17" x14ac:dyDescent="0.3">
      <c r="A36" s="11" t="s">
        <v>1490</v>
      </c>
      <c r="B36" s="11" t="s">
        <v>1458</v>
      </c>
      <c r="C36" s="23">
        <v>1451</v>
      </c>
      <c r="D36" s="23"/>
      <c r="E36" s="23"/>
      <c r="F36" s="23">
        <v>1451</v>
      </c>
      <c r="G36" s="23">
        <v>1635</v>
      </c>
      <c r="H36" s="23">
        <v>1832</v>
      </c>
      <c r="I36" s="23">
        <v>1609</v>
      </c>
      <c r="J36" s="23">
        <v>1517</v>
      </c>
      <c r="K36" s="23">
        <v>85</v>
      </c>
      <c r="L36" s="23">
        <v>233.25450000000001</v>
      </c>
      <c r="M36" s="23">
        <v>816.30140119999999</v>
      </c>
      <c r="N36" s="23">
        <v>960.06795884999997</v>
      </c>
      <c r="O36" s="23">
        <v>449.00156399999997</v>
      </c>
      <c r="P36" s="23">
        <v>931.47146181999994</v>
      </c>
      <c r="Q36" s="23">
        <v>996.11214708</v>
      </c>
    </row>
    <row r="37" spans="1:17" x14ac:dyDescent="0.3">
      <c r="A37" s="11" t="s">
        <v>1489</v>
      </c>
      <c r="B37" s="11" t="s">
        <v>1456</v>
      </c>
      <c r="C37" s="23">
        <v>47</v>
      </c>
      <c r="D37" s="23"/>
      <c r="E37" s="23"/>
      <c r="F37" s="23">
        <v>47</v>
      </c>
      <c r="G37" s="23">
        <v>52</v>
      </c>
      <c r="H37" s="23">
        <v>57</v>
      </c>
      <c r="I37" s="23">
        <v>35</v>
      </c>
      <c r="J37" s="23">
        <v>44</v>
      </c>
      <c r="K37" s="23">
        <v>54</v>
      </c>
      <c r="L37" s="23">
        <v>39.758200000000002</v>
      </c>
      <c r="M37" s="23">
        <v>38.490827940000003</v>
      </c>
      <c r="N37" s="23">
        <v>46.775063118921892</v>
      </c>
      <c r="O37" s="23">
        <v>29.803401999999998</v>
      </c>
      <c r="P37" s="23">
        <v>63.167481722539627</v>
      </c>
      <c r="Q37" s="23">
        <v>49.326791059506597</v>
      </c>
    </row>
    <row r="38" spans="1:17" x14ac:dyDescent="0.3">
      <c r="A38" s="11" t="s">
        <v>1488</v>
      </c>
      <c r="B38" s="11" t="s">
        <v>8</v>
      </c>
      <c r="C38" s="23">
        <v>1071</v>
      </c>
      <c r="D38" s="23"/>
      <c r="E38" s="23"/>
      <c r="F38" s="23">
        <v>1071</v>
      </c>
      <c r="G38" s="23">
        <v>1676</v>
      </c>
      <c r="H38" s="23">
        <v>1257</v>
      </c>
      <c r="I38" s="23">
        <v>1816</v>
      </c>
      <c r="J38" s="23">
        <v>1647</v>
      </c>
      <c r="K38" s="23">
        <v>1303</v>
      </c>
      <c r="L38" s="23">
        <v>613.64359999999999</v>
      </c>
      <c r="M38" s="23">
        <v>805.91590680000002</v>
      </c>
      <c r="N38" s="23">
        <v>796.69900425832998</v>
      </c>
      <c r="O38" s="23">
        <v>1113.1460549999999</v>
      </c>
      <c r="P38" s="23">
        <v>1175.7028334090051</v>
      </c>
      <c r="Q38" s="23">
        <v>937.44003168833501</v>
      </c>
    </row>
    <row r="39" spans="1:17" x14ac:dyDescent="0.3">
      <c r="A39" s="11" t="s">
        <v>1487</v>
      </c>
      <c r="B39" s="11" t="s">
        <v>1486</v>
      </c>
      <c r="C39" s="23">
        <v>16.940000000000001</v>
      </c>
      <c r="D39" s="23"/>
      <c r="E39" s="23"/>
      <c r="F39" s="23">
        <v>16.940000000000001</v>
      </c>
      <c r="G39" s="23">
        <v>16.68</v>
      </c>
      <c r="H39" s="23">
        <v>0</v>
      </c>
      <c r="I39" s="23">
        <v>7.58</v>
      </c>
      <c r="J39" s="23">
        <v>1</v>
      </c>
      <c r="K39" s="23">
        <v>3</v>
      </c>
      <c r="L39" s="23">
        <v>5.5801999999999996</v>
      </c>
      <c r="M39" s="23">
        <v>3.881105362</v>
      </c>
      <c r="N39" s="23">
        <v>1.0432716160641939</v>
      </c>
      <c r="O39" s="23">
        <v>0.80468200000000001</v>
      </c>
      <c r="P39" s="23">
        <v>1.8326457151098701</v>
      </c>
      <c r="Q39" s="23">
        <v>2.0398217463283919</v>
      </c>
    </row>
    <row r="40" spans="1:17" x14ac:dyDescent="0.3">
      <c r="A40" s="11" t="s">
        <v>1485</v>
      </c>
      <c r="B40" s="11" t="s">
        <v>1484</v>
      </c>
      <c r="C40" s="23">
        <v>0.38</v>
      </c>
      <c r="D40" s="23"/>
      <c r="E40" s="23"/>
      <c r="F40" s="23">
        <v>0.38</v>
      </c>
      <c r="G40" s="23">
        <v>0</v>
      </c>
      <c r="H40" s="23">
        <v>0.77832000000000001</v>
      </c>
      <c r="I40" s="23">
        <v>0</v>
      </c>
      <c r="J40" s="23">
        <v>0</v>
      </c>
      <c r="K40" s="23">
        <v>0</v>
      </c>
      <c r="L40" s="23">
        <v>0</v>
      </c>
      <c r="M40" s="23">
        <v>0</v>
      </c>
      <c r="N40" s="23">
        <v>0</v>
      </c>
      <c r="O40" s="23">
        <v>0.343553</v>
      </c>
      <c r="P40" s="23">
        <v>0</v>
      </c>
      <c r="Q40" s="23">
        <v>0</v>
      </c>
    </row>
    <row r="41" spans="1:17" x14ac:dyDescent="0.3">
      <c r="A41" s="11" t="s">
        <v>1483</v>
      </c>
      <c r="B41" s="11" t="s">
        <v>1482</v>
      </c>
      <c r="C41" s="23">
        <v>32.21</v>
      </c>
      <c r="D41" s="23"/>
      <c r="E41" s="23"/>
      <c r="F41" s="23">
        <v>32.21</v>
      </c>
      <c r="G41" s="23">
        <v>30.57</v>
      </c>
      <c r="H41" s="23">
        <v>31.42</v>
      </c>
      <c r="I41" s="23">
        <v>5.0220000000000002</v>
      </c>
      <c r="J41" s="23">
        <v>25</v>
      </c>
      <c r="K41" s="23">
        <v>176</v>
      </c>
      <c r="L41" s="23">
        <v>169.2115</v>
      </c>
      <c r="M41" s="23">
        <v>186.7745228</v>
      </c>
      <c r="N41" s="23">
        <v>192.68559416616961</v>
      </c>
      <c r="O41" s="23">
        <v>233.71082899999999</v>
      </c>
      <c r="P41" s="23">
        <v>236.25344279999999</v>
      </c>
      <c r="Q41" s="23">
        <v>214.96656440708119</v>
      </c>
    </row>
    <row r="42" spans="1:17" x14ac:dyDescent="0.3">
      <c r="A42" s="11">
        <v>2202902070</v>
      </c>
      <c r="B42" s="11" t="s">
        <v>1481</v>
      </c>
      <c r="C42" s="23">
        <v>174372</v>
      </c>
      <c r="D42" s="23"/>
      <c r="E42" s="23"/>
      <c r="F42" s="23">
        <v>174372</v>
      </c>
      <c r="G42" s="23">
        <v>179365</v>
      </c>
      <c r="H42" s="23">
        <v>177891</v>
      </c>
      <c r="I42" s="23">
        <v>179723</v>
      </c>
      <c r="J42" s="23">
        <v>181834</v>
      </c>
      <c r="K42" s="23">
        <v>183544</v>
      </c>
      <c r="L42" s="23">
        <v>184924.20730000001</v>
      </c>
      <c r="M42" s="23">
        <v>185144.64180000001</v>
      </c>
      <c r="N42" s="23">
        <v>186572.2574560669</v>
      </c>
      <c r="O42" s="23">
        <v>188347.61106600001</v>
      </c>
      <c r="P42" s="23">
        <v>187464.9906906024</v>
      </c>
      <c r="Q42" s="23">
        <v>189291.49343238591</v>
      </c>
    </row>
    <row r="43" spans="1:17" x14ac:dyDescent="0.3">
      <c r="A43" s="11" t="s">
        <v>1480</v>
      </c>
      <c r="B43" s="11" t="s">
        <v>1479</v>
      </c>
      <c r="C43" s="23">
        <v>165531</v>
      </c>
      <c r="D43" s="23"/>
      <c r="E43" s="23"/>
      <c r="F43" s="23">
        <v>165531</v>
      </c>
      <c r="G43" s="23">
        <v>167433</v>
      </c>
      <c r="H43" s="23">
        <v>167086</v>
      </c>
      <c r="I43" s="23">
        <v>169023</v>
      </c>
      <c r="J43" s="23">
        <v>169241</v>
      </c>
      <c r="K43" s="23">
        <v>171706</v>
      </c>
      <c r="L43" s="23">
        <v>171858.2458</v>
      </c>
      <c r="M43" s="23">
        <v>172182.82440000001</v>
      </c>
      <c r="N43" s="23">
        <v>173634.53744039749</v>
      </c>
      <c r="O43" s="23">
        <v>175454.824865</v>
      </c>
      <c r="P43" s="23">
        <v>175283.1119441815</v>
      </c>
      <c r="Q43" s="23">
        <v>175586.11802712831</v>
      </c>
    </row>
    <row r="44" spans="1:17" x14ac:dyDescent="0.3">
      <c r="A44" s="11" t="s">
        <v>1478</v>
      </c>
      <c r="B44" s="11" t="s">
        <v>57</v>
      </c>
      <c r="C44" s="23">
        <v>143530</v>
      </c>
      <c r="D44" s="23"/>
      <c r="E44" s="23"/>
      <c r="F44" s="23">
        <v>143530</v>
      </c>
      <c r="G44" s="23">
        <v>145557</v>
      </c>
      <c r="H44" s="23">
        <v>144967</v>
      </c>
      <c r="I44" s="23">
        <v>146737</v>
      </c>
      <c r="J44" s="23">
        <v>146773</v>
      </c>
      <c r="K44" s="23">
        <v>149125</v>
      </c>
      <c r="L44" s="23">
        <v>149002.1476</v>
      </c>
      <c r="M44" s="23">
        <v>148976.837</v>
      </c>
      <c r="N44" s="23">
        <v>150197.31852387139</v>
      </c>
      <c r="O44" s="23">
        <v>151851.39978899999</v>
      </c>
      <c r="P44" s="23">
        <v>151595.31117773839</v>
      </c>
      <c r="Q44" s="23">
        <v>151721.45076663839</v>
      </c>
    </row>
    <row r="45" spans="1:17" x14ac:dyDescent="0.3">
      <c r="A45" s="11" t="s">
        <v>1477</v>
      </c>
      <c r="B45" s="11" t="s">
        <v>58</v>
      </c>
      <c r="C45" s="23">
        <v>6381</v>
      </c>
      <c r="D45" s="23"/>
      <c r="E45" s="23"/>
      <c r="F45" s="23">
        <v>6381</v>
      </c>
      <c r="G45" s="23">
        <v>6301</v>
      </c>
      <c r="H45" s="23">
        <v>6384</v>
      </c>
      <c r="I45" s="23">
        <v>6404</v>
      </c>
      <c r="J45" s="23">
        <v>6485</v>
      </c>
      <c r="K45" s="23">
        <v>6526</v>
      </c>
      <c r="L45" s="23">
        <v>6644.0815000000002</v>
      </c>
      <c r="M45" s="23">
        <v>6777.1507009999996</v>
      </c>
      <c r="N45" s="23">
        <v>6887.7403525375748</v>
      </c>
      <c r="O45" s="23">
        <v>6958.3094510000001</v>
      </c>
      <c r="P45" s="23">
        <v>7045.7994192305769</v>
      </c>
      <c r="Q45" s="23">
        <v>7134.1761734151096</v>
      </c>
    </row>
    <row r="46" spans="1:17" x14ac:dyDescent="0.3">
      <c r="A46" s="11" t="s">
        <v>1476</v>
      </c>
      <c r="B46" s="11" t="s">
        <v>1470</v>
      </c>
      <c r="C46" s="23">
        <v>15619.98</v>
      </c>
      <c r="D46" s="23"/>
      <c r="E46" s="23"/>
      <c r="F46" s="23">
        <v>15619.98</v>
      </c>
      <c r="G46" s="23">
        <v>15575.34</v>
      </c>
      <c r="H46" s="23">
        <v>15733.68</v>
      </c>
      <c r="I46" s="23">
        <v>15881.74</v>
      </c>
      <c r="J46" s="23">
        <v>15984</v>
      </c>
      <c r="K46" s="23">
        <v>16055</v>
      </c>
      <c r="L46" s="23">
        <v>16212.0167</v>
      </c>
      <c r="M46" s="23">
        <v>16428.83671</v>
      </c>
      <c r="N46" s="23">
        <v>16549.478563988559</v>
      </c>
      <c r="O46" s="23">
        <v>16645.115624999999</v>
      </c>
      <c r="P46" s="23">
        <v>16642.00134721255</v>
      </c>
      <c r="Q46" s="23">
        <v>16730.49108707485</v>
      </c>
    </row>
    <row r="47" spans="1:17" x14ac:dyDescent="0.3">
      <c r="A47" s="11" t="s">
        <v>1475</v>
      </c>
      <c r="B47" s="11" t="s">
        <v>1474</v>
      </c>
      <c r="C47" s="23">
        <v>3176</v>
      </c>
      <c r="D47" s="23"/>
      <c r="E47" s="23"/>
      <c r="F47" s="23">
        <v>3176</v>
      </c>
      <c r="G47" s="23">
        <v>3206</v>
      </c>
      <c r="H47" s="23">
        <v>3071</v>
      </c>
      <c r="I47" s="23">
        <v>2998</v>
      </c>
      <c r="J47" s="23">
        <v>3563</v>
      </c>
      <c r="K47" s="23">
        <v>3126</v>
      </c>
      <c r="L47" s="23">
        <v>3087.7069000000001</v>
      </c>
      <c r="M47" s="23">
        <v>3062.9996310000001</v>
      </c>
      <c r="N47" s="23">
        <v>3239.9465223431998</v>
      </c>
      <c r="O47" s="23">
        <v>3341.9490030000002</v>
      </c>
      <c r="P47" s="23">
        <v>3641.0373050261001</v>
      </c>
      <c r="Q47" s="23">
        <v>3308.8248191415</v>
      </c>
    </row>
    <row r="48" spans="1:17" x14ac:dyDescent="0.3">
      <c r="A48" s="11" t="s">
        <v>1473</v>
      </c>
      <c r="B48" s="11" t="s">
        <v>57</v>
      </c>
      <c r="C48" s="23">
        <v>2339</v>
      </c>
      <c r="D48" s="23"/>
      <c r="E48" s="23"/>
      <c r="F48" s="23">
        <v>2339</v>
      </c>
      <c r="G48" s="23">
        <v>2301</v>
      </c>
      <c r="H48" s="23">
        <v>2175</v>
      </c>
      <c r="I48" s="23">
        <v>2134</v>
      </c>
      <c r="J48" s="23">
        <v>2693</v>
      </c>
      <c r="K48" s="23">
        <v>2240</v>
      </c>
      <c r="L48" s="23">
        <v>2185.1968999999999</v>
      </c>
      <c r="M48" s="23">
        <v>2178.9671090000002</v>
      </c>
      <c r="N48" s="23">
        <v>2328.5872392949</v>
      </c>
      <c r="O48" s="23">
        <v>2445.441425</v>
      </c>
      <c r="P48" s="23">
        <v>2704.7858325227999</v>
      </c>
      <c r="Q48" s="23">
        <v>2359.1004264582002</v>
      </c>
    </row>
    <row r="49" spans="1:17" x14ac:dyDescent="0.3">
      <c r="A49" s="11" t="s">
        <v>1472</v>
      </c>
      <c r="B49" s="11" t="s">
        <v>58</v>
      </c>
      <c r="C49" s="23">
        <v>314</v>
      </c>
      <c r="D49" s="23"/>
      <c r="E49" s="23"/>
      <c r="F49" s="23">
        <v>314</v>
      </c>
      <c r="G49" s="23">
        <v>306</v>
      </c>
      <c r="H49" s="23">
        <v>324</v>
      </c>
      <c r="I49" s="23">
        <v>331</v>
      </c>
      <c r="J49" s="23">
        <v>331</v>
      </c>
      <c r="K49" s="23">
        <v>326</v>
      </c>
      <c r="L49" s="23">
        <v>325.63189999999997</v>
      </c>
      <c r="M49" s="23">
        <v>319.05008220000002</v>
      </c>
      <c r="N49" s="23">
        <v>335.17254268670001</v>
      </c>
      <c r="O49" s="23">
        <v>341.43836099999999</v>
      </c>
      <c r="P49" s="23">
        <v>363.91213754419999</v>
      </c>
      <c r="Q49" s="23">
        <v>377.02020497669997</v>
      </c>
    </row>
    <row r="50" spans="1:17" x14ac:dyDescent="0.3">
      <c r="A50" s="11" t="s">
        <v>1471</v>
      </c>
      <c r="B50" s="11" t="s">
        <v>1470</v>
      </c>
      <c r="C50" s="23">
        <v>523</v>
      </c>
      <c r="D50" s="23"/>
      <c r="E50" s="23"/>
      <c r="F50" s="23">
        <v>523</v>
      </c>
      <c r="G50" s="23">
        <v>598</v>
      </c>
      <c r="H50" s="23">
        <v>572</v>
      </c>
      <c r="I50" s="23">
        <v>534</v>
      </c>
      <c r="J50" s="23">
        <v>539</v>
      </c>
      <c r="K50" s="23">
        <v>561</v>
      </c>
      <c r="L50" s="23">
        <v>576.87810000000002</v>
      </c>
      <c r="M50" s="23">
        <v>564.98244030000001</v>
      </c>
      <c r="N50" s="23">
        <v>576.18674036160007</v>
      </c>
      <c r="O50" s="23">
        <v>555.06921699999998</v>
      </c>
      <c r="P50" s="23">
        <v>572.33933495910003</v>
      </c>
      <c r="Q50" s="23">
        <v>572.7041877065999</v>
      </c>
    </row>
    <row r="51" spans="1:17" x14ac:dyDescent="0.3">
      <c r="A51" s="11" t="s">
        <v>1469</v>
      </c>
      <c r="B51" s="11" t="s">
        <v>1468</v>
      </c>
      <c r="C51" s="23">
        <v>4886</v>
      </c>
      <c r="D51" s="23"/>
      <c r="E51" s="23"/>
      <c r="F51" s="23">
        <v>4886</v>
      </c>
      <c r="G51" s="23">
        <v>6532</v>
      </c>
      <c r="H51" s="23">
        <v>5858</v>
      </c>
      <c r="I51" s="23">
        <v>5261</v>
      </c>
      <c r="J51" s="23">
        <v>7064</v>
      </c>
      <c r="K51" s="23">
        <v>7052</v>
      </c>
      <c r="L51" s="23">
        <v>8235.8256999999994</v>
      </c>
      <c r="M51" s="23">
        <v>8388.0496579999999</v>
      </c>
      <c r="N51" s="23">
        <v>8061.2639722558552</v>
      </c>
      <c r="O51" s="23">
        <v>7548.1354529999999</v>
      </c>
      <c r="P51" s="23">
        <v>6438.2185991907627</v>
      </c>
      <c r="Q51" s="23">
        <v>8190.7887744354321</v>
      </c>
    </row>
    <row r="52" spans="1:17" x14ac:dyDescent="0.3">
      <c r="A52" s="11" t="s">
        <v>1467</v>
      </c>
      <c r="B52" s="11" t="s">
        <v>1466</v>
      </c>
      <c r="C52" s="23">
        <v>1139</v>
      </c>
      <c r="D52" s="23"/>
      <c r="E52" s="23"/>
      <c r="F52" s="23">
        <v>1139</v>
      </c>
      <c r="G52" s="23">
        <v>1662</v>
      </c>
      <c r="H52" s="23">
        <v>1409</v>
      </c>
      <c r="I52" s="23">
        <v>1222</v>
      </c>
      <c r="J52" s="23">
        <v>1908</v>
      </c>
      <c r="K52" s="23">
        <v>1905</v>
      </c>
      <c r="L52" s="23">
        <v>2235.1662999999999</v>
      </c>
      <c r="M52" s="23">
        <v>2265.544903</v>
      </c>
      <c r="N52" s="23">
        <v>2184.909738412618</v>
      </c>
      <c r="O52" s="23">
        <v>2038.3686889999999</v>
      </c>
      <c r="P52" s="23">
        <v>1740.553315524663</v>
      </c>
      <c r="Q52" s="23">
        <v>2223.7321031912811</v>
      </c>
    </row>
    <row r="53" spans="1:17" x14ac:dyDescent="0.3">
      <c r="A53" s="11" t="s">
        <v>1465</v>
      </c>
      <c r="B53" s="11" t="s">
        <v>1464</v>
      </c>
      <c r="C53" s="23">
        <v>3747</v>
      </c>
      <c r="D53" s="23"/>
      <c r="E53" s="23"/>
      <c r="F53" s="23">
        <v>3747</v>
      </c>
      <c r="G53" s="23">
        <v>4870</v>
      </c>
      <c r="H53" s="23">
        <v>4449</v>
      </c>
      <c r="I53" s="23">
        <v>4039</v>
      </c>
      <c r="J53" s="23">
        <v>5156</v>
      </c>
      <c r="K53" s="23">
        <v>5148</v>
      </c>
      <c r="L53" s="23">
        <v>6000.6593999999996</v>
      </c>
      <c r="M53" s="23">
        <v>6122.5047549999999</v>
      </c>
      <c r="N53" s="23">
        <v>5876.3542338432371</v>
      </c>
      <c r="O53" s="23">
        <v>5509.7667650000003</v>
      </c>
      <c r="P53" s="23">
        <v>4697.6652836660996</v>
      </c>
      <c r="Q53" s="23">
        <v>5967.0566712441523</v>
      </c>
    </row>
    <row r="54" spans="1:17" x14ac:dyDescent="0.3">
      <c r="A54" s="11" t="s">
        <v>1463</v>
      </c>
      <c r="B54" s="11" t="s">
        <v>1462</v>
      </c>
      <c r="C54" s="23">
        <v>0</v>
      </c>
      <c r="D54" s="23"/>
      <c r="E54" s="23"/>
      <c r="F54" s="23">
        <v>0</v>
      </c>
      <c r="G54" s="23">
        <v>0</v>
      </c>
      <c r="H54" s="23">
        <v>0</v>
      </c>
      <c r="I54" s="23">
        <v>0</v>
      </c>
      <c r="J54" s="23">
        <v>0</v>
      </c>
      <c r="K54" s="23">
        <v>0</v>
      </c>
      <c r="L54" s="23">
        <v>0</v>
      </c>
      <c r="M54" s="23">
        <v>0</v>
      </c>
      <c r="N54" s="23">
        <v>0</v>
      </c>
      <c r="O54" s="23">
        <v>0</v>
      </c>
      <c r="P54" s="23">
        <v>0</v>
      </c>
      <c r="Q54" s="23">
        <v>0</v>
      </c>
    </row>
    <row r="55" spans="1:17" x14ac:dyDescent="0.3">
      <c r="A55" s="11" t="s">
        <v>1461</v>
      </c>
      <c r="B55" s="11" t="s">
        <v>1460</v>
      </c>
      <c r="C55" s="23">
        <v>0</v>
      </c>
      <c r="D55" s="23"/>
      <c r="E55" s="23"/>
      <c r="F55" s="23">
        <v>0</v>
      </c>
      <c r="G55" s="23">
        <v>0</v>
      </c>
      <c r="H55" s="23">
        <v>0</v>
      </c>
      <c r="I55" s="23">
        <v>0</v>
      </c>
      <c r="J55" s="23">
        <v>0</v>
      </c>
      <c r="K55" s="23">
        <v>0</v>
      </c>
      <c r="L55" s="23">
        <v>0</v>
      </c>
      <c r="M55" s="23">
        <v>0</v>
      </c>
      <c r="N55" s="23">
        <v>0</v>
      </c>
      <c r="O55" s="23">
        <v>0</v>
      </c>
      <c r="P55" s="23">
        <v>0</v>
      </c>
      <c r="Q55" s="23">
        <v>0</v>
      </c>
    </row>
    <row r="56" spans="1:17" x14ac:dyDescent="0.3">
      <c r="A56" s="11" t="s">
        <v>1459</v>
      </c>
      <c r="B56" s="11" t="s">
        <v>1458</v>
      </c>
      <c r="C56" s="23">
        <v>0</v>
      </c>
      <c r="D56" s="23"/>
      <c r="E56" s="23"/>
      <c r="F56" s="23">
        <v>0</v>
      </c>
      <c r="G56" s="23">
        <v>0</v>
      </c>
      <c r="H56" s="23">
        <v>0</v>
      </c>
      <c r="I56" s="23">
        <v>0</v>
      </c>
      <c r="J56" s="23">
        <v>0</v>
      </c>
      <c r="K56" s="23">
        <v>0</v>
      </c>
      <c r="L56" s="23">
        <v>0</v>
      </c>
      <c r="M56" s="23">
        <v>0</v>
      </c>
      <c r="N56" s="23">
        <v>0</v>
      </c>
      <c r="O56" s="23">
        <v>0</v>
      </c>
      <c r="P56" s="23">
        <v>0</v>
      </c>
      <c r="Q56" s="23">
        <v>0</v>
      </c>
    </row>
    <row r="57" spans="1:17" x14ac:dyDescent="0.3">
      <c r="A57" s="11" t="s">
        <v>1457</v>
      </c>
      <c r="B57" s="11" t="s">
        <v>1456</v>
      </c>
      <c r="C57" s="23">
        <v>0</v>
      </c>
      <c r="D57" s="23"/>
      <c r="E57" s="23"/>
      <c r="F57" s="23">
        <v>0</v>
      </c>
      <c r="G57" s="23">
        <v>0</v>
      </c>
      <c r="H57" s="23">
        <v>0</v>
      </c>
      <c r="I57" s="23">
        <v>0</v>
      </c>
      <c r="J57" s="23">
        <v>0</v>
      </c>
      <c r="K57" s="23">
        <v>0</v>
      </c>
      <c r="L57" s="23">
        <v>0</v>
      </c>
      <c r="M57" s="23">
        <v>0</v>
      </c>
      <c r="N57" s="23">
        <v>0</v>
      </c>
      <c r="O57" s="23">
        <v>0</v>
      </c>
      <c r="P57" s="23">
        <v>0</v>
      </c>
      <c r="Q57" s="23">
        <v>0</v>
      </c>
    </row>
    <row r="58" spans="1:17" x14ac:dyDescent="0.3">
      <c r="A58" s="11" t="s">
        <v>1455</v>
      </c>
      <c r="B58" s="11" t="s">
        <v>1454</v>
      </c>
      <c r="C58" s="23">
        <v>196</v>
      </c>
      <c r="D58" s="23"/>
      <c r="E58" s="23"/>
      <c r="F58" s="23">
        <v>196</v>
      </c>
      <c r="G58" s="23">
        <v>815</v>
      </c>
      <c r="H58" s="23">
        <v>437</v>
      </c>
      <c r="I58" s="23">
        <v>1016</v>
      </c>
      <c r="J58" s="23">
        <v>856</v>
      </c>
      <c r="K58" s="23">
        <v>546</v>
      </c>
      <c r="L58" s="23">
        <v>330.68939999999998</v>
      </c>
      <c r="M58" s="23">
        <v>517.4770972</v>
      </c>
      <c r="N58" s="23">
        <v>544.17842057654798</v>
      </c>
      <c r="O58" s="23">
        <v>841.15770099999997</v>
      </c>
      <c r="P58" s="23">
        <v>873.63725961467298</v>
      </c>
      <c r="Q58" s="23">
        <v>679.87750080455089</v>
      </c>
    </row>
    <row r="59" spans="1:17" x14ac:dyDescent="0.3">
      <c r="A59" s="11" t="s">
        <v>1453</v>
      </c>
      <c r="B59" s="11" t="s">
        <v>1452</v>
      </c>
      <c r="C59" s="23">
        <v>15.13</v>
      </c>
      <c r="D59" s="23"/>
      <c r="E59" s="23"/>
      <c r="F59" s="23">
        <v>15.13</v>
      </c>
      <c r="G59" s="23">
        <v>14.88</v>
      </c>
      <c r="H59" s="23">
        <v>25.21</v>
      </c>
      <c r="I59" s="23">
        <v>5.69</v>
      </c>
      <c r="J59" s="23">
        <v>1</v>
      </c>
      <c r="K59" s="23">
        <v>4</v>
      </c>
      <c r="L59" s="23">
        <v>5.8764000000000003</v>
      </c>
      <c r="M59" s="23">
        <v>3.103146374</v>
      </c>
      <c r="N59" s="23">
        <v>1.6339608137121999</v>
      </c>
      <c r="O59" s="23">
        <v>0.96853599999999995</v>
      </c>
      <c r="P59" s="23">
        <v>1.7015184993329799</v>
      </c>
      <c r="Q59" s="23">
        <v>3.384558376047401</v>
      </c>
    </row>
    <row r="60" spans="1:17" x14ac:dyDescent="0.3">
      <c r="A60" s="11" t="s">
        <v>1451</v>
      </c>
      <c r="B60" s="11" t="s">
        <v>1450</v>
      </c>
      <c r="C60" s="23">
        <v>0</v>
      </c>
      <c r="D60" s="23"/>
      <c r="E60" s="23"/>
      <c r="F60" s="23">
        <v>0</v>
      </c>
      <c r="G60" s="23">
        <v>0</v>
      </c>
      <c r="H60" s="23">
        <v>0</v>
      </c>
      <c r="I60" s="23">
        <v>0</v>
      </c>
      <c r="J60" s="23">
        <v>0</v>
      </c>
      <c r="K60" s="23">
        <v>0</v>
      </c>
      <c r="L60" s="23">
        <v>0</v>
      </c>
      <c r="M60" s="23">
        <v>0</v>
      </c>
      <c r="N60" s="23">
        <v>0</v>
      </c>
      <c r="O60" s="23">
        <v>0</v>
      </c>
      <c r="P60" s="23">
        <v>0</v>
      </c>
      <c r="Q60" s="23">
        <v>0</v>
      </c>
    </row>
    <row r="61" spans="1:17" x14ac:dyDescent="0.3">
      <c r="A61" s="11" t="s">
        <v>1449</v>
      </c>
      <c r="B61" s="11" t="s">
        <v>1448</v>
      </c>
      <c r="C61" s="23">
        <v>568</v>
      </c>
      <c r="D61" s="23"/>
      <c r="E61" s="23"/>
      <c r="F61" s="23">
        <v>568</v>
      </c>
      <c r="G61" s="23">
        <v>1364</v>
      </c>
      <c r="H61" s="23">
        <v>1414</v>
      </c>
      <c r="I61" s="23">
        <v>1419</v>
      </c>
      <c r="J61" s="23">
        <v>1109</v>
      </c>
      <c r="K61" s="23">
        <v>1109</v>
      </c>
      <c r="L61" s="23">
        <v>1405.8631</v>
      </c>
      <c r="M61" s="23">
        <v>990.18789779999997</v>
      </c>
      <c r="N61" s="23">
        <v>1090.697139679984</v>
      </c>
      <c r="O61" s="23">
        <v>1160.575507</v>
      </c>
      <c r="P61" s="23">
        <v>1227.2840640900631</v>
      </c>
      <c r="Q61" s="23">
        <v>1522.499752500057</v>
      </c>
    </row>
    <row r="62" spans="1:17" x14ac:dyDescent="0.3">
      <c r="A62" s="11" t="s">
        <v>1447</v>
      </c>
      <c r="B62" s="11" t="s">
        <v>1446</v>
      </c>
      <c r="C62" s="36">
        <v>0.78190000000000004</v>
      </c>
      <c r="D62" s="36"/>
      <c r="E62" s="36"/>
      <c r="F62" s="36">
        <v>0.78190000000000004</v>
      </c>
      <c r="G62" s="36">
        <v>0.87619999999999998</v>
      </c>
      <c r="H62" s="36">
        <v>0.80569999999999997</v>
      </c>
      <c r="I62" s="36">
        <v>0.85599999999999998</v>
      </c>
      <c r="J62" s="36">
        <v>0.80410000000000004</v>
      </c>
      <c r="K62" s="36">
        <v>0.83120000000000005</v>
      </c>
      <c r="L62" s="36">
        <v>0.72007134721674404</v>
      </c>
      <c r="M62" s="36">
        <v>0.76797347500000002</v>
      </c>
      <c r="N62" s="36">
        <v>0.75355669495296407</v>
      </c>
      <c r="O62" s="36">
        <v>0.81439899999999998</v>
      </c>
      <c r="P62" s="36">
        <v>0.83435465290634248</v>
      </c>
      <c r="Q62" s="36">
        <v>0.81359225311659777</v>
      </c>
    </row>
    <row r="63" spans="1:17" x14ac:dyDescent="0.3">
      <c r="A63" s="11" t="s">
        <v>1445</v>
      </c>
      <c r="B63" s="11" t="s">
        <v>1444</v>
      </c>
      <c r="C63" s="36">
        <v>1.4599</v>
      </c>
      <c r="D63" s="36"/>
      <c r="E63" s="36"/>
      <c r="F63" s="36">
        <v>1.4599</v>
      </c>
      <c r="G63" s="36">
        <v>1.6504000000000001</v>
      </c>
      <c r="H63" s="36">
        <v>1.7471000000000001</v>
      </c>
      <c r="I63" s="36">
        <v>1.5490999999999999</v>
      </c>
      <c r="J63" s="36">
        <v>1.6775</v>
      </c>
      <c r="K63" s="36">
        <v>1.6761999999999999</v>
      </c>
      <c r="L63" s="36">
        <v>1.8125763404070301</v>
      </c>
      <c r="M63" s="36">
        <v>1.721338365</v>
      </c>
      <c r="N63" s="36">
        <v>1.803478657871272</v>
      </c>
      <c r="O63" s="36">
        <v>1.901864</v>
      </c>
      <c r="P63" s="36">
        <v>2.1825432346833442</v>
      </c>
      <c r="Q63" s="36">
        <v>2.0489703896149618</v>
      </c>
    </row>
    <row r="64" spans="1:17" x14ac:dyDescent="0.3">
      <c r="A64" s="11" t="s">
        <v>1443</v>
      </c>
      <c r="B64" s="11" t="s">
        <v>1442</v>
      </c>
      <c r="C64" s="12">
        <v>0</v>
      </c>
      <c r="D64" s="12"/>
      <c r="E64" s="12"/>
      <c r="F64" s="12">
        <v>0</v>
      </c>
      <c r="G64" s="12">
        <v>0</v>
      </c>
      <c r="H64" s="12">
        <v>0</v>
      </c>
      <c r="I64" s="12">
        <v>0</v>
      </c>
      <c r="J64" s="12">
        <v>0</v>
      </c>
      <c r="K64" s="12">
        <v>0</v>
      </c>
      <c r="L64" s="12">
        <v>0</v>
      </c>
      <c r="M64" s="12">
        <v>0</v>
      </c>
      <c r="N64" s="12">
        <v>0</v>
      </c>
      <c r="O64" s="12">
        <v>0</v>
      </c>
      <c r="P64" s="12">
        <v>1.238969567906981</v>
      </c>
      <c r="Q64" s="12">
        <v>1.253895183623589</v>
      </c>
    </row>
    <row r="65" spans="1:17" x14ac:dyDescent="0.3">
      <c r="A65" s="11" t="s">
        <v>1441</v>
      </c>
      <c r="B65" s="11" t="s">
        <v>355</v>
      </c>
      <c r="C65" s="22">
        <v>15790</v>
      </c>
      <c r="D65" s="22"/>
      <c r="E65" s="22"/>
      <c r="F65" s="22">
        <v>15790</v>
      </c>
      <c r="G65" s="22">
        <v>1508</v>
      </c>
      <c r="H65" s="22">
        <v>17533</v>
      </c>
      <c r="I65" s="22">
        <v>6220</v>
      </c>
      <c r="J65" s="22">
        <v>8762</v>
      </c>
      <c r="K65" s="22">
        <v>4314</v>
      </c>
      <c r="L65" s="22">
        <v>17683.75747</v>
      </c>
      <c r="M65" s="22">
        <v>12023.88697</v>
      </c>
      <c r="N65" s="22">
        <v>14867.07764738</v>
      </c>
      <c r="O65" s="22">
        <v>6463.251088</v>
      </c>
      <c r="P65" s="22">
        <v>20538.939694829998</v>
      </c>
      <c r="Q65" s="22">
        <v>12739.13160377</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62"/>
  <sheetViews>
    <sheetView zoomScaleNormal="100" workbookViewId="0">
      <pane xSplit="2" ySplit="2" topLeftCell="AI3" activePane="bottomRight" state="frozen"/>
      <selection pane="topRight" activeCell="C1" sqref="C1"/>
      <selection pane="bottomLeft" activeCell="A3" sqref="A3"/>
      <selection pane="bottomRight" activeCell="AJ1" sqref="AJ1:AK1"/>
    </sheetView>
  </sheetViews>
  <sheetFormatPr baseColWidth="10" defaultColWidth="8.5546875" defaultRowHeight="14.4" x14ac:dyDescent="0.3"/>
  <cols>
    <col min="1" max="1" width="11.44140625" customWidth="1"/>
    <col min="2" max="2" width="25.44140625" customWidth="1"/>
    <col min="3" max="37" width="13.5546875" style="1" customWidth="1"/>
  </cols>
  <sheetData>
    <row r="1" spans="1:37" x14ac:dyDescent="0.3">
      <c r="A1" s="11"/>
      <c r="B1" s="11"/>
      <c r="C1" s="12" t="s">
        <v>92</v>
      </c>
      <c r="D1" s="12" t="s">
        <v>92</v>
      </c>
      <c r="E1" s="12" t="s">
        <v>92</v>
      </c>
      <c r="F1" s="12" t="s">
        <v>92</v>
      </c>
      <c r="G1" s="12" t="s">
        <v>92</v>
      </c>
      <c r="H1" s="12" t="s">
        <v>92</v>
      </c>
      <c r="I1" s="12" t="s">
        <v>92</v>
      </c>
      <c r="J1" s="12" t="s">
        <v>92</v>
      </c>
      <c r="K1" s="12" t="s">
        <v>92</v>
      </c>
      <c r="L1" s="12" t="s">
        <v>92</v>
      </c>
      <c r="M1" s="12" t="s">
        <v>92</v>
      </c>
      <c r="N1" s="12" t="s">
        <v>2013</v>
      </c>
      <c r="O1" s="12" t="s">
        <v>92</v>
      </c>
      <c r="P1" s="12" t="s">
        <v>92</v>
      </c>
      <c r="Q1" s="12" t="s">
        <v>92</v>
      </c>
      <c r="R1" s="12" t="s">
        <v>92</v>
      </c>
      <c r="S1" s="12" t="s">
        <v>92</v>
      </c>
      <c r="T1" s="12" t="s">
        <v>92</v>
      </c>
      <c r="U1" s="12" t="s">
        <v>92</v>
      </c>
      <c r="V1" s="12" t="s">
        <v>92</v>
      </c>
      <c r="W1" s="12" t="s">
        <v>92</v>
      </c>
      <c r="X1" s="12" t="s">
        <v>92</v>
      </c>
      <c r="Y1" s="12" t="s">
        <v>92</v>
      </c>
      <c r="Z1" s="12" t="s">
        <v>92</v>
      </c>
      <c r="AA1" s="12" t="s">
        <v>92</v>
      </c>
      <c r="AB1" s="12" t="s">
        <v>92</v>
      </c>
      <c r="AC1" s="12" t="s">
        <v>92</v>
      </c>
      <c r="AD1" s="12" t="s">
        <v>92</v>
      </c>
      <c r="AE1" s="12" t="s">
        <v>92</v>
      </c>
      <c r="AF1" s="12" t="s">
        <v>92</v>
      </c>
      <c r="AG1" s="12" t="s">
        <v>92</v>
      </c>
      <c r="AH1" s="12" t="s">
        <v>92</v>
      </c>
      <c r="AI1" s="12" t="s">
        <v>92</v>
      </c>
      <c r="AJ1" s="12" t="s">
        <v>92</v>
      </c>
      <c r="AK1" s="12" t="s">
        <v>92</v>
      </c>
    </row>
    <row r="2" spans="1:37" x14ac:dyDescent="0.3">
      <c r="A2" s="13" t="s">
        <v>206</v>
      </c>
      <c r="B2" s="13" t="s">
        <v>205</v>
      </c>
      <c r="C2" s="45">
        <v>44927</v>
      </c>
      <c r="D2" s="45">
        <v>44958</v>
      </c>
      <c r="E2" s="45">
        <v>44986</v>
      </c>
      <c r="F2" s="45">
        <v>45017</v>
      </c>
      <c r="G2" s="45">
        <v>45047</v>
      </c>
      <c r="H2" s="45">
        <v>45078</v>
      </c>
      <c r="I2" s="45">
        <v>45108</v>
      </c>
      <c r="J2" s="45">
        <v>45139</v>
      </c>
      <c r="K2" s="45">
        <v>45170</v>
      </c>
      <c r="L2" s="45">
        <v>45200</v>
      </c>
      <c r="M2" s="45">
        <v>45231</v>
      </c>
      <c r="N2" s="45">
        <v>45261</v>
      </c>
      <c r="O2" s="45">
        <v>45292</v>
      </c>
      <c r="P2" s="45">
        <v>45323</v>
      </c>
      <c r="Q2" s="45">
        <v>45352</v>
      </c>
      <c r="R2" s="45">
        <v>45383</v>
      </c>
      <c r="S2" s="45">
        <v>45413</v>
      </c>
      <c r="T2" s="45">
        <v>45444</v>
      </c>
      <c r="U2" s="45">
        <v>45474</v>
      </c>
      <c r="V2" s="45">
        <v>45505</v>
      </c>
      <c r="W2" s="45">
        <v>45536</v>
      </c>
      <c r="X2" s="45">
        <v>45566</v>
      </c>
      <c r="Y2" s="45">
        <v>45597</v>
      </c>
      <c r="Z2" s="45">
        <v>45627</v>
      </c>
      <c r="AA2" s="45">
        <v>45658</v>
      </c>
      <c r="AB2" s="45">
        <v>45689</v>
      </c>
      <c r="AC2" s="45">
        <v>45717</v>
      </c>
      <c r="AD2" s="45">
        <v>45748</v>
      </c>
      <c r="AE2" s="45">
        <v>45778</v>
      </c>
      <c r="AF2" s="45">
        <v>45809</v>
      </c>
      <c r="AG2" s="45">
        <v>45839</v>
      </c>
      <c r="AH2" s="45">
        <v>45870</v>
      </c>
      <c r="AI2" s="45">
        <v>45901</v>
      </c>
      <c r="AJ2" s="45">
        <v>45931</v>
      </c>
      <c r="AK2" s="45">
        <v>45962</v>
      </c>
    </row>
    <row r="3" spans="1:37" x14ac:dyDescent="0.3">
      <c r="A3" s="11" t="s">
        <v>1593</v>
      </c>
      <c r="B3" s="11" t="s">
        <v>1526</v>
      </c>
      <c r="C3" s="49"/>
      <c r="D3" s="49"/>
      <c r="E3" s="49"/>
      <c r="F3" s="49"/>
      <c r="G3" s="49"/>
      <c r="H3" s="49"/>
      <c r="I3" s="49"/>
      <c r="J3" s="49"/>
      <c r="K3" s="49"/>
      <c r="L3" s="49"/>
      <c r="M3" s="49"/>
      <c r="N3" s="46">
        <v>1.1914</v>
      </c>
      <c r="O3" s="49"/>
      <c r="P3" s="49"/>
      <c r="Q3" s="49"/>
      <c r="R3" s="49"/>
      <c r="S3" s="49"/>
      <c r="T3" s="49"/>
      <c r="U3" s="49"/>
      <c r="V3" s="49"/>
      <c r="W3" s="49"/>
      <c r="X3" s="49"/>
      <c r="Y3" s="49"/>
      <c r="Z3" s="47">
        <v>1.1914</v>
      </c>
      <c r="AA3" s="49">
        <v>1.3291999999999999</v>
      </c>
      <c r="AB3" s="49">
        <v>1.3038000000000001</v>
      </c>
      <c r="AC3" s="49">
        <v>1.2355</v>
      </c>
      <c r="AD3" s="49">
        <v>1.2786</v>
      </c>
      <c r="AE3" s="49">
        <v>1.2672000000000001</v>
      </c>
      <c r="AF3" s="49">
        <v>1.3101674745254299</v>
      </c>
      <c r="AG3" s="49">
        <v>1.2335287580000001</v>
      </c>
      <c r="AH3" s="49">
        <v>1.287997524659769</v>
      </c>
      <c r="AI3" s="49">
        <v>1.268962991</v>
      </c>
      <c r="AJ3" s="49">
        <v>1.3314736706426229</v>
      </c>
      <c r="AK3" s="49">
        <v>1.338656664790443</v>
      </c>
    </row>
    <row r="4" spans="1:37" x14ac:dyDescent="0.3">
      <c r="A4" s="11" t="s">
        <v>1592</v>
      </c>
      <c r="B4" s="11" t="s">
        <v>1524</v>
      </c>
      <c r="C4" s="23"/>
      <c r="D4" s="23"/>
      <c r="E4" s="23"/>
      <c r="F4" s="23"/>
      <c r="G4" s="23"/>
      <c r="H4" s="23"/>
      <c r="I4" s="23"/>
      <c r="J4" s="23"/>
      <c r="K4" s="23"/>
      <c r="L4" s="23"/>
      <c r="M4" s="23"/>
      <c r="N4" s="50">
        <v>23408</v>
      </c>
      <c r="O4" s="23"/>
      <c r="P4" s="23"/>
      <c r="Q4" s="23"/>
      <c r="R4" s="23"/>
      <c r="S4" s="23"/>
      <c r="T4" s="23"/>
      <c r="U4" s="23"/>
      <c r="V4" s="23"/>
      <c r="W4" s="23"/>
      <c r="X4" s="23"/>
      <c r="Y4" s="23"/>
      <c r="Z4" s="23">
        <v>23408</v>
      </c>
      <c r="AA4" s="23">
        <v>28924</v>
      </c>
      <c r="AB4" s="23">
        <v>22721</v>
      </c>
      <c r="AC4" s="23">
        <v>27776</v>
      </c>
      <c r="AD4" s="23">
        <v>25801</v>
      </c>
      <c r="AE4" s="23">
        <v>28049</v>
      </c>
      <c r="AF4" s="23">
        <v>20300</v>
      </c>
      <c r="AG4" s="23">
        <v>25694.79046</v>
      </c>
      <c r="AH4" s="23">
        <v>22694.00179076771</v>
      </c>
      <c r="AI4" s="23">
        <v>27500.75534</v>
      </c>
      <c r="AJ4" s="23">
        <v>24160.137957628591</v>
      </c>
      <c r="AK4" s="23">
        <v>25869.232746455051</v>
      </c>
    </row>
    <row r="5" spans="1:37" x14ac:dyDescent="0.3">
      <c r="A5" s="11" t="s">
        <v>1591</v>
      </c>
      <c r="B5" s="11" t="s">
        <v>1522</v>
      </c>
      <c r="C5" s="23"/>
      <c r="D5" s="23"/>
      <c r="E5" s="23"/>
      <c r="F5" s="23"/>
      <c r="G5" s="23"/>
      <c r="H5" s="23"/>
      <c r="I5" s="23"/>
      <c r="J5" s="23"/>
      <c r="K5" s="23"/>
      <c r="L5" s="23"/>
      <c r="M5" s="23"/>
      <c r="N5" s="51">
        <v>23408</v>
      </c>
      <c r="O5" s="23"/>
      <c r="P5" s="23"/>
      <c r="Q5" s="23"/>
      <c r="R5" s="23"/>
      <c r="S5" s="23"/>
      <c r="T5" s="23"/>
      <c r="U5" s="23"/>
      <c r="V5" s="23"/>
      <c r="W5" s="23"/>
      <c r="X5" s="23"/>
      <c r="Y5" s="23"/>
      <c r="Z5" s="31">
        <v>23408</v>
      </c>
      <c r="AA5" s="31">
        <v>28924</v>
      </c>
      <c r="AB5" s="31">
        <v>22721</v>
      </c>
      <c r="AC5" s="31">
        <v>27776</v>
      </c>
      <c r="AD5" s="31">
        <v>25801</v>
      </c>
      <c r="AE5" s="31">
        <v>28049</v>
      </c>
      <c r="AF5" s="31">
        <v>20300</v>
      </c>
      <c r="AG5" s="31">
        <v>25694.79046</v>
      </c>
      <c r="AH5" s="31">
        <v>22694.00179076771</v>
      </c>
      <c r="AI5" s="31">
        <v>27500.75534</v>
      </c>
      <c r="AJ5" s="31">
        <v>24160.137957628591</v>
      </c>
      <c r="AK5" s="31">
        <v>25869.232746455051</v>
      </c>
    </row>
    <row r="6" spans="1:37" x14ac:dyDescent="0.3">
      <c r="A6" s="11" t="s">
        <v>1590</v>
      </c>
      <c r="B6" s="11" t="s">
        <v>87</v>
      </c>
      <c r="C6" s="23"/>
      <c r="D6" s="23"/>
      <c r="E6" s="23"/>
      <c r="F6" s="23"/>
      <c r="G6" s="23"/>
      <c r="H6" s="23"/>
      <c r="I6" s="23"/>
      <c r="J6" s="23"/>
      <c r="K6" s="23"/>
      <c r="L6" s="23"/>
      <c r="M6" s="23"/>
      <c r="N6" s="51">
        <v>2222</v>
      </c>
      <c r="O6" s="23"/>
      <c r="P6" s="23"/>
      <c r="Q6" s="23"/>
      <c r="R6" s="23"/>
      <c r="S6" s="23"/>
      <c r="T6" s="23"/>
      <c r="U6" s="23"/>
      <c r="V6" s="23"/>
      <c r="W6" s="23"/>
      <c r="X6" s="23"/>
      <c r="Y6" s="23"/>
      <c r="Z6" s="31">
        <v>2222</v>
      </c>
      <c r="AA6" s="31">
        <v>1789</v>
      </c>
      <c r="AB6" s="31">
        <v>1711</v>
      </c>
      <c r="AC6" s="31">
        <v>1794</v>
      </c>
      <c r="AD6" s="31">
        <v>1826</v>
      </c>
      <c r="AE6" s="31">
        <v>1600</v>
      </c>
      <c r="AF6" s="31">
        <v>1712</v>
      </c>
      <c r="AG6" s="31">
        <v>1766.9915980000001</v>
      </c>
      <c r="AH6" s="31">
        <v>1434.7243847715449</v>
      </c>
      <c r="AI6" s="31">
        <v>1627.2180840000001</v>
      </c>
      <c r="AJ6" s="31">
        <v>1618.6740286434469</v>
      </c>
      <c r="AK6" s="31">
        <v>1768.506211791941</v>
      </c>
    </row>
    <row r="7" spans="1:37" x14ac:dyDescent="0.3">
      <c r="A7" s="11" t="s">
        <v>1589</v>
      </c>
      <c r="B7" s="11" t="s">
        <v>1519</v>
      </c>
      <c r="C7" s="23"/>
      <c r="D7" s="23"/>
      <c r="E7" s="23"/>
      <c r="F7" s="23"/>
      <c r="G7" s="23"/>
      <c r="H7" s="23"/>
      <c r="I7" s="23"/>
      <c r="J7" s="23"/>
      <c r="K7" s="23"/>
      <c r="L7" s="23"/>
      <c r="M7" s="23"/>
      <c r="N7" s="51">
        <v>1232</v>
      </c>
      <c r="O7" s="23"/>
      <c r="P7" s="23"/>
      <c r="Q7" s="23"/>
      <c r="R7" s="23"/>
      <c r="S7" s="23"/>
      <c r="T7" s="23"/>
      <c r="U7" s="23"/>
      <c r="V7" s="23"/>
      <c r="W7" s="23"/>
      <c r="X7" s="23"/>
      <c r="Y7" s="23"/>
      <c r="Z7" s="31">
        <v>1232</v>
      </c>
      <c r="AA7" s="31">
        <v>1233</v>
      </c>
      <c r="AB7" s="31">
        <v>1233</v>
      </c>
      <c r="AC7" s="31">
        <v>1234</v>
      </c>
      <c r="AD7" s="31">
        <v>1234</v>
      </c>
      <c r="AE7" s="31">
        <v>1235</v>
      </c>
      <c r="AF7" s="31">
        <v>1235</v>
      </c>
      <c r="AG7" s="31">
        <v>1227.7855219999999</v>
      </c>
      <c r="AH7" s="31">
        <v>1228.5876756038999</v>
      </c>
      <c r="AI7" s="31">
        <v>1229.110508</v>
      </c>
      <c r="AJ7" s="31">
        <v>1230.0968286238999</v>
      </c>
      <c r="AK7" s="31">
        <v>1230.5616818639</v>
      </c>
    </row>
    <row r="8" spans="1:37" x14ac:dyDescent="0.3">
      <c r="A8" s="11" t="s">
        <v>1588</v>
      </c>
      <c r="B8" s="11" t="s">
        <v>1517</v>
      </c>
      <c r="C8" s="23"/>
      <c r="D8" s="23"/>
      <c r="E8" s="23"/>
      <c r="F8" s="23"/>
      <c r="G8" s="23"/>
      <c r="H8" s="23"/>
      <c r="I8" s="23"/>
      <c r="J8" s="23"/>
      <c r="K8" s="23"/>
      <c r="L8" s="23"/>
      <c r="M8" s="23"/>
      <c r="N8" s="51">
        <v>4553</v>
      </c>
      <c r="O8" s="23"/>
      <c r="P8" s="23"/>
      <c r="Q8" s="23"/>
      <c r="R8" s="23"/>
      <c r="S8" s="23"/>
      <c r="T8" s="23"/>
      <c r="U8" s="23"/>
      <c r="V8" s="23"/>
      <c r="W8" s="23"/>
      <c r="X8" s="23"/>
      <c r="Y8" s="23"/>
      <c r="Z8" s="31">
        <v>4553</v>
      </c>
      <c r="AA8" s="31">
        <v>4801</v>
      </c>
      <c r="AB8" s="31">
        <v>4475</v>
      </c>
      <c r="AC8" s="31">
        <v>4148</v>
      </c>
      <c r="AD8" s="31">
        <v>4141</v>
      </c>
      <c r="AE8" s="31">
        <v>4514</v>
      </c>
      <c r="AF8" s="31">
        <v>5154</v>
      </c>
      <c r="AG8" s="31">
        <v>4398.8770869999998</v>
      </c>
      <c r="AH8" s="31">
        <v>5331.2007692322641</v>
      </c>
      <c r="AI8" s="31">
        <v>5327.9923550000003</v>
      </c>
      <c r="AJ8" s="31">
        <v>4610.9040151212439</v>
      </c>
      <c r="AK8" s="31">
        <v>4362.9639219092123</v>
      </c>
    </row>
    <row r="9" spans="1:37" x14ac:dyDescent="0.3">
      <c r="A9" s="11" t="s">
        <v>1587</v>
      </c>
      <c r="B9" s="11" t="s">
        <v>1515</v>
      </c>
      <c r="C9" s="23"/>
      <c r="D9" s="23"/>
      <c r="E9" s="23"/>
      <c r="F9" s="23"/>
      <c r="G9" s="23"/>
      <c r="H9" s="23"/>
      <c r="I9" s="23"/>
      <c r="J9" s="23"/>
      <c r="K9" s="23"/>
      <c r="L9" s="23"/>
      <c r="M9" s="23"/>
      <c r="N9" s="51">
        <v>15402</v>
      </c>
      <c r="O9" s="23"/>
      <c r="P9" s="23"/>
      <c r="Q9" s="23"/>
      <c r="R9" s="23"/>
      <c r="S9" s="23"/>
      <c r="T9" s="23"/>
      <c r="U9" s="23"/>
      <c r="V9" s="23"/>
      <c r="W9" s="23"/>
      <c r="X9" s="23"/>
      <c r="Y9" s="23"/>
      <c r="Z9" s="31">
        <v>15402</v>
      </c>
      <c r="AA9" s="31">
        <v>21101</v>
      </c>
      <c r="AB9" s="31">
        <v>15302</v>
      </c>
      <c r="AC9" s="31">
        <v>20601</v>
      </c>
      <c r="AD9" s="31">
        <v>18600</v>
      </c>
      <c r="AE9" s="31">
        <v>20700</v>
      </c>
      <c r="AF9" s="31">
        <v>12199</v>
      </c>
      <c r="AG9" s="31">
        <v>18301.13625</v>
      </c>
      <c r="AH9" s="31">
        <v>14699.488961159999</v>
      </c>
      <c r="AI9" s="31">
        <v>19316.434389999999</v>
      </c>
      <c r="AJ9" s="31">
        <v>16700.463085240001</v>
      </c>
      <c r="AK9" s="31">
        <v>18507.200930890001</v>
      </c>
    </row>
    <row r="10" spans="1:37" x14ac:dyDescent="0.3">
      <c r="A10" s="11" t="s">
        <v>1586</v>
      </c>
      <c r="B10" s="11" t="s">
        <v>1513</v>
      </c>
      <c r="C10" s="23"/>
      <c r="D10" s="23"/>
      <c r="E10" s="23"/>
      <c r="F10" s="23"/>
      <c r="G10" s="23"/>
      <c r="H10" s="23"/>
      <c r="I10" s="23"/>
      <c r="J10" s="23"/>
      <c r="K10" s="23"/>
      <c r="L10" s="23"/>
      <c r="M10" s="23"/>
      <c r="N10" s="50">
        <v>0</v>
      </c>
      <c r="O10" s="23"/>
      <c r="P10" s="23"/>
      <c r="Q10" s="23"/>
      <c r="R10" s="23"/>
      <c r="S10" s="23"/>
      <c r="T10" s="23"/>
      <c r="U10" s="23"/>
      <c r="V10" s="23"/>
      <c r="W10" s="23"/>
      <c r="X10" s="23"/>
      <c r="Y10" s="23"/>
      <c r="Z10" s="23">
        <v>0</v>
      </c>
      <c r="AA10" s="23">
        <v>0</v>
      </c>
      <c r="AB10" s="23">
        <v>0</v>
      </c>
      <c r="AC10" s="23">
        <v>0</v>
      </c>
      <c r="AD10" s="23">
        <v>0</v>
      </c>
      <c r="AE10" s="23">
        <v>0</v>
      </c>
      <c r="AF10" s="23">
        <v>0</v>
      </c>
      <c r="AG10" s="23">
        <v>0</v>
      </c>
      <c r="AH10" s="23">
        <v>0</v>
      </c>
      <c r="AI10" s="23">
        <v>0</v>
      </c>
      <c r="AJ10" s="23">
        <v>0</v>
      </c>
      <c r="AK10" s="23">
        <v>0</v>
      </c>
    </row>
    <row r="11" spans="1:37" x14ac:dyDescent="0.3">
      <c r="A11" s="11" t="s">
        <v>1585</v>
      </c>
      <c r="B11" s="11" t="s">
        <v>1511</v>
      </c>
      <c r="C11" s="23"/>
      <c r="D11" s="23"/>
      <c r="E11" s="23"/>
      <c r="F11" s="23"/>
      <c r="G11" s="23"/>
      <c r="H11" s="23"/>
      <c r="I11" s="23"/>
      <c r="J11" s="23"/>
      <c r="K11" s="23"/>
      <c r="L11" s="23"/>
      <c r="M11" s="23"/>
      <c r="N11" s="50">
        <v>30117</v>
      </c>
      <c r="O11" s="23"/>
      <c r="P11" s="23"/>
      <c r="Q11" s="23"/>
      <c r="R11" s="23"/>
      <c r="S11" s="23"/>
      <c r="T11" s="23"/>
      <c r="U11" s="23"/>
      <c r="V11" s="23"/>
      <c r="W11" s="23"/>
      <c r="X11" s="23"/>
      <c r="Y11" s="23"/>
      <c r="Z11" s="23">
        <v>30117</v>
      </c>
      <c r="AA11" s="23">
        <v>35034</v>
      </c>
      <c r="AB11" s="23">
        <v>30543</v>
      </c>
      <c r="AC11" s="23">
        <v>34976</v>
      </c>
      <c r="AD11" s="23">
        <v>33797</v>
      </c>
      <c r="AE11" s="23">
        <v>35547</v>
      </c>
      <c r="AF11" s="23">
        <v>31541</v>
      </c>
      <c r="AG11" s="23">
        <v>34667.100769999997</v>
      </c>
      <c r="AH11" s="23">
        <v>31873.57937668305</v>
      </c>
      <c r="AI11" s="23">
        <v>36123.174939999997</v>
      </c>
      <c r="AJ11" s="23">
        <v>32875.131379834791</v>
      </c>
      <c r="AK11" s="23">
        <v>33664.572257594496</v>
      </c>
    </row>
    <row r="12" spans="1:37" x14ac:dyDescent="0.3">
      <c r="A12" s="11" t="s">
        <v>1584</v>
      </c>
      <c r="B12" s="92" t="s">
        <v>158</v>
      </c>
      <c r="C12" s="23"/>
      <c r="D12" s="23"/>
      <c r="E12" s="23"/>
      <c r="F12" s="23"/>
      <c r="G12" s="23"/>
      <c r="H12" s="23"/>
      <c r="I12" s="23"/>
      <c r="J12" s="23"/>
      <c r="K12" s="23"/>
      <c r="L12" s="23"/>
      <c r="M12" s="23"/>
      <c r="N12" s="50">
        <v>24516</v>
      </c>
      <c r="O12" s="23"/>
      <c r="P12" s="23"/>
      <c r="Q12" s="23"/>
      <c r="R12" s="23"/>
      <c r="S12" s="23"/>
      <c r="T12" s="23"/>
      <c r="U12" s="23"/>
      <c r="V12" s="23"/>
      <c r="W12" s="23"/>
      <c r="X12" s="23"/>
      <c r="Y12" s="23"/>
      <c r="Z12" s="23">
        <v>24516</v>
      </c>
      <c r="AA12" s="23">
        <v>28727</v>
      </c>
      <c r="AB12" s="23">
        <v>24589</v>
      </c>
      <c r="AC12" s="23">
        <v>28564</v>
      </c>
      <c r="AD12" s="23">
        <v>27483</v>
      </c>
      <c r="AE12" s="23">
        <v>29582.1512538235</v>
      </c>
      <c r="AF12" s="23">
        <v>26483.904835707333</v>
      </c>
      <c r="AG12" s="23">
        <v>28975.072899999999</v>
      </c>
      <c r="AH12" s="23">
        <v>26521.297675264999</v>
      </c>
      <c r="AI12" s="23">
        <v>30008.657629235</v>
      </c>
      <c r="AJ12" s="23">
        <v>26696.157910800001</v>
      </c>
      <c r="AK12" s="23">
        <v>27599.723711645001</v>
      </c>
    </row>
    <row r="13" spans="1:37" x14ac:dyDescent="0.3">
      <c r="A13" s="11" t="s">
        <v>1583</v>
      </c>
      <c r="B13" s="92" t="s">
        <v>330</v>
      </c>
      <c r="C13" s="23">
        <v>14817.072488862861</v>
      </c>
      <c r="D13" s="23">
        <v>15572.688190313256</v>
      </c>
      <c r="E13" s="23">
        <v>16341.987689085825</v>
      </c>
      <c r="F13" s="23">
        <v>16216.776349498805</v>
      </c>
      <c r="G13" s="23">
        <v>16750.548724657699</v>
      </c>
      <c r="H13" s="23">
        <v>16407.067415379555</v>
      </c>
      <c r="I13" s="23">
        <v>15720.030592604129</v>
      </c>
      <c r="J13" s="23">
        <v>15668.922518382056</v>
      </c>
      <c r="K13" s="23">
        <v>14755.242053654189</v>
      </c>
      <c r="L13" s="23">
        <v>14550.59676738666</v>
      </c>
      <c r="M13" s="23">
        <v>14034.366553297456</v>
      </c>
      <c r="N13" s="23">
        <v>14939.09874661204</v>
      </c>
      <c r="O13" s="23">
        <v>14699.507458359145</v>
      </c>
      <c r="P13" s="23">
        <v>16176.588787232111</v>
      </c>
      <c r="Q13" s="23">
        <v>15307.655398438252</v>
      </c>
      <c r="R13" s="23">
        <v>12771.145500777764</v>
      </c>
      <c r="S13" s="23">
        <v>12956.770103729021</v>
      </c>
      <c r="T13" s="23">
        <v>14327.678519547124</v>
      </c>
      <c r="U13" s="23">
        <v>13737.055125117055</v>
      </c>
      <c r="V13" s="23">
        <v>14078.889120725453</v>
      </c>
      <c r="W13" s="23">
        <v>13823.53144739749</v>
      </c>
      <c r="X13" s="23">
        <v>15138.141761910871</v>
      </c>
      <c r="Y13" s="23">
        <v>14662.821298377023</v>
      </c>
      <c r="Z13" s="31">
        <v>13030.120910330425</v>
      </c>
      <c r="AA13" s="31">
        <v>14347.443519520175</v>
      </c>
      <c r="AB13" s="31">
        <v>14506.385714858801</v>
      </c>
      <c r="AC13" s="31">
        <v>14776.751224202166</v>
      </c>
      <c r="AD13" s="31">
        <v>15254</v>
      </c>
      <c r="AE13" s="31">
        <v>14443.427091996473</v>
      </c>
      <c r="AF13" s="31">
        <v>15178.781709198502</v>
      </c>
      <c r="AG13" s="31">
        <v>15356.39926</v>
      </c>
      <c r="AH13" s="31">
        <v>15820.605520700001</v>
      </c>
      <c r="AI13" s="31">
        <v>15242.54761</v>
      </c>
      <c r="AJ13" s="31">
        <v>16171.873136525001</v>
      </c>
      <c r="AK13" s="31">
        <v>16439.359307170002</v>
      </c>
    </row>
    <row r="14" spans="1:37" x14ac:dyDescent="0.3">
      <c r="A14" s="11" t="s">
        <v>1582</v>
      </c>
      <c r="B14" s="92" t="s">
        <v>1575</v>
      </c>
      <c r="C14" s="23">
        <v>4054.7337426962899</v>
      </c>
      <c r="D14" s="23">
        <v>4894.1395376763094</v>
      </c>
      <c r="E14" s="23">
        <v>5526.5918559433903</v>
      </c>
      <c r="F14" s="23">
        <v>5676.9860844937202</v>
      </c>
      <c r="G14" s="23">
        <v>5826.7986150813904</v>
      </c>
      <c r="H14" s="23">
        <v>5847.7671683137996</v>
      </c>
      <c r="I14" s="23">
        <v>5161.1879776238702</v>
      </c>
      <c r="J14" s="23">
        <v>5201.5632780973701</v>
      </c>
      <c r="K14" s="23">
        <v>4424.4641851812894</v>
      </c>
      <c r="L14" s="23">
        <v>3973.92781407547</v>
      </c>
      <c r="M14" s="23">
        <v>3300.7513385469897</v>
      </c>
      <c r="N14" s="23">
        <v>3362.58725474414</v>
      </c>
      <c r="O14" s="23">
        <v>3967.7527516109699</v>
      </c>
      <c r="P14" s="23">
        <v>4651.3306172406601</v>
      </c>
      <c r="Q14" s="23">
        <v>4190.4877975736799</v>
      </c>
      <c r="R14" s="23">
        <v>3681.81268201889</v>
      </c>
      <c r="S14" s="23">
        <v>3737.7407097307</v>
      </c>
      <c r="T14" s="23">
        <v>4199.1630961317096</v>
      </c>
      <c r="U14" s="23">
        <v>3589.606513193</v>
      </c>
      <c r="V14" s="23">
        <v>3881.8871012189798</v>
      </c>
      <c r="W14" s="23">
        <v>3536.1004511439601</v>
      </c>
      <c r="X14" s="23">
        <v>4623.1936003603896</v>
      </c>
      <c r="Y14" s="23">
        <v>4049.9148106755101</v>
      </c>
      <c r="Z14" s="23">
        <v>2608</v>
      </c>
      <c r="AA14" s="23">
        <v>3740</v>
      </c>
      <c r="AB14" s="23">
        <v>4127</v>
      </c>
      <c r="AC14" s="23">
        <v>4546</v>
      </c>
      <c r="AD14" s="23">
        <v>5148</v>
      </c>
      <c r="AE14" s="23">
        <v>4371.9421689138399</v>
      </c>
      <c r="AF14" s="23">
        <v>4376.4287259870962</v>
      </c>
      <c r="AG14" s="23">
        <v>4688.8670670000001</v>
      </c>
      <c r="AH14" s="23">
        <v>5103.5506359999999</v>
      </c>
      <c r="AI14" s="23">
        <v>4665.0279655189324</v>
      </c>
      <c r="AJ14" s="23">
        <v>5693.2638854037104</v>
      </c>
      <c r="AK14" s="23">
        <v>5330.9684591512059</v>
      </c>
    </row>
    <row r="15" spans="1:37" x14ac:dyDescent="0.3">
      <c r="A15" s="11" t="s">
        <v>1581</v>
      </c>
      <c r="B15" s="92" t="s">
        <v>14</v>
      </c>
      <c r="C15" s="23">
        <v>887.26839518067504</v>
      </c>
      <c r="D15" s="23">
        <v>911.59927470770003</v>
      </c>
      <c r="E15" s="23">
        <v>515.51508761754997</v>
      </c>
      <c r="F15" s="23">
        <v>569.18284024517504</v>
      </c>
      <c r="G15" s="23">
        <v>596.23934756847495</v>
      </c>
      <c r="H15" s="23">
        <v>587.16649421827492</v>
      </c>
      <c r="I15" s="23">
        <v>712.61226786664997</v>
      </c>
      <c r="J15" s="23">
        <v>710.80918551947502</v>
      </c>
      <c r="K15" s="23">
        <v>700.14029114402501</v>
      </c>
      <c r="L15" s="23">
        <v>752.52801565897505</v>
      </c>
      <c r="M15" s="23">
        <v>771.37174877479993</v>
      </c>
      <c r="N15" s="23">
        <v>669.75008950267511</v>
      </c>
      <c r="O15" s="23">
        <v>681.62450954177496</v>
      </c>
      <c r="P15" s="23">
        <v>599.38964771657504</v>
      </c>
      <c r="Q15" s="23">
        <v>575.39733868780002</v>
      </c>
      <c r="R15" s="23">
        <v>341</v>
      </c>
      <c r="S15" s="23">
        <v>558.44096685775003</v>
      </c>
      <c r="T15" s="23">
        <v>1023.0792237991001</v>
      </c>
      <c r="U15" s="23">
        <v>1142.6078924518299</v>
      </c>
      <c r="V15" s="23">
        <v>1241.9724897960998</v>
      </c>
      <c r="W15" s="23">
        <v>1597.0379356749499</v>
      </c>
      <c r="X15" s="23">
        <v>1316.1913792683999</v>
      </c>
      <c r="Y15" s="23">
        <v>1271.07627724855</v>
      </c>
      <c r="Z15" s="23">
        <v>1135</v>
      </c>
      <c r="AA15" s="23">
        <v>1163</v>
      </c>
      <c r="AB15" s="23">
        <v>1161</v>
      </c>
      <c r="AC15" s="23">
        <v>822</v>
      </c>
      <c r="AD15" s="23">
        <v>1332</v>
      </c>
      <c r="AE15" s="23">
        <v>1376.5925600816606</v>
      </c>
      <c r="AF15" s="23">
        <v>1203.0541671275091</v>
      </c>
      <c r="AG15" s="23">
        <v>1308.4194090000001</v>
      </c>
      <c r="AH15" s="23">
        <v>1306.0668720000001</v>
      </c>
      <c r="AI15" s="23">
        <v>1355.7854778303058</v>
      </c>
      <c r="AJ15" s="23">
        <v>1142.1874517914</v>
      </c>
      <c r="AK15" s="23">
        <v>1440.825962021654</v>
      </c>
    </row>
    <row r="16" spans="1:37" x14ac:dyDescent="0.3">
      <c r="A16" s="11" t="s">
        <v>1580</v>
      </c>
      <c r="B16" s="92" t="s">
        <v>1572</v>
      </c>
      <c r="C16" s="23">
        <v>1894.55401412731</v>
      </c>
      <c r="D16" s="23">
        <v>1813.95796690103</v>
      </c>
      <c r="E16" s="23">
        <v>1863.8834612702601</v>
      </c>
      <c r="F16" s="23">
        <v>1909.7629244760999</v>
      </c>
      <c r="G16" s="23">
        <v>2038.8107110846599</v>
      </c>
      <c r="H16" s="23">
        <v>1919.6143321128</v>
      </c>
      <c r="I16" s="23">
        <v>1843.82310508449</v>
      </c>
      <c r="J16" s="23">
        <v>1850.91673430693</v>
      </c>
      <c r="K16" s="23">
        <v>1891.58923817966</v>
      </c>
      <c r="L16" s="23">
        <v>1911.1080972671</v>
      </c>
      <c r="M16" s="23">
        <v>1925.9381417044301</v>
      </c>
      <c r="N16" s="23">
        <v>2082.6124381669201</v>
      </c>
      <c r="O16" s="23">
        <v>1943.72696959412</v>
      </c>
      <c r="P16" s="23">
        <v>1955.70629974038</v>
      </c>
      <c r="Q16" s="23">
        <v>1928.9269863442501</v>
      </c>
      <c r="R16" s="23">
        <v>1931.85050976766</v>
      </c>
      <c r="S16" s="23">
        <v>1927.3768411607398</v>
      </c>
      <c r="T16" s="23">
        <v>1984.97307593804</v>
      </c>
      <c r="U16" s="23">
        <v>1973.18360834491</v>
      </c>
      <c r="V16" s="23">
        <v>2002.4418360715599</v>
      </c>
      <c r="W16" s="23">
        <v>1959.3181180646902</v>
      </c>
      <c r="X16" s="23">
        <v>2025.8946505095798</v>
      </c>
      <c r="Y16" s="23">
        <v>2098.2533478988198</v>
      </c>
      <c r="Z16" s="23">
        <v>2197</v>
      </c>
      <c r="AA16" s="23">
        <v>2164</v>
      </c>
      <c r="AB16" s="23">
        <v>2178</v>
      </c>
      <c r="AC16" s="23">
        <v>2162</v>
      </c>
      <c r="AD16" s="23">
        <v>2162</v>
      </c>
      <c r="AE16" s="23">
        <v>2186.903188348364</v>
      </c>
      <c r="AF16" s="23">
        <v>2211.9282082584909</v>
      </c>
      <c r="AG16" s="23">
        <v>2228.5818319999998</v>
      </c>
      <c r="AH16" s="23">
        <v>2243.414307</v>
      </c>
      <c r="AI16" s="23">
        <v>2199.9951804148591</v>
      </c>
      <c r="AJ16" s="23">
        <v>2232.96285988211</v>
      </c>
      <c r="AK16" s="23">
        <v>2294.7479449142111</v>
      </c>
    </row>
    <row r="17" spans="1:37" x14ac:dyDescent="0.3">
      <c r="A17" s="11" t="s">
        <v>1579</v>
      </c>
      <c r="B17" s="92" t="s">
        <v>1570</v>
      </c>
      <c r="C17" s="23">
        <v>7174.5205150540896</v>
      </c>
      <c r="D17" s="23">
        <v>7125.1373245671903</v>
      </c>
      <c r="E17" s="23">
        <v>7590.3868269840004</v>
      </c>
      <c r="F17" s="23">
        <v>7214.0513791991098</v>
      </c>
      <c r="G17" s="23">
        <v>7406.3883722159699</v>
      </c>
      <c r="H17" s="23">
        <v>7158.9175543702895</v>
      </c>
      <c r="I17" s="23">
        <v>7104.5999707729497</v>
      </c>
      <c r="J17" s="23">
        <v>7018.1208662986201</v>
      </c>
      <c r="K17" s="23">
        <v>6865.9306627536898</v>
      </c>
      <c r="L17" s="23">
        <v>7032.70022680702</v>
      </c>
      <c r="M17" s="23">
        <v>7138.9122349524405</v>
      </c>
      <c r="N17" s="23">
        <v>7915.9523471372904</v>
      </c>
      <c r="O17" s="23">
        <v>7218.9290243391997</v>
      </c>
      <c r="P17" s="23">
        <v>8008.0398617549799</v>
      </c>
      <c r="Q17" s="23">
        <v>7690.1087624997699</v>
      </c>
      <c r="R17" s="23">
        <v>6148.2514063082999</v>
      </c>
      <c r="S17" s="23">
        <v>6067.59132847826</v>
      </c>
      <c r="T17" s="23">
        <v>6430.9637166599396</v>
      </c>
      <c r="U17" s="23">
        <v>6349.6585305419994</v>
      </c>
      <c r="V17" s="23">
        <v>6254.93666994056</v>
      </c>
      <c r="W17" s="23">
        <v>6049.8249840295402</v>
      </c>
      <c r="X17" s="23">
        <v>6460.4119916711797</v>
      </c>
      <c r="Y17" s="23">
        <v>6531.2225181763097</v>
      </c>
      <c r="Z17" s="23">
        <v>6366</v>
      </c>
      <c r="AA17" s="23">
        <v>6592</v>
      </c>
      <c r="AB17" s="23">
        <v>6331</v>
      </c>
      <c r="AC17" s="23">
        <v>6551</v>
      </c>
      <c r="AD17" s="23">
        <v>5917</v>
      </c>
      <c r="AE17" s="23">
        <v>5812.1070914032507</v>
      </c>
      <c r="AF17" s="23">
        <v>6664.8129709656696</v>
      </c>
      <c r="AG17" s="23">
        <v>6415.364885</v>
      </c>
      <c r="AH17" s="23">
        <v>6450.6695339999997</v>
      </c>
      <c r="AI17" s="23">
        <v>6307.1112805993926</v>
      </c>
      <c r="AJ17" s="23">
        <v>6352.6429836073758</v>
      </c>
      <c r="AK17" s="23">
        <v>6617.4843260833204</v>
      </c>
    </row>
    <row r="18" spans="1:37" x14ac:dyDescent="0.3">
      <c r="A18" s="11" t="s">
        <v>1578</v>
      </c>
      <c r="B18" s="92" t="s">
        <v>1568</v>
      </c>
      <c r="C18" s="23">
        <v>805.99582180449499</v>
      </c>
      <c r="D18" s="23">
        <v>827.85408646102496</v>
      </c>
      <c r="E18" s="23">
        <v>845.61045727062503</v>
      </c>
      <c r="F18" s="23">
        <v>846.79312108470003</v>
      </c>
      <c r="G18" s="23">
        <v>882.31167870720503</v>
      </c>
      <c r="H18" s="23">
        <v>893.60186636439005</v>
      </c>
      <c r="I18" s="23">
        <v>897.80727125617</v>
      </c>
      <c r="J18" s="23">
        <v>887.51245415966002</v>
      </c>
      <c r="K18" s="23">
        <v>873.117676395525</v>
      </c>
      <c r="L18" s="23">
        <v>880.33261357809499</v>
      </c>
      <c r="M18" s="23">
        <v>897.39308931879498</v>
      </c>
      <c r="N18" s="23">
        <v>908.19661706101499</v>
      </c>
      <c r="O18" s="23">
        <v>887.47420327307998</v>
      </c>
      <c r="P18" s="23">
        <v>962.12236077951502</v>
      </c>
      <c r="Q18" s="23">
        <v>922.73451333275</v>
      </c>
      <c r="R18" s="23">
        <v>668.23090268291492</v>
      </c>
      <c r="S18" s="23">
        <v>665.62025750156999</v>
      </c>
      <c r="T18" s="23">
        <v>689.49940701833498</v>
      </c>
      <c r="U18" s="23">
        <v>681.99858058531504</v>
      </c>
      <c r="V18" s="23">
        <v>697.6510236982549</v>
      </c>
      <c r="W18" s="23">
        <v>681.24995848434992</v>
      </c>
      <c r="X18" s="23">
        <v>712.45014010132002</v>
      </c>
      <c r="Y18" s="23">
        <v>712.35434437783499</v>
      </c>
      <c r="Z18" s="23">
        <v>724</v>
      </c>
      <c r="AA18" s="23">
        <v>689</v>
      </c>
      <c r="AB18" s="23">
        <v>710</v>
      </c>
      <c r="AC18" s="23">
        <v>696</v>
      </c>
      <c r="AD18" s="23">
        <v>696</v>
      </c>
      <c r="AE18" s="23">
        <v>695.88208324935863</v>
      </c>
      <c r="AF18" s="23">
        <v>722.557636859735</v>
      </c>
      <c r="AG18" s="23">
        <v>715.16606430000002</v>
      </c>
      <c r="AH18" s="23">
        <v>716.87096159999999</v>
      </c>
      <c r="AI18" s="23">
        <v>714.62770563650929</v>
      </c>
      <c r="AJ18" s="23">
        <v>750.81595584040497</v>
      </c>
      <c r="AK18" s="23">
        <v>755.33261499960895</v>
      </c>
    </row>
    <row r="19" spans="1:37" x14ac:dyDescent="0.3">
      <c r="A19" s="11" t="s">
        <v>1577</v>
      </c>
      <c r="B19" s="92" t="s">
        <v>328</v>
      </c>
      <c r="C19" s="23">
        <v>4639.4148581442805</v>
      </c>
      <c r="D19" s="23">
        <v>4552.4220217237207</v>
      </c>
      <c r="E19" s="23">
        <v>4592.8342235596701</v>
      </c>
      <c r="F19" s="23">
        <v>5093.5592852941145</v>
      </c>
      <c r="G19" s="23">
        <v>6634.977222081915</v>
      </c>
      <c r="H19" s="23">
        <v>5267.6892624342099</v>
      </c>
      <c r="I19" s="23">
        <v>6701.4248301752204</v>
      </c>
      <c r="J19" s="23">
        <v>5899.9502462491655</v>
      </c>
      <c r="K19" s="23">
        <v>6668.6521193625695</v>
      </c>
      <c r="L19" s="23">
        <v>7636.3427227893199</v>
      </c>
      <c r="M19" s="23">
        <v>10050.396845027159</v>
      </c>
      <c r="N19" s="23">
        <v>6625.8350870582844</v>
      </c>
      <c r="O19" s="23">
        <v>7401.9090519203555</v>
      </c>
      <c r="P19" s="23">
        <v>5220.0851111922648</v>
      </c>
      <c r="Q19" s="23">
        <v>9965.6662871686312</v>
      </c>
      <c r="R19" s="23">
        <v>8959.999703337784</v>
      </c>
      <c r="S19" s="23">
        <v>10748.937657074195</v>
      </c>
      <c r="T19" s="23">
        <v>9530.3928870438704</v>
      </c>
      <c r="U19" s="23">
        <v>9821.4603888910751</v>
      </c>
      <c r="V19" s="23">
        <v>10220.365936577895</v>
      </c>
      <c r="W19" s="23">
        <v>13167.355325804676</v>
      </c>
      <c r="X19" s="23">
        <v>10325.532201834456</v>
      </c>
      <c r="Y19" s="23">
        <v>12163.678376857344</v>
      </c>
      <c r="Z19" s="23">
        <v>9548.2525198529456</v>
      </c>
      <c r="AA19" s="23">
        <v>13219.911405749146</v>
      </c>
      <c r="AB19" s="23">
        <v>9171.0542162768143</v>
      </c>
      <c r="AC19" s="23">
        <v>12099.590930278309</v>
      </c>
      <c r="AD19" s="23">
        <v>10767</v>
      </c>
      <c r="AE19" s="23">
        <v>13533.724161827027</v>
      </c>
      <c r="AF19" s="23">
        <v>9802.1231265088336</v>
      </c>
      <c r="AG19" s="23">
        <v>11594.59676</v>
      </c>
      <c r="AH19" s="23">
        <v>9972.0922217650004</v>
      </c>
      <c r="AI19" s="23">
        <v>12800.65072</v>
      </c>
      <c r="AJ19" s="23">
        <v>8845.295204805001</v>
      </c>
      <c r="AK19" s="23">
        <v>10646.794870014999</v>
      </c>
    </row>
    <row r="20" spans="1:37" x14ac:dyDescent="0.3">
      <c r="A20" s="11" t="s">
        <v>1576</v>
      </c>
      <c r="B20" s="92" t="s">
        <v>1575</v>
      </c>
      <c r="C20" s="23">
        <v>71.452473747159985</v>
      </c>
      <c r="D20" s="23">
        <v>72.22914060718</v>
      </c>
      <c r="E20" s="23">
        <v>80.109700371399995</v>
      </c>
      <c r="F20" s="23">
        <v>96.189561987399998</v>
      </c>
      <c r="G20" s="23">
        <v>109.97423591716</v>
      </c>
      <c r="H20" s="23">
        <v>74.011103224940001</v>
      </c>
      <c r="I20" s="23">
        <v>78.066999428819997</v>
      </c>
      <c r="J20" s="23">
        <v>113.54254624696001</v>
      </c>
      <c r="K20" s="23">
        <v>79.750803729360001</v>
      </c>
      <c r="L20" s="23">
        <v>89.318607421399989</v>
      </c>
      <c r="M20" s="23">
        <v>109.78442773336</v>
      </c>
      <c r="N20" s="23">
        <v>72.178301175499996</v>
      </c>
      <c r="O20" s="23">
        <v>104.12200243529999</v>
      </c>
      <c r="P20" s="23">
        <v>72.774449517380006</v>
      </c>
      <c r="Q20" s="23">
        <v>719.42304005123992</v>
      </c>
      <c r="R20" s="23">
        <v>478.86111734882996</v>
      </c>
      <c r="S20" s="23">
        <v>517.95369437403497</v>
      </c>
      <c r="T20" s="23">
        <v>850.884380336395</v>
      </c>
      <c r="U20" s="23">
        <v>1139.8784139214101</v>
      </c>
      <c r="V20" s="23">
        <v>843.23121599614501</v>
      </c>
      <c r="W20" s="23">
        <v>968.02516211552506</v>
      </c>
      <c r="X20" s="23">
        <v>642.19155488502497</v>
      </c>
      <c r="Y20" s="23">
        <v>422.13779385281998</v>
      </c>
      <c r="Z20" s="23">
        <v>321</v>
      </c>
      <c r="AA20" s="23">
        <v>144</v>
      </c>
      <c r="AB20" s="23">
        <v>8</v>
      </c>
      <c r="AC20" s="23">
        <v>65</v>
      </c>
      <c r="AD20" s="23">
        <v>41</v>
      </c>
      <c r="AE20" s="23">
        <v>65.37492995603823</v>
      </c>
      <c r="AF20" s="23">
        <v>34.967899531870202</v>
      </c>
      <c r="AG20" s="23">
        <v>33.99924266</v>
      </c>
      <c r="AH20" s="23">
        <v>17.553788602651409</v>
      </c>
      <c r="AI20" s="23">
        <v>51.06452224706247</v>
      </c>
      <c r="AJ20" s="23">
        <v>9.9392141820112077</v>
      </c>
      <c r="AK20" s="23">
        <v>78.924406971182648</v>
      </c>
    </row>
    <row r="21" spans="1:37" x14ac:dyDescent="0.3">
      <c r="A21" s="11" t="s">
        <v>1574</v>
      </c>
      <c r="B21" s="92" t="s">
        <v>14</v>
      </c>
      <c r="C21" s="23">
        <v>379.43273462259998</v>
      </c>
      <c r="D21" s="23">
        <v>258.31576170209996</v>
      </c>
      <c r="E21" s="23">
        <v>127.1321112416</v>
      </c>
      <c r="F21" s="23">
        <v>287.29820915280004</v>
      </c>
      <c r="G21" s="23">
        <v>261.7994206921</v>
      </c>
      <c r="H21" s="23">
        <v>180.85393478220001</v>
      </c>
      <c r="I21" s="23">
        <v>279.40812252169997</v>
      </c>
      <c r="J21" s="23">
        <v>163.50280765100001</v>
      </c>
      <c r="K21" s="23">
        <v>298.63769286169997</v>
      </c>
      <c r="L21" s="23">
        <v>629.06628566220002</v>
      </c>
      <c r="M21" s="23">
        <v>312.86288575899994</v>
      </c>
      <c r="N21" s="23">
        <v>328.83786733950001</v>
      </c>
      <c r="O21" s="23">
        <v>483.0932373704</v>
      </c>
      <c r="P21" s="23">
        <v>250.2296863812</v>
      </c>
      <c r="Q21" s="23">
        <v>342.59153237980001</v>
      </c>
      <c r="R21" s="23">
        <v>458.83786128312499</v>
      </c>
      <c r="S21" s="23">
        <v>435.96056163050002</v>
      </c>
      <c r="T21" s="23">
        <v>377.99729795690001</v>
      </c>
      <c r="U21" s="23">
        <v>575.48127207694995</v>
      </c>
      <c r="V21" s="23">
        <v>996.70127181969997</v>
      </c>
      <c r="W21" s="23">
        <v>2058.93209471415</v>
      </c>
      <c r="X21" s="23">
        <v>2121.1183333926001</v>
      </c>
      <c r="Y21" s="23">
        <v>2003.34424516945</v>
      </c>
      <c r="Z21" s="23">
        <v>1924</v>
      </c>
      <c r="AA21" s="23">
        <v>2440</v>
      </c>
      <c r="AB21" s="23">
        <v>1709</v>
      </c>
      <c r="AC21" s="23">
        <v>2071</v>
      </c>
      <c r="AD21" s="23">
        <v>2052</v>
      </c>
      <c r="AE21" s="23">
        <v>2087.7890961566141</v>
      </c>
      <c r="AF21" s="23">
        <v>1884.48211872763</v>
      </c>
      <c r="AG21" s="23">
        <v>2064.2121990000001</v>
      </c>
      <c r="AH21" s="23">
        <v>1642.1329021229301</v>
      </c>
      <c r="AI21" s="23">
        <v>2084.3369080158654</v>
      </c>
      <c r="AJ21" s="23">
        <v>1926.2705788693099</v>
      </c>
      <c r="AK21" s="23">
        <v>1766.805713507717</v>
      </c>
    </row>
    <row r="22" spans="1:37" x14ac:dyDescent="0.3">
      <c r="A22" s="11" t="s">
        <v>1573</v>
      </c>
      <c r="B22" s="92" t="s">
        <v>1572</v>
      </c>
      <c r="C22" s="23">
        <v>2786.0240341038898</v>
      </c>
      <c r="D22" s="23">
        <v>2852.2698597395402</v>
      </c>
      <c r="E22" s="23">
        <v>3016.2241989178701</v>
      </c>
      <c r="F22" s="23">
        <v>3097.6889957913299</v>
      </c>
      <c r="G22" s="23">
        <v>3584.4684969069003</v>
      </c>
      <c r="H22" s="23">
        <v>3622.0620777712102</v>
      </c>
      <c r="I22" s="23">
        <v>3858.5451093420002</v>
      </c>
      <c r="J22" s="23">
        <v>3752.3028285164405</v>
      </c>
      <c r="K22" s="23">
        <v>3876.0054890770703</v>
      </c>
      <c r="L22" s="23">
        <v>3789.1798392452201</v>
      </c>
      <c r="M22" s="23">
        <v>3914.52231859729</v>
      </c>
      <c r="N22" s="23">
        <v>3369.7561368220795</v>
      </c>
      <c r="O22" s="23">
        <v>3601.2857173247999</v>
      </c>
      <c r="P22" s="23">
        <v>3333.5182332960794</v>
      </c>
      <c r="Q22" s="23">
        <v>3284.4493502781302</v>
      </c>
      <c r="R22" s="23">
        <v>3287.5919632220002</v>
      </c>
      <c r="S22" s="23">
        <v>3455.10301803429</v>
      </c>
      <c r="T22" s="23">
        <v>3408.0436707367303</v>
      </c>
      <c r="U22" s="23">
        <v>3505.9362364671001</v>
      </c>
      <c r="V22" s="23">
        <v>3486.6952453918097</v>
      </c>
      <c r="W22" s="23">
        <v>3565.5775202666</v>
      </c>
      <c r="X22" s="23">
        <v>3854.7862470457103</v>
      </c>
      <c r="Y22" s="23">
        <v>3807.1852983409799</v>
      </c>
      <c r="Z22" s="23">
        <v>4218</v>
      </c>
      <c r="AA22" s="23">
        <v>3920</v>
      </c>
      <c r="AB22" s="23">
        <v>4160</v>
      </c>
      <c r="AC22" s="23">
        <v>4094</v>
      </c>
      <c r="AD22" s="23">
        <v>4143</v>
      </c>
      <c r="AE22" s="23">
        <v>4166.7876260932881</v>
      </c>
      <c r="AF22" s="23">
        <v>4025.5876296316701</v>
      </c>
      <c r="AG22" s="23">
        <v>4148.9288159999996</v>
      </c>
      <c r="AH22" s="23">
        <v>3978.5540321556991</v>
      </c>
      <c r="AI22" s="23">
        <v>4225.8192576769052</v>
      </c>
      <c r="AJ22" s="23">
        <v>4312.2619749997693</v>
      </c>
      <c r="AK22" s="23">
        <v>4068.271767221192</v>
      </c>
    </row>
    <row r="23" spans="1:37" x14ac:dyDescent="0.3">
      <c r="A23" s="11" t="s">
        <v>1571</v>
      </c>
      <c r="B23" s="92" t="s">
        <v>1570</v>
      </c>
      <c r="C23" s="23">
        <v>1385.1246198274398</v>
      </c>
      <c r="D23" s="23">
        <v>1351.8979609836799</v>
      </c>
      <c r="E23" s="23">
        <v>1349.6958910626001</v>
      </c>
      <c r="F23" s="23">
        <v>1591.78496195408</v>
      </c>
      <c r="G23" s="23">
        <v>2653.77640963964</v>
      </c>
      <c r="H23" s="23">
        <v>1369.7689182468</v>
      </c>
      <c r="I23" s="23">
        <v>2460.5936943114802</v>
      </c>
      <c r="J23" s="23">
        <v>1849.4856286537199</v>
      </c>
      <c r="K23" s="23">
        <v>2387.93906620192</v>
      </c>
      <c r="L23" s="23">
        <v>3100.2668320760799</v>
      </c>
      <c r="M23" s="23">
        <v>5675.8805214139202</v>
      </c>
      <c r="N23" s="23">
        <v>2832.51416775396</v>
      </c>
      <c r="O23" s="23">
        <v>3185.9550745710003</v>
      </c>
      <c r="P23" s="23">
        <v>1541.2664585182799</v>
      </c>
      <c r="Q23" s="23">
        <v>5577.4416669700004</v>
      </c>
      <c r="R23" s="23">
        <v>4678.9703297388296</v>
      </c>
      <c r="S23" s="23">
        <v>6262.7883526630294</v>
      </c>
      <c r="T23" s="23">
        <v>4836.2041296659299</v>
      </c>
      <c r="U23" s="23">
        <v>4535.9963237917</v>
      </c>
      <c r="V23" s="23">
        <v>4824.9609994349703</v>
      </c>
      <c r="W23" s="23">
        <v>6490.3204411009901</v>
      </c>
      <c r="X23" s="23">
        <v>3638.7756557096</v>
      </c>
      <c r="Y23" s="23">
        <v>5840.6459710550698</v>
      </c>
      <c r="Z23" s="23">
        <v>3024</v>
      </c>
      <c r="AA23" s="23">
        <v>6621</v>
      </c>
      <c r="AB23" s="23">
        <v>3230</v>
      </c>
      <c r="AC23" s="23">
        <v>5788</v>
      </c>
      <c r="AD23" s="23">
        <v>4440</v>
      </c>
      <c r="AE23" s="23">
        <v>7110.9672732285244</v>
      </c>
      <c r="AF23" s="23">
        <v>3781.0569322383099</v>
      </c>
      <c r="AG23" s="23">
        <v>5262.5819789999996</v>
      </c>
      <c r="AH23" s="23">
        <v>4254.1577039338536</v>
      </c>
      <c r="AI23" s="23">
        <v>6344.4755843595212</v>
      </c>
      <c r="AJ23" s="23">
        <v>2536.3315665791411</v>
      </c>
      <c r="AK23" s="23">
        <v>4660.0470765635164</v>
      </c>
    </row>
    <row r="24" spans="1:37" x14ac:dyDescent="0.3">
      <c r="A24" s="11" t="s">
        <v>1569</v>
      </c>
      <c r="B24" s="92" t="s">
        <v>1568</v>
      </c>
      <c r="C24" s="23">
        <v>17.38099584319</v>
      </c>
      <c r="D24" s="23">
        <v>17.709298691219999</v>
      </c>
      <c r="E24" s="23">
        <v>19.672321966200002</v>
      </c>
      <c r="F24" s="23">
        <v>20.597556408505</v>
      </c>
      <c r="G24" s="23">
        <v>24.958658926115003</v>
      </c>
      <c r="H24" s="23">
        <v>20.993228409060002</v>
      </c>
      <c r="I24" s="23">
        <v>24.81090457122</v>
      </c>
      <c r="J24" s="23">
        <v>21.116435181045002</v>
      </c>
      <c r="K24" s="23">
        <v>26.319067492520002</v>
      </c>
      <c r="L24" s="23">
        <v>28.51115838442</v>
      </c>
      <c r="M24" s="23">
        <v>37.346691523590003</v>
      </c>
      <c r="N24" s="23">
        <v>22.548613967245</v>
      </c>
      <c r="O24" s="23">
        <v>27.453020218855002</v>
      </c>
      <c r="P24" s="23">
        <v>22.296283479325002</v>
      </c>
      <c r="Q24" s="23">
        <v>41.76069748946</v>
      </c>
      <c r="R24" s="23">
        <v>55.738431745</v>
      </c>
      <c r="S24" s="23">
        <v>77.132030372339997</v>
      </c>
      <c r="T24" s="23">
        <v>57.263408347915004</v>
      </c>
      <c r="U24" s="23">
        <v>64.168142633914997</v>
      </c>
      <c r="V24" s="23">
        <v>68.777203935269995</v>
      </c>
      <c r="W24" s="23">
        <v>84.500107607410001</v>
      </c>
      <c r="X24" s="23">
        <v>68.660410801520001</v>
      </c>
      <c r="Y24" s="23">
        <v>90.365068439024995</v>
      </c>
      <c r="Z24" s="23">
        <v>61</v>
      </c>
      <c r="AA24" s="23">
        <v>95</v>
      </c>
      <c r="AB24" s="23">
        <v>63</v>
      </c>
      <c r="AC24" s="23">
        <v>82</v>
      </c>
      <c r="AD24" s="23">
        <v>91</v>
      </c>
      <c r="AE24" s="23">
        <v>102.80523639256322</v>
      </c>
      <c r="AF24" s="23">
        <v>76.028546379352605</v>
      </c>
      <c r="AG24" s="23">
        <v>84.874518390000006</v>
      </c>
      <c r="AH24" s="23">
        <v>79.69379494986535</v>
      </c>
      <c r="AI24" s="23">
        <v>94.954447700644721</v>
      </c>
      <c r="AJ24" s="23">
        <v>60.491870174767087</v>
      </c>
      <c r="AK24" s="23">
        <v>72.745905751390779</v>
      </c>
    </row>
    <row r="25" spans="1:37" x14ac:dyDescent="0.3">
      <c r="A25" s="11" t="s">
        <v>1567</v>
      </c>
      <c r="B25" s="11" t="s">
        <v>1500</v>
      </c>
      <c r="C25" s="23"/>
      <c r="D25" s="23"/>
      <c r="E25" s="23"/>
      <c r="F25" s="23"/>
      <c r="G25" s="23"/>
      <c r="H25" s="23"/>
      <c r="I25" s="23"/>
      <c r="J25" s="23"/>
      <c r="K25" s="23"/>
      <c r="L25" s="23"/>
      <c r="M25" s="23"/>
      <c r="N25" s="50">
        <v>1938</v>
      </c>
      <c r="O25" s="23"/>
      <c r="P25" s="23"/>
      <c r="Q25" s="23"/>
      <c r="R25" s="23"/>
      <c r="S25" s="23"/>
      <c r="T25" s="23"/>
      <c r="U25" s="23"/>
      <c r="V25" s="23"/>
      <c r="W25" s="23"/>
      <c r="X25" s="23"/>
      <c r="Y25" s="23"/>
      <c r="Z25" s="23">
        <v>1938</v>
      </c>
      <c r="AA25" s="23">
        <v>1160</v>
      </c>
      <c r="AB25" s="23">
        <v>912</v>
      </c>
      <c r="AC25" s="23">
        <v>1687</v>
      </c>
      <c r="AD25" s="23">
        <v>1461</v>
      </c>
      <c r="AE25" s="23">
        <v>1605</v>
      </c>
      <c r="AF25" s="23">
        <v>1503</v>
      </c>
      <c r="AG25" s="23">
        <v>2024.0768840000001</v>
      </c>
      <c r="AH25" s="23">
        <v>728.59993279999992</v>
      </c>
      <c r="AI25" s="23">
        <v>1965.4593010000001</v>
      </c>
      <c r="AJ25" s="23">
        <v>1678.9895694700001</v>
      </c>
      <c r="AK25" s="23">
        <v>513.56953446</v>
      </c>
    </row>
    <row r="26" spans="1:37" x14ac:dyDescent="0.3">
      <c r="A26" s="11" t="s">
        <v>1566</v>
      </c>
      <c r="B26" s="11" t="s">
        <v>1498</v>
      </c>
      <c r="C26" s="23"/>
      <c r="D26" s="23"/>
      <c r="E26" s="23"/>
      <c r="F26" s="23"/>
      <c r="G26" s="23"/>
      <c r="H26" s="23"/>
      <c r="I26" s="23"/>
      <c r="J26" s="23"/>
      <c r="K26" s="23"/>
      <c r="L26" s="23"/>
      <c r="M26" s="23"/>
      <c r="N26" s="50">
        <v>170</v>
      </c>
      <c r="O26" s="23"/>
      <c r="P26" s="23"/>
      <c r="Q26" s="23"/>
      <c r="R26" s="23"/>
      <c r="S26" s="23"/>
      <c r="T26" s="23"/>
      <c r="U26" s="23"/>
      <c r="V26" s="23"/>
      <c r="W26" s="23"/>
      <c r="X26" s="23"/>
      <c r="Y26" s="23"/>
      <c r="Z26" s="23">
        <v>170</v>
      </c>
      <c r="AA26" s="23">
        <v>152</v>
      </c>
      <c r="AB26" s="23">
        <v>131</v>
      </c>
      <c r="AC26" s="23">
        <v>111</v>
      </c>
      <c r="AD26" s="23">
        <v>117</v>
      </c>
      <c r="AE26" s="23">
        <v>129</v>
      </c>
      <c r="AF26" s="23">
        <v>125</v>
      </c>
      <c r="AG26" s="23">
        <v>133.47390279999999</v>
      </c>
      <c r="AH26" s="23">
        <v>134.5512584390587</v>
      </c>
      <c r="AI26" s="23">
        <v>131.4571014</v>
      </c>
      <c r="AJ26" s="23">
        <v>121.35600626489379</v>
      </c>
      <c r="AK26" s="23">
        <v>131.1118786078288</v>
      </c>
    </row>
    <row r="27" spans="1:37" x14ac:dyDescent="0.3">
      <c r="A27" s="11" t="s">
        <v>1565</v>
      </c>
      <c r="B27" s="11" t="s">
        <v>1496</v>
      </c>
      <c r="C27" s="23"/>
      <c r="D27" s="23"/>
      <c r="E27" s="23"/>
      <c r="F27" s="23"/>
      <c r="G27" s="23"/>
      <c r="H27" s="23"/>
      <c r="I27" s="23"/>
      <c r="J27" s="23"/>
      <c r="K27" s="23"/>
      <c r="L27" s="23"/>
      <c r="M27" s="23"/>
      <c r="N27" s="50">
        <v>0</v>
      </c>
      <c r="O27" s="23"/>
      <c r="P27" s="23"/>
      <c r="Q27" s="23"/>
      <c r="R27" s="23"/>
      <c r="S27" s="23"/>
      <c r="T27" s="23"/>
      <c r="U27" s="23"/>
      <c r="V27" s="23"/>
      <c r="W27" s="23"/>
      <c r="X27" s="23"/>
      <c r="Y27" s="23"/>
      <c r="Z27" s="23">
        <v>0</v>
      </c>
      <c r="AA27" s="23">
        <v>0</v>
      </c>
      <c r="AB27" s="23">
        <v>0</v>
      </c>
      <c r="AC27" s="23">
        <v>0</v>
      </c>
      <c r="AD27" s="23">
        <v>0</v>
      </c>
      <c r="AE27" s="23">
        <v>0</v>
      </c>
      <c r="AF27" s="23">
        <v>0</v>
      </c>
      <c r="AG27" s="23">
        <v>0</v>
      </c>
      <c r="AH27" s="23">
        <v>0</v>
      </c>
      <c r="AI27" s="23">
        <v>0</v>
      </c>
      <c r="AJ27" s="23">
        <v>0</v>
      </c>
      <c r="AK27" s="23">
        <v>0</v>
      </c>
    </row>
    <row r="28" spans="1:37" x14ac:dyDescent="0.3">
      <c r="A28" s="11" t="s">
        <v>1564</v>
      </c>
      <c r="B28" s="11" t="s">
        <v>15</v>
      </c>
      <c r="C28" s="23"/>
      <c r="D28" s="23"/>
      <c r="E28" s="23"/>
      <c r="F28" s="23"/>
      <c r="G28" s="23"/>
      <c r="H28" s="23"/>
      <c r="I28" s="23"/>
      <c r="J28" s="23"/>
      <c r="K28" s="23"/>
      <c r="L28" s="23"/>
      <c r="M28" s="23"/>
      <c r="N28" s="50">
        <v>169.6</v>
      </c>
      <c r="O28" s="23"/>
      <c r="P28" s="23"/>
      <c r="Q28" s="23"/>
      <c r="R28" s="23"/>
      <c r="S28" s="23"/>
      <c r="T28" s="23"/>
      <c r="U28" s="23"/>
      <c r="V28" s="23"/>
      <c r="W28" s="23"/>
      <c r="X28" s="23"/>
      <c r="Y28" s="23"/>
      <c r="Z28" s="23">
        <v>169.6</v>
      </c>
      <c r="AA28" s="23">
        <v>151.80000000000001</v>
      </c>
      <c r="AB28" s="23">
        <v>131.19999999999999</v>
      </c>
      <c r="AC28" s="23">
        <v>111</v>
      </c>
      <c r="AD28" s="23">
        <v>117</v>
      </c>
      <c r="AE28" s="23">
        <v>129</v>
      </c>
      <c r="AF28" s="23">
        <v>125</v>
      </c>
      <c r="AG28" s="23">
        <v>133.47390279999999</v>
      </c>
      <c r="AH28" s="23">
        <v>134.5512584390587</v>
      </c>
      <c r="AI28" s="23">
        <v>131.4571014</v>
      </c>
      <c r="AJ28" s="23">
        <v>121.35600626489379</v>
      </c>
      <c r="AK28" s="23">
        <v>131.1118786078288</v>
      </c>
    </row>
    <row r="29" spans="1:37" x14ac:dyDescent="0.3">
      <c r="A29" s="11" t="s">
        <v>1563</v>
      </c>
      <c r="B29" s="11" t="s">
        <v>104</v>
      </c>
      <c r="C29" s="23"/>
      <c r="D29" s="23"/>
      <c r="E29" s="23"/>
      <c r="F29" s="23"/>
      <c r="G29" s="23"/>
      <c r="H29" s="23"/>
      <c r="I29" s="23"/>
      <c r="J29" s="23"/>
      <c r="K29" s="23"/>
      <c r="L29" s="23"/>
      <c r="M29" s="23"/>
      <c r="N29" s="50">
        <v>3780</v>
      </c>
      <c r="O29" s="23"/>
      <c r="P29" s="23"/>
      <c r="Q29" s="23"/>
      <c r="R29" s="23"/>
      <c r="S29" s="23"/>
      <c r="T29" s="23"/>
      <c r="U29" s="23"/>
      <c r="V29" s="23"/>
      <c r="W29" s="23"/>
      <c r="X29" s="23"/>
      <c r="Y29" s="23"/>
      <c r="Z29" s="23">
        <v>3780</v>
      </c>
      <c r="AA29" s="23">
        <v>3890</v>
      </c>
      <c r="AB29" s="23">
        <v>3958</v>
      </c>
      <c r="AC29" s="23">
        <v>4005</v>
      </c>
      <c r="AD29" s="23">
        <v>4017</v>
      </c>
      <c r="AE29" s="23">
        <v>4043</v>
      </c>
      <c r="AF29" s="23">
        <v>4149</v>
      </c>
      <c r="AG29" s="23">
        <v>4244.0162799999998</v>
      </c>
      <c r="AH29" s="23">
        <v>4249.3810220596988</v>
      </c>
      <c r="AI29" s="23">
        <v>4338.6859260000001</v>
      </c>
      <c r="AJ29" s="23">
        <v>4363.2292081110636</v>
      </c>
      <c r="AK29" s="23">
        <v>4488.4236958863421</v>
      </c>
    </row>
    <row r="30" spans="1:37" x14ac:dyDescent="0.3">
      <c r="A30" s="11" t="s">
        <v>1562</v>
      </c>
      <c r="B30" s="11" t="s">
        <v>1492</v>
      </c>
      <c r="C30" s="23"/>
      <c r="D30" s="23"/>
      <c r="E30" s="23"/>
      <c r="F30" s="23"/>
      <c r="G30" s="23"/>
      <c r="H30" s="23"/>
      <c r="I30" s="23"/>
      <c r="J30" s="23"/>
      <c r="K30" s="23"/>
      <c r="L30" s="23"/>
      <c r="M30" s="23"/>
      <c r="N30" s="50">
        <v>531</v>
      </c>
      <c r="O30" s="23"/>
      <c r="P30" s="23"/>
      <c r="Q30" s="23"/>
      <c r="R30" s="23"/>
      <c r="S30" s="23"/>
      <c r="T30" s="23"/>
      <c r="U30" s="23"/>
      <c r="V30" s="23"/>
      <c r="W30" s="23"/>
      <c r="X30" s="23"/>
      <c r="Y30" s="23"/>
      <c r="Z30" s="23">
        <v>531</v>
      </c>
      <c r="AA30" s="23">
        <v>541</v>
      </c>
      <c r="AB30" s="23">
        <v>549</v>
      </c>
      <c r="AC30" s="23">
        <v>468</v>
      </c>
      <c r="AD30" s="23">
        <v>506</v>
      </c>
      <c r="AE30" s="23">
        <v>466</v>
      </c>
      <c r="AF30" s="23">
        <v>161</v>
      </c>
      <c r="AG30" s="23">
        <v>476.13123639999998</v>
      </c>
      <c r="AH30" s="23">
        <v>169.9805103739219</v>
      </c>
      <c r="AI30" s="23">
        <v>526.02884519999998</v>
      </c>
      <c r="AJ30" s="23">
        <v>516.85277548253964</v>
      </c>
      <c r="AK30" s="23">
        <v>505.81738646950657</v>
      </c>
    </row>
    <row r="31" spans="1:37" x14ac:dyDescent="0.3">
      <c r="A31" s="11" t="s">
        <v>1561</v>
      </c>
      <c r="B31" s="11" t="s">
        <v>1460</v>
      </c>
      <c r="C31" s="23"/>
      <c r="D31" s="23"/>
      <c r="E31" s="23"/>
      <c r="F31" s="23"/>
      <c r="G31" s="23"/>
      <c r="H31" s="23"/>
      <c r="I31" s="23"/>
      <c r="J31" s="23"/>
      <c r="K31" s="23"/>
      <c r="L31" s="23"/>
      <c r="M31" s="23"/>
      <c r="N31" s="50">
        <v>484</v>
      </c>
      <c r="O31" s="23"/>
      <c r="P31" s="23"/>
      <c r="Q31" s="23"/>
      <c r="R31" s="23"/>
      <c r="S31" s="23"/>
      <c r="T31" s="23"/>
      <c r="U31" s="23"/>
      <c r="V31" s="23"/>
      <c r="W31" s="23"/>
      <c r="X31" s="23"/>
      <c r="Y31" s="23"/>
      <c r="Z31" s="23">
        <v>484</v>
      </c>
      <c r="AA31" s="23">
        <v>488</v>
      </c>
      <c r="AB31" s="23">
        <v>493</v>
      </c>
      <c r="AC31" s="23">
        <v>433</v>
      </c>
      <c r="AD31" s="23">
        <v>462</v>
      </c>
      <c r="AE31" s="23">
        <v>412</v>
      </c>
      <c r="AF31" s="23">
        <v>121</v>
      </c>
      <c r="AG31" s="23">
        <v>437.64040849999998</v>
      </c>
      <c r="AH31" s="23">
        <v>123.205447255</v>
      </c>
      <c r="AI31" s="23">
        <v>496.22544319999997</v>
      </c>
      <c r="AJ31" s="23">
        <v>453.68529375999998</v>
      </c>
      <c r="AK31" s="23">
        <v>456.49059541000003</v>
      </c>
    </row>
    <row r="32" spans="1:37" x14ac:dyDescent="0.3">
      <c r="A32" s="11" t="s">
        <v>1560</v>
      </c>
      <c r="B32" s="11" t="s">
        <v>1458</v>
      </c>
      <c r="C32" s="23"/>
      <c r="D32" s="23"/>
      <c r="E32" s="23"/>
      <c r="F32" s="23"/>
      <c r="G32" s="23"/>
      <c r="H32" s="23"/>
      <c r="I32" s="23"/>
      <c r="J32" s="23"/>
      <c r="K32" s="23"/>
      <c r="L32" s="23"/>
      <c r="M32" s="23"/>
      <c r="N32" s="50">
        <v>0</v>
      </c>
      <c r="O32" s="23"/>
      <c r="P32" s="23"/>
      <c r="Q32" s="23"/>
      <c r="R32" s="23"/>
      <c r="S32" s="23"/>
      <c r="T32" s="23"/>
      <c r="U32" s="23"/>
      <c r="V32" s="23"/>
      <c r="W32" s="23"/>
      <c r="X32" s="23"/>
      <c r="Y32" s="23"/>
      <c r="Z32" s="23">
        <v>0</v>
      </c>
      <c r="AA32" s="23">
        <v>0</v>
      </c>
      <c r="AB32" s="23">
        <v>0</v>
      </c>
      <c r="AC32" s="23">
        <v>0</v>
      </c>
      <c r="AD32" s="23">
        <v>0</v>
      </c>
      <c r="AE32" s="23">
        <v>0</v>
      </c>
      <c r="AF32" s="23">
        <v>0</v>
      </c>
      <c r="AG32" s="23">
        <v>0</v>
      </c>
      <c r="AH32" s="23">
        <v>0</v>
      </c>
      <c r="AI32" s="23">
        <v>0</v>
      </c>
      <c r="AJ32" s="23">
        <v>0</v>
      </c>
      <c r="AK32" s="23">
        <v>0</v>
      </c>
    </row>
    <row r="33" spans="1:37" x14ac:dyDescent="0.3">
      <c r="A33" s="11" t="s">
        <v>1559</v>
      </c>
      <c r="B33" s="11" t="s">
        <v>1456</v>
      </c>
      <c r="C33" s="23"/>
      <c r="D33" s="23"/>
      <c r="E33" s="23"/>
      <c r="F33" s="23"/>
      <c r="G33" s="23"/>
      <c r="H33" s="23"/>
      <c r="I33" s="23"/>
      <c r="J33" s="23"/>
      <c r="K33" s="23"/>
      <c r="L33" s="23"/>
      <c r="M33" s="23"/>
      <c r="N33" s="50">
        <v>47</v>
      </c>
      <c r="O33" s="23"/>
      <c r="P33" s="23"/>
      <c r="Q33" s="23"/>
      <c r="R33" s="23"/>
      <c r="S33" s="23"/>
      <c r="T33" s="23"/>
      <c r="U33" s="23"/>
      <c r="V33" s="23"/>
      <c r="W33" s="23"/>
      <c r="X33" s="23"/>
      <c r="Y33" s="23"/>
      <c r="Z33" s="23">
        <v>47</v>
      </c>
      <c r="AA33" s="23">
        <v>52</v>
      </c>
      <c r="AB33" s="23">
        <v>57</v>
      </c>
      <c r="AC33" s="23">
        <v>35</v>
      </c>
      <c r="AD33" s="23">
        <v>44</v>
      </c>
      <c r="AE33" s="23">
        <v>54</v>
      </c>
      <c r="AF33" s="23">
        <v>40</v>
      </c>
      <c r="AG33" s="23">
        <v>38.490827940000003</v>
      </c>
      <c r="AH33" s="23">
        <v>46.775063118921892</v>
      </c>
      <c r="AI33" s="23">
        <v>29.803402009999999</v>
      </c>
      <c r="AJ33" s="23">
        <v>63.167481722539627</v>
      </c>
      <c r="AK33" s="23">
        <v>49.326791059506597</v>
      </c>
    </row>
    <row r="34" spans="1:37" x14ac:dyDescent="0.3">
      <c r="A34" s="11" t="s">
        <v>1558</v>
      </c>
      <c r="B34" s="11" t="s">
        <v>8</v>
      </c>
      <c r="C34" s="23"/>
      <c r="D34" s="23"/>
      <c r="E34" s="23"/>
      <c r="F34" s="23"/>
      <c r="G34" s="23"/>
      <c r="H34" s="23"/>
      <c r="I34" s="23"/>
      <c r="J34" s="23"/>
      <c r="K34" s="23"/>
      <c r="L34" s="23"/>
      <c r="M34" s="23"/>
      <c r="N34" s="50">
        <v>1071</v>
      </c>
      <c r="O34" s="23"/>
      <c r="P34" s="23"/>
      <c r="Q34" s="23"/>
      <c r="R34" s="23"/>
      <c r="S34" s="23"/>
      <c r="T34" s="23"/>
      <c r="U34" s="23"/>
      <c r="V34" s="23"/>
      <c r="W34" s="23"/>
      <c r="X34" s="23"/>
      <c r="Y34" s="23"/>
      <c r="Z34" s="23">
        <v>1071</v>
      </c>
      <c r="AA34" s="23">
        <v>1676</v>
      </c>
      <c r="AB34" s="23">
        <v>1257</v>
      </c>
      <c r="AC34" s="23">
        <v>1816</v>
      </c>
      <c r="AD34" s="23">
        <v>1647</v>
      </c>
      <c r="AE34" s="23">
        <v>1303</v>
      </c>
      <c r="AF34" s="23">
        <v>614</v>
      </c>
      <c r="AG34" s="23">
        <v>805.91590680000002</v>
      </c>
      <c r="AH34" s="23">
        <v>796.69900425832998</v>
      </c>
      <c r="AI34" s="23">
        <v>1113.1460549999999</v>
      </c>
      <c r="AJ34" s="23">
        <v>1175.7028334090051</v>
      </c>
      <c r="AK34" s="23">
        <v>937.44003168833501</v>
      </c>
    </row>
    <row r="35" spans="1:37" x14ac:dyDescent="0.3">
      <c r="A35" s="11" t="s">
        <v>1557</v>
      </c>
      <c r="B35" s="11" t="s">
        <v>1486</v>
      </c>
      <c r="C35" s="23"/>
      <c r="D35" s="23"/>
      <c r="E35" s="23"/>
      <c r="F35" s="23"/>
      <c r="G35" s="23"/>
      <c r="H35" s="23"/>
      <c r="I35" s="23"/>
      <c r="J35" s="23"/>
      <c r="K35" s="23"/>
      <c r="L35" s="23"/>
      <c r="M35" s="23"/>
      <c r="N35" s="50">
        <v>17</v>
      </c>
      <c r="O35" s="23"/>
      <c r="P35" s="23"/>
      <c r="Q35" s="23"/>
      <c r="R35" s="23"/>
      <c r="S35" s="23"/>
      <c r="T35" s="23"/>
      <c r="U35" s="23"/>
      <c r="V35" s="23"/>
      <c r="W35" s="23"/>
      <c r="X35" s="23"/>
      <c r="Y35" s="23"/>
      <c r="Z35" s="23">
        <v>17</v>
      </c>
      <c r="AA35" s="23">
        <v>17</v>
      </c>
      <c r="AB35" s="23">
        <v>26</v>
      </c>
      <c r="AC35" s="23">
        <v>8</v>
      </c>
      <c r="AD35" s="23">
        <v>1</v>
      </c>
      <c r="AE35" s="23">
        <v>3</v>
      </c>
      <c r="AF35" s="23">
        <v>6</v>
      </c>
      <c r="AG35" s="23">
        <v>3.881105362</v>
      </c>
      <c r="AH35" s="23">
        <v>1.0432716160641939</v>
      </c>
      <c r="AI35" s="23">
        <v>0.80468244899999997</v>
      </c>
      <c r="AJ35" s="23">
        <v>1.8326457151098701</v>
      </c>
      <c r="AK35" s="23">
        <v>2.0398217463283919</v>
      </c>
    </row>
    <row r="36" spans="1:37" x14ac:dyDescent="0.3">
      <c r="A36" s="11" t="s">
        <v>1556</v>
      </c>
      <c r="B36" s="11" t="s">
        <v>1484</v>
      </c>
      <c r="C36" s="23"/>
      <c r="D36" s="23"/>
      <c r="E36" s="23"/>
      <c r="F36" s="23"/>
      <c r="G36" s="23"/>
      <c r="H36" s="23"/>
      <c r="I36" s="23"/>
      <c r="J36" s="23"/>
      <c r="K36" s="23"/>
      <c r="L36" s="23"/>
      <c r="M36" s="23"/>
      <c r="N36" s="50">
        <v>0.38642927900000001</v>
      </c>
      <c r="O36" s="23"/>
      <c r="P36" s="23"/>
      <c r="Q36" s="23"/>
      <c r="R36" s="23"/>
      <c r="S36" s="23"/>
      <c r="T36" s="23"/>
      <c r="U36" s="23"/>
      <c r="V36" s="23"/>
      <c r="W36" s="23"/>
      <c r="X36" s="23"/>
      <c r="Y36" s="23"/>
      <c r="Z36" s="23">
        <v>0.38642927900000001</v>
      </c>
      <c r="AA36" s="23">
        <v>0</v>
      </c>
      <c r="AB36" s="23">
        <v>0.77832000000000001</v>
      </c>
      <c r="AC36" s="23">
        <v>0</v>
      </c>
      <c r="AD36" s="23">
        <v>0</v>
      </c>
      <c r="AE36" s="23">
        <v>0</v>
      </c>
      <c r="AF36" s="23">
        <v>0</v>
      </c>
      <c r="AG36" s="23">
        <v>0</v>
      </c>
      <c r="AH36" s="23">
        <v>0</v>
      </c>
      <c r="AI36" s="23">
        <v>0.34355333399999999</v>
      </c>
      <c r="AJ36" s="23">
        <v>0</v>
      </c>
      <c r="AK36" s="23">
        <v>0</v>
      </c>
    </row>
    <row r="37" spans="1:37" x14ac:dyDescent="0.3">
      <c r="A37" s="11" t="s">
        <v>1555</v>
      </c>
      <c r="B37" s="11" t="s">
        <v>1482</v>
      </c>
      <c r="C37" s="23"/>
      <c r="D37" s="23"/>
      <c r="E37" s="23"/>
      <c r="F37" s="23"/>
      <c r="G37" s="23"/>
      <c r="H37" s="23"/>
      <c r="I37" s="23"/>
      <c r="J37" s="23"/>
      <c r="K37" s="23"/>
      <c r="L37" s="23"/>
      <c r="M37" s="23"/>
      <c r="N37" s="50">
        <v>32</v>
      </c>
      <c r="O37" s="23"/>
      <c r="P37" s="23"/>
      <c r="Q37" s="23"/>
      <c r="R37" s="23"/>
      <c r="S37" s="23"/>
      <c r="T37" s="23"/>
      <c r="U37" s="23"/>
      <c r="V37" s="23"/>
      <c r="W37" s="23"/>
      <c r="X37" s="23"/>
      <c r="Y37" s="23"/>
      <c r="Z37" s="23">
        <v>32</v>
      </c>
      <c r="AA37" s="23">
        <v>31</v>
      </c>
      <c r="AB37" s="23">
        <v>31</v>
      </c>
      <c r="AC37" s="23">
        <v>5</v>
      </c>
      <c r="AD37" s="23">
        <v>25</v>
      </c>
      <c r="AE37" s="23">
        <v>22</v>
      </c>
      <c r="AF37" s="23">
        <v>2</v>
      </c>
      <c r="AG37" s="23">
        <v>28.60943885</v>
      </c>
      <c r="AH37" s="23">
        <v>0.62663466616954011</v>
      </c>
      <c r="AI37" s="23">
        <v>4.0511428819999997</v>
      </c>
      <c r="AJ37" s="23">
        <v>0</v>
      </c>
      <c r="AK37" s="23">
        <v>1.5731507081159991E-2</v>
      </c>
    </row>
    <row r="38" spans="1:37" x14ac:dyDescent="0.3">
      <c r="A38" s="11" t="s">
        <v>1554</v>
      </c>
      <c r="B38" s="11" t="s">
        <v>1481</v>
      </c>
      <c r="C38" s="23"/>
      <c r="D38" s="23"/>
      <c r="E38" s="23"/>
      <c r="F38" s="23"/>
      <c r="G38" s="23"/>
      <c r="H38" s="23"/>
      <c r="I38" s="23"/>
      <c r="J38" s="23"/>
      <c r="K38" s="23"/>
      <c r="L38" s="23"/>
      <c r="M38" s="23"/>
      <c r="N38" s="50">
        <v>10469</v>
      </c>
      <c r="O38" s="23"/>
      <c r="P38" s="23"/>
      <c r="Q38" s="23"/>
      <c r="R38" s="23"/>
      <c r="S38" s="23"/>
      <c r="T38" s="23"/>
      <c r="U38" s="23"/>
      <c r="V38" s="23"/>
      <c r="W38" s="23"/>
      <c r="X38" s="23"/>
      <c r="Y38" s="23"/>
      <c r="Z38" s="23">
        <v>10469</v>
      </c>
      <c r="AA38" s="23">
        <v>13274</v>
      </c>
      <c r="AB38" s="23">
        <v>13116</v>
      </c>
      <c r="AC38" s="23">
        <v>12494</v>
      </c>
      <c r="AD38" s="23">
        <v>13619</v>
      </c>
      <c r="AE38" s="23">
        <v>13412</v>
      </c>
      <c r="AF38" s="23">
        <v>16046.2819</v>
      </c>
      <c r="AG38" s="23">
        <v>13836.787490000001</v>
      </c>
      <c r="AH38" s="23">
        <v>14253.97890675013</v>
      </c>
      <c r="AI38" s="23">
        <v>14451.340910000001</v>
      </c>
      <c r="AJ38" s="23">
        <v>14729.719652715979</v>
      </c>
      <c r="AK38" s="23">
        <v>14339.8018165459</v>
      </c>
    </row>
    <row r="39" spans="1:37" x14ac:dyDescent="0.3">
      <c r="A39" s="11" t="s">
        <v>1553</v>
      </c>
      <c r="B39" s="11" t="s">
        <v>1479</v>
      </c>
      <c r="C39" s="23"/>
      <c r="D39" s="23"/>
      <c r="E39" s="23"/>
      <c r="F39" s="23"/>
      <c r="G39" s="23"/>
      <c r="H39" s="23"/>
      <c r="I39" s="23"/>
      <c r="J39" s="23"/>
      <c r="K39" s="23"/>
      <c r="L39" s="23"/>
      <c r="M39" s="23"/>
      <c r="N39" s="50">
        <v>6017</v>
      </c>
      <c r="O39" s="23"/>
      <c r="P39" s="23"/>
      <c r="Q39" s="23"/>
      <c r="R39" s="23"/>
      <c r="S39" s="23"/>
      <c r="T39" s="23"/>
      <c r="U39" s="23"/>
      <c r="V39" s="23"/>
      <c r="W39" s="23"/>
      <c r="X39" s="23"/>
      <c r="Y39" s="23"/>
      <c r="Z39" s="23">
        <v>6017</v>
      </c>
      <c r="AA39" s="23">
        <v>6279</v>
      </c>
      <c r="AB39" s="23">
        <v>6854</v>
      </c>
      <c r="AC39" s="23">
        <v>6075</v>
      </c>
      <c r="AD39" s="23">
        <v>6566</v>
      </c>
      <c r="AE39" s="23">
        <v>6676</v>
      </c>
      <c r="AF39" s="23">
        <v>8372.9634999999998</v>
      </c>
      <c r="AG39" s="23">
        <v>6271.8417360000003</v>
      </c>
      <c r="AH39" s="23">
        <v>6804.5523353666431</v>
      </c>
      <c r="AI39" s="23">
        <v>7000.4849729999996</v>
      </c>
      <c r="AJ39" s="23">
        <v>7989.4670067858106</v>
      </c>
      <c r="AK39" s="23">
        <v>6212.3545870551543</v>
      </c>
    </row>
    <row r="40" spans="1:37" x14ac:dyDescent="0.3">
      <c r="A40" s="11" t="s">
        <v>1552</v>
      </c>
      <c r="B40" s="11" t="s">
        <v>57</v>
      </c>
      <c r="C40" s="23"/>
      <c r="D40" s="23"/>
      <c r="E40" s="23"/>
      <c r="F40" s="23"/>
      <c r="G40" s="23"/>
      <c r="H40" s="23"/>
      <c r="I40" s="23"/>
      <c r="J40" s="23"/>
      <c r="K40" s="23"/>
      <c r="L40" s="23"/>
      <c r="M40" s="23"/>
      <c r="N40" s="50">
        <v>5634</v>
      </c>
      <c r="O40" s="23"/>
      <c r="P40" s="23"/>
      <c r="Q40" s="23"/>
      <c r="R40" s="23"/>
      <c r="S40" s="23"/>
      <c r="T40" s="23"/>
      <c r="U40" s="23"/>
      <c r="V40" s="23"/>
      <c r="W40" s="23"/>
      <c r="X40" s="23"/>
      <c r="Y40" s="23"/>
      <c r="Z40" s="23">
        <v>5634</v>
      </c>
      <c r="AA40" s="23">
        <v>5952</v>
      </c>
      <c r="AB40" s="23">
        <v>6514</v>
      </c>
      <c r="AC40" s="23">
        <v>5742</v>
      </c>
      <c r="AD40" s="23">
        <v>6158</v>
      </c>
      <c r="AE40" s="23">
        <v>6267</v>
      </c>
      <c r="AF40" s="23">
        <v>7959.6405999999997</v>
      </c>
      <c r="AG40" s="23">
        <v>5858.2538889999996</v>
      </c>
      <c r="AH40" s="23">
        <v>6371.1104864402878</v>
      </c>
      <c r="AI40" s="23">
        <v>6573.9352239999998</v>
      </c>
      <c r="AJ40" s="23">
        <v>7565.7940810818063</v>
      </c>
      <c r="AK40" s="23">
        <v>5772.8975746997821</v>
      </c>
    </row>
    <row r="41" spans="1:37" x14ac:dyDescent="0.3">
      <c r="A41" s="11" t="s">
        <v>1551</v>
      </c>
      <c r="B41" s="11" t="s">
        <v>58</v>
      </c>
      <c r="C41" s="23"/>
      <c r="D41" s="23"/>
      <c r="E41" s="23"/>
      <c r="F41" s="23"/>
      <c r="G41" s="23"/>
      <c r="H41" s="23"/>
      <c r="I41" s="23"/>
      <c r="J41" s="23"/>
      <c r="K41" s="23"/>
      <c r="L41" s="23"/>
      <c r="M41" s="23"/>
      <c r="N41" s="50">
        <v>284</v>
      </c>
      <c r="O41" s="23"/>
      <c r="P41" s="23"/>
      <c r="Q41" s="23"/>
      <c r="R41" s="23"/>
      <c r="S41" s="23"/>
      <c r="T41" s="23"/>
      <c r="U41" s="23"/>
      <c r="V41" s="23"/>
      <c r="W41" s="23"/>
      <c r="X41" s="23"/>
      <c r="Y41" s="23"/>
      <c r="Z41" s="23">
        <v>284</v>
      </c>
      <c r="AA41" s="23">
        <v>226</v>
      </c>
      <c r="AB41" s="23">
        <v>240</v>
      </c>
      <c r="AC41" s="23">
        <v>230</v>
      </c>
      <c r="AD41" s="23">
        <v>264</v>
      </c>
      <c r="AE41" s="23">
        <v>262</v>
      </c>
      <c r="AF41" s="23">
        <v>267.82040000000001</v>
      </c>
      <c r="AG41" s="23">
        <v>264.18801150000002</v>
      </c>
      <c r="AH41" s="23">
        <v>280.78299461183758</v>
      </c>
      <c r="AI41" s="23">
        <v>276.95444309999999</v>
      </c>
      <c r="AJ41" s="23">
        <v>271.60988412838839</v>
      </c>
      <c r="AK41" s="23">
        <v>287.30859363390368</v>
      </c>
    </row>
    <row r="42" spans="1:37" x14ac:dyDescent="0.3">
      <c r="A42" s="11" t="s">
        <v>1550</v>
      </c>
      <c r="B42" s="11" t="s">
        <v>1470</v>
      </c>
      <c r="C42" s="23"/>
      <c r="D42" s="23"/>
      <c r="E42" s="23"/>
      <c r="F42" s="23"/>
      <c r="G42" s="23"/>
      <c r="H42" s="23"/>
      <c r="I42" s="23"/>
      <c r="J42" s="23"/>
      <c r="K42" s="23"/>
      <c r="L42" s="23"/>
      <c r="M42" s="23"/>
      <c r="N42" s="50">
        <v>100</v>
      </c>
      <c r="O42" s="23"/>
      <c r="P42" s="23"/>
      <c r="Q42" s="23"/>
      <c r="R42" s="23"/>
      <c r="S42" s="23"/>
      <c r="T42" s="23"/>
      <c r="U42" s="23"/>
      <c r="V42" s="23"/>
      <c r="W42" s="23"/>
      <c r="X42" s="23"/>
      <c r="Y42" s="23"/>
      <c r="Z42" s="23">
        <v>100</v>
      </c>
      <c r="AA42" s="23">
        <v>101</v>
      </c>
      <c r="AB42" s="23">
        <v>100</v>
      </c>
      <c r="AC42" s="23">
        <v>102</v>
      </c>
      <c r="AD42" s="23">
        <v>144</v>
      </c>
      <c r="AE42" s="23">
        <v>148</v>
      </c>
      <c r="AF42" s="23">
        <v>145.5025</v>
      </c>
      <c r="AG42" s="23">
        <v>149.39983549999999</v>
      </c>
      <c r="AH42" s="23">
        <v>152.65885431451599</v>
      </c>
      <c r="AI42" s="23">
        <v>149.5953054</v>
      </c>
      <c r="AJ42" s="23">
        <v>152.06304157561661</v>
      </c>
      <c r="AK42" s="23">
        <v>152.14841872146809</v>
      </c>
    </row>
    <row r="43" spans="1:37" x14ac:dyDescent="0.3">
      <c r="A43" s="11" t="s">
        <v>1549</v>
      </c>
      <c r="B43" s="11" t="s">
        <v>1474</v>
      </c>
      <c r="C43" s="23"/>
      <c r="D43" s="23"/>
      <c r="E43" s="23"/>
      <c r="F43" s="23"/>
      <c r="G43" s="23"/>
      <c r="H43" s="23"/>
      <c r="I43" s="23"/>
      <c r="J43" s="23"/>
      <c r="K43" s="23"/>
      <c r="L43" s="23"/>
      <c r="M43" s="23"/>
      <c r="N43" s="50">
        <v>0</v>
      </c>
      <c r="O43" s="23"/>
      <c r="P43" s="23"/>
      <c r="Q43" s="23"/>
      <c r="R43" s="23"/>
      <c r="S43" s="23"/>
      <c r="T43" s="23"/>
      <c r="U43" s="23"/>
      <c r="V43" s="23"/>
      <c r="W43" s="23"/>
      <c r="X43" s="23"/>
      <c r="Y43" s="23"/>
      <c r="Z43" s="23">
        <v>0</v>
      </c>
      <c r="AA43" s="23">
        <v>0</v>
      </c>
      <c r="AB43" s="23">
        <v>0</v>
      </c>
      <c r="AC43" s="23">
        <v>0</v>
      </c>
      <c r="AD43" s="23">
        <v>0</v>
      </c>
      <c r="AE43" s="23">
        <v>0</v>
      </c>
      <c r="AF43" s="23">
        <v>0</v>
      </c>
      <c r="AG43" s="23">
        <v>0</v>
      </c>
      <c r="AH43" s="23">
        <v>0</v>
      </c>
      <c r="AI43" s="23">
        <v>0</v>
      </c>
      <c r="AJ43" s="23">
        <v>0</v>
      </c>
      <c r="AK43" s="23">
        <v>0</v>
      </c>
    </row>
    <row r="44" spans="1:37" x14ac:dyDescent="0.3">
      <c r="A44" s="11" t="s">
        <v>1548</v>
      </c>
      <c r="B44" s="11" t="s">
        <v>57</v>
      </c>
      <c r="C44" s="23"/>
      <c r="D44" s="23"/>
      <c r="E44" s="23"/>
      <c r="F44" s="23"/>
      <c r="G44" s="23"/>
      <c r="H44" s="23"/>
      <c r="I44" s="23"/>
      <c r="J44" s="23"/>
      <c r="K44" s="23"/>
      <c r="L44" s="23"/>
      <c r="M44" s="23"/>
      <c r="N44" s="50">
        <v>0</v>
      </c>
      <c r="O44" s="23"/>
      <c r="P44" s="23"/>
      <c r="Q44" s="23"/>
      <c r="R44" s="23"/>
      <c r="S44" s="23"/>
      <c r="T44" s="23"/>
      <c r="U44" s="23"/>
      <c r="V44" s="23"/>
      <c r="W44" s="23"/>
      <c r="X44" s="23"/>
      <c r="Y44" s="23"/>
      <c r="Z44" s="23">
        <v>0</v>
      </c>
      <c r="AA44" s="23">
        <v>0</v>
      </c>
      <c r="AB44" s="23">
        <v>0</v>
      </c>
      <c r="AC44" s="23">
        <v>0</v>
      </c>
      <c r="AD44" s="23">
        <v>0</v>
      </c>
      <c r="AE44" s="23">
        <v>0</v>
      </c>
      <c r="AF44" s="23">
        <v>0</v>
      </c>
      <c r="AG44" s="23">
        <v>0</v>
      </c>
      <c r="AH44" s="23">
        <v>0</v>
      </c>
      <c r="AI44" s="23">
        <v>0</v>
      </c>
      <c r="AJ44" s="23">
        <v>0</v>
      </c>
      <c r="AK44" s="23">
        <v>0</v>
      </c>
    </row>
    <row r="45" spans="1:37" x14ac:dyDescent="0.3">
      <c r="A45" s="11" t="s">
        <v>1547</v>
      </c>
      <c r="B45" s="11" t="s">
        <v>58</v>
      </c>
      <c r="C45" s="23"/>
      <c r="D45" s="23"/>
      <c r="E45" s="23"/>
      <c r="F45" s="23"/>
      <c r="G45" s="23"/>
      <c r="H45" s="23"/>
      <c r="I45" s="23"/>
      <c r="J45" s="23"/>
      <c r="K45" s="23"/>
      <c r="L45" s="23"/>
      <c r="M45" s="23"/>
      <c r="N45" s="50">
        <v>0</v>
      </c>
      <c r="O45" s="23"/>
      <c r="P45" s="23"/>
      <c r="Q45" s="23"/>
      <c r="R45" s="23"/>
      <c r="S45" s="23"/>
      <c r="T45" s="23"/>
      <c r="U45" s="23"/>
      <c r="V45" s="23"/>
      <c r="W45" s="23"/>
      <c r="X45" s="23"/>
      <c r="Y45" s="23"/>
      <c r="Z45" s="23">
        <v>0</v>
      </c>
      <c r="AA45" s="23">
        <v>0</v>
      </c>
      <c r="AB45" s="23">
        <v>0</v>
      </c>
      <c r="AC45" s="23">
        <v>0</v>
      </c>
      <c r="AD45" s="23">
        <v>0</v>
      </c>
      <c r="AE45" s="23">
        <v>0</v>
      </c>
      <c r="AF45" s="23">
        <v>0</v>
      </c>
      <c r="AG45" s="23">
        <v>0</v>
      </c>
      <c r="AH45" s="23">
        <v>0</v>
      </c>
      <c r="AI45" s="23">
        <v>0</v>
      </c>
      <c r="AJ45" s="23">
        <v>0</v>
      </c>
      <c r="AK45" s="23">
        <v>0</v>
      </c>
    </row>
    <row r="46" spans="1:37" x14ac:dyDescent="0.3">
      <c r="A46" s="11" t="s">
        <v>1546</v>
      </c>
      <c r="B46" s="11" t="s">
        <v>1470</v>
      </c>
      <c r="C46" s="23"/>
      <c r="D46" s="23"/>
      <c r="E46" s="23"/>
      <c r="F46" s="23"/>
      <c r="G46" s="23"/>
      <c r="H46" s="23"/>
      <c r="I46" s="23"/>
      <c r="J46" s="23"/>
      <c r="K46" s="23"/>
      <c r="L46" s="23"/>
      <c r="M46" s="23"/>
      <c r="N46" s="50">
        <v>0</v>
      </c>
      <c r="O46" s="23"/>
      <c r="P46" s="23"/>
      <c r="Q46" s="23"/>
      <c r="R46" s="23"/>
      <c r="S46" s="23"/>
      <c r="T46" s="23"/>
      <c r="U46" s="23"/>
      <c r="V46" s="23"/>
      <c r="W46" s="23"/>
      <c r="X46" s="23"/>
      <c r="Y46" s="23"/>
      <c r="Z46" s="23">
        <v>0</v>
      </c>
      <c r="AA46" s="23">
        <v>0</v>
      </c>
      <c r="AB46" s="23">
        <v>0</v>
      </c>
      <c r="AC46" s="23">
        <v>0</v>
      </c>
      <c r="AD46" s="23">
        <v>0</v>
      </c>
      <c r="AE46" s="23">
        <v>0</v>
      </c>
      <c r="AF46" s="23">
        <v>0</v>
      </c>
      <c r="AG46" s="23">
        <v>0</v>
      </c>
      <c r="AH46" s="23">
        <v>0</v>
      </c>
      <c r="AI46" s="23">
        <v>0</v>
      </c>
      <c r="AJ46" s="23">
        <v>0</v>
      </c>
      <c r="AK46" s="23">
        <v>0</v>
      </c>
    </row>
    <row r="47" spans="1:37" x14ac:dyDescent="0.3">
      <c r="A47" s="11" t="s">
        <v>1545</v>
      </c>
      <c r="B47" s="11" t="s">
        <v>1468</v>
      </c>
      <c r="C47" s="23"/>
      <c r="D47" s="23"/>
      <c r="E47" s="23"/>
      <c r="F47" s="23"/>
      <c r="G47" s="23"/>
      <c r="H47" s="23"/>
      <c r="I47" s="23"/>
      <c r="J47" s="23"/>
      <c r="K47" s="23"/>
      <c r="L47" s="23"/>
      <c r="M47" s="23"/>
      <c r="N47" s="50">
        <v>3747</v>
      </c>
      <c r="O47" s="23"/>
      <c r="P47" s="23"/>
      <c r="Q47" s="23"/>
      <c r="R47" s="23"/>
      <c r="S47" s="23"/>
      <c r="T47" s="23"/>
      <c r="U47" s="23"/>
      <c r="V47" s="23"/>
      <c r="W47" s="23"/>
      <c r="X47" s="23"/>
      <c r="Y47" s="23"/>
      <c r="Z47" s="23">
        <v>3747</v>
      </c>
      <c r="AA47" s="23">
        <v>4870</v>
      </c>
      <c r="AB47" s="23">
        <v>4449</v>
      </c>
      <c r="AC47" s="23">
        <v>4039</v>
      </c>
      <c r="AD47" s="23">
        <v>5156</v>
      </c>
      <c r="AE47" s="23">
        <v>5148</v>
      </c>
      <c r="AF47" s="23">
        <v>6000.6593999999996</v>
      </c>
      <c r="AG47" s="23">
        <v>6122.5047549999999</v>
      </c>
      <c r="AH47" s="23">
        <v>5876.3542338432371</v>
      </c>
      <c r="AI47" s="23">
        <v>5509.7667650000003</v>
      </c>
      <c r="AJ47" s="23">
        <v>4697.6652836660996</v>
      </c>
      <c r="AK47" s="23">
        <v>5978.6543148100855</v>
      </c>
    </row>
    <row r="48" spans="1:37" x14ac:dyDescent="0.3">
      <c r="A48" s="11" t="s">
        <v>1544</v>
      </c>
      <c r="B48" s="11" t="s">
        <v>1466</v>
      </c>
      <c r="C48" s="23"/>
      <c r="D48" s="23"/>
      <c r="E48" s="23"/>
      <c r="F48" s="23"/>
      <c r="G48" s="23"/>
      <c r="H48" s="23"/>
      <c r="I48" s="23"/>
      <c r="J48" s="23"/>
      <c r="K48" s="23"/>
      <c r="L48" s="23"/>
      <c r="M48" s="23"/>
      <c r="N48" s="50">
        <v>0</v>
      </c>
      <c r="O48" s="23"/>
      <c r="P48" s="23"/>
      <c r="Q48" s="23"/>
      <c r="R48" s="23"/>
      <c r="S48" s="23"/>
      <c r="T48" s="23"/>
      <c r="U48" s="23"/>
      <c r="V48" s="23"/>
      <c r="W48" s="23"/>
      <c r="X48" s="23"/>
      <c r="Y48" s="23"/>
      <c r="Z48" s="23">
        <v>0</v>
      </c>
      <c r="AA48" s="23">
        <v>0</v>
      </c>
      <c r="AB48" s="23">
        <v>0</v>
      </c>
      <c r="AC48" s="23">
        <v>0</v>
      </c>
      <c r="AD48" s="23">
        <v>0</v>
      </c>
      <c r="AE48" s="23">
        <v>0</v>
      </c>
      <c r="AF48" s="23">
        <v>0</v>
      </c>
      <c r="AG48" s="23">
        <v>0</v>
      </c>
      <c r="AH48" s="23">
        <v>0</v>
      </c>
      <c r="AI48" s="23">
        <v>0</v>
      </c>
      <c r="AJ48" s="23">
        <v>0</v>
      </c>
      <c r="AK48" s="23">
        <v>0</v>
      </c>
    </row>
    <row r="49" spans="1:37" x14ac:dyDescent="0.3">
      <c r="A49" s="11" t="s">
        <v>1543</v>
      </c>
      <c r="B49" s="11" t="s">
        <v>1464</v>
      </c>
      <c r="C49" s="23"/>
      <c r="D49" s="23"/>
      <c r="E49" s="23"/>
      <c r="F49" s="23"/>
      <c r="G49" s="23"/>
      <c r="H49" s="23"/>
      <c r="I49" s="23"/>
      <c r="J49" s="23"/>
      <c r="K49" s="23"/>
      <c r="L49" s="23"/>
      <c r="M49" s="23"/>
      <c r="N49" s="50">
        <v>3747</v>
      </c>
      <c r="O49" s="23"/>
      <c r="P49" s="23"/>
      <c r="Q49" s="23"/>
      <c r="R49" s="23"/>
      <c r="S49" s="23"/>
      <c r="T49" s="23"/>
      <c r="U49" s="23"/>
      <c r="V49" s="23"/>
      <c r="W49" s="23"/>
      <c r="X49" s="23"/>
      <c r="Y49" s="23"/>
      <c r="Z49" s="23">
        <v>3747</v>
      </c>
      <c r="AA49" s="23">
        <v>4870</v>
      </c>
      <c r="AB49" s="23">
        <v>4449</v>
      </c>
      <c r="AC49" s="23">
        <v>4039</v>
      </c>
      <c r="AD49" s="23">
        <v>5156</v>
      </c>
      <c r="AE49" s="23">
        <v>5148</v>
      </c>
      <c r="AF49" s="23">
        <v>6000.6593999999996</v>
      </c>
      <c r="AG49" s="23">
        <v>6122.5047549999999</v>
      </c>
      <c r="AH49" s="23">
        <v>5876.3542338432371</v>
      </c>
      <c r="AI49" s="23">
        <v>5509.7667650000003</v>
      </c>
      <c r="AJ49" s="23">
        <v>4697.6652836660996</v>
      </c>
      <c r="AK49" s="23">
        <v>5978.6543148100855</v>
      </c>
    </row>
    <row r="50" spans="1:37" x14ac:dyDescent="0.3">
      <c r="A50" s="11" t="s">
        <v>1542</v>
      </c>
      <c r="B50" s="11" t="s">
        <v>1462</v>
      </c>
      <c r="C50" s="23"/>
      <c r="D50" s="23"/>
      <c r="E50" s="23"/>
      <c r="F50" s="23"/>
      <c r="G50" s="23"/>
      <c r="H50" s="23"/>
      <c r="I50" s="23"/>
      <c r="J50" s="23"/>
      <c r="K50" s="23"/>
      <c r="L50" s="23"/>
      <c r="M50" s="23"/>
      <c r="N50" s="50">
        <v>0</v>
      </c>
      <c r="O50" s="23"/>
      <c r="P50" s="23"/>
      <c r="Q50" s="23"/>
      <c r="R50" s="23"/>
      <c r="S50" s="23"/>
      <c r="T50" s="23"/>
      <c r="U50" s="23"/>
      <c r="V50" s="23"/>
      <c r="W50" s="23"/>
      <c r="X50" s="23"/>
      <c r="Y50" s="23"/>
      <c r="Z50" s="23">
        <v>0</v>
      </c>
      <c r="AA50" s="23">
        <v>0</v>
      </c>
      <c r="AB50" s="23">
        <v>0</v>
      </c>
      <c r="AC50" s="23">
        <v>0</v>
      </c>
      <c r="AD50" s="23">
        <v>0</v>
      </c>
      <c r="AE50" s="23">
        <v>0</v>
      </c>
      <c r="AF50" s="23">
        <v>0</v>
      </c>
      <c r="AG50" s="23">
        <v>0</v>
      </c>
      <c r="AH50" s="23">
        <v>0</v>
      </c>
      <c r="AI50" s="23">
        <v>0</v>
      </c>
      <c r="AJ50" s="23">
        <v>0</v>
      </c>
      <c r="AK50" s="23">
        <v>0</v>
      </c>
    </row>
    <row r="51" spans="1:37" x14ac:dyDescent="0.3">
      <c r="A51" s="11" t="s">
        <v>1541</v>
      </c>
      <c r="B51" s="11" t="s">
        <v>1460</v>
      </c>
      <c r="C51" s="23"/>
      <c r="D51" s="23"/>
      <c r="E51" s="23"/>
      <c r="F51" s="23"/>
      <c r="G51" s="23"/>
      <c r="H51" s="23"/>
      <c r="I51" s="23"/>
      <c r="J51" s="23"/>
      <c r="K51" s="23"/>
      <c r="L51" s="23"/>
      <c r="M51" s="23"/>
      <c r="N51" s="50">
        <v>0</v>
      </c>
      <c r="O51" s="23"/>
      <c r="P51" s="23"/>
      <c r="Q51" s="23"/>
      <c r="R51" s="23"/>
      <c r="S51" s="23"/>
      <c r="T51" s="23"/>
      <c r="U51" s="23"/>
      <c r="V51" s="23"/>
      <c r="W51" s="23"/>
      <c r="X51" s="23"/>
      <c r="Y51" s="23"/>
      <c r="Z51" s="23">
        <v>0</v>
      </c>
      <c r="AA51" s="23">
        <v>0</v>
      </c>
      <c r="AB51" s="23">
        <v>0</v>
      </c>
      <c r="AC51" s="23">
        <v>0</v>
      </c>
      <c r="AD51" s="23">
        <v>0</v>
      </c>
      <c r="AE51" s="23">
        <v>0</v>
      </c>
      <c r="AF51" s="23">
        <v>0</v>
      </c>
      <c r="AG51" s="23">
        <v>0</v>
      </c>
      <c r="AH51" s="23">
        <v>0</v>
      </c>
      <c r="AI51" s="23">
        <v>0</v>
      </c>
      <c r="AJ51" s="23">
        <v>0</v>
      </c>
      <c r="AK51" s="23">
        <v>0</v>
      </c>
    </row>
    <row r="52" spans="1:37" x14ac:dyDescent="0.3">
      <c r="A52" s="11" t="s">
        <v>1540</v>
      </c>
      <c r="B52" s="11" t="s">
        <v>1458</v>
      </c>
      <c r="C52" s="23"/>
      <c r="D52" s="23"/>
      <c r="E52" s="23"/>
      <c r="F52" s="23"/>
      <c r="G52" s="23"/>
      <c r="H52" s="23"/>
      <c r="I52" s="23"/>
      <c r="J52" s="23"/>
      <c r="K52" s="23"/>
      <c r="L52" s="23"/>
      <c r="M52" s="23"/>
      <c r="N52" s="50">
        <v>0</v>
      </c>
      <c r="O52" s="23"/>
      <c r="P52" s="23"/>
      <c r="Q52" s="23"/>
      <c r="R52" s="23"/>
      <c r="S52" s="23"/>
      <c r="T52" s="23"/>
      <c r="U52" s="23"/>
      <c r="V52" s="23"/>
      <c r="W52" s="23"/>
      <c r="X52" s="23"/>
      <c r="Y52" s="23"/>
      <c r="Z52" s="23">
        <v>0</v>
      </c>
      <c r="AA52" s="23">
        <v>0</v>
      </c>
      <c r="AB52" s="23">
        <v>0</v>
      </c>
      <c r="AC52" s="23">
        <v>0</v>
      </c>
      <c r="AD52" s="23">
        <v>0</v>
      </c>
      <c r="AE52" s="23">
        <v>0</v>
      </c>
      <c r="AF52" s="23">
        <v>0</v>
      </c>
      <c r="AG52" s="23">
        <v>0</v>
      </c>
      <c r="AH52" s="23">
        <v>0</v>
      </c>
      <c r="AI52" s="23">
        <v>0</v>
      </c>
      <c r="AJ52" s="23">
        <v>0</v>
      </c>
      <c r="AK52" s="23">
        <v>0</v>
      </c>
    </row>
    <row r="53" spans="1:37" x14ac:dyDescent="0.3">
      <c r="A53" s="11" t="s">
        <v>1539</v>
      </c>
      <c r="B53" s="11" t="s">
        <v>1456</v>
      </c>
      <c r="C53" s="23"/>
      <c r="D53" s="23"/>
      <c r="E53" s="23"/>
      <c r="F53" s="23"/>
      <c r="G53" s="23"/>
      <c r="H53" s="23"/>
      <c r="I53" s="23"/>
      <c r="J53" s="23"/>
      <c r="K53" s="23"/>
      <c r="L53" s="23"/>
      <c r="M53" s="23"/>
      <c r="N53" s="50">
        <v>0</v>
      </c>
      <c r="O53" s="23"/>
      <c r="P53" s="23"/>
      <c r="Q53" s="23"/>
      <c r="R53" s="23"/>
      <c r="S53" s="23"/>
      <c r="T53" s="23"/>
      <c r="U53" s="23"/>
      <c r="V53" s="23"/>
      <c r="W53" s="23"/>
      <c r="X53" s="23"/>
      <c r="Y53" s="23"/>
      <c r="Z53" s="23">
        <v>0</v>
      </c>
      <c r="AA53" s="23">
        <v>0</v>
      </c>
      <c r="AB53" s="23">
        <v>0</v>
      </c>
      <c r="AC53" s="23">
        <v>0</v>
      </c>
      <c r="AD53" s="23">
        <v>0</v>
      </c>
      <c r="AE53" s="23">
        <v>0</v>
      </c>
      <c r="AF53" s="23">
        <v>0</v>
      </c>
      <c r="AG53" s="23">
        <v>0</v>
      </c>
      <c r="AH53" s="23">
        <v>0</v>
      </c>
      <c r="AI53" s="23">
        <v>0</v>
      </c>
      <c r="AJ53" s="23">
        <v>0</v>
      </c>
      <c r="AK53" s="23">
        <v>0</v>
      </c>
    </row>
    <row r="54" spans="1:37" x14ac:dyDescent="0.3">
      <c r="A54" s="11" t="s">
        <v>1538</v>
      </c>
      <c r="B54" s="11" t="s">
        <v>1454</v>
      </c>
      <c r="C54" s="23"/>
      <c r="D54" s="23"/>
      <c r="E54" s="23"/>
      <c r="F54" s="23"/>
      <c r="G54" s="23"/>
      <c r="H54" s="23"/>
      <c r="I54" s="23"/>
      <c r="J54" s="23"/>
      <c r="K54" s="23"/>
      <c r="L54" s="23"/>
      <c r="M54" s="23"/>
      <c r="N54" s="50">
        <v>196</v>
      </c>
      <c r="O54" s="23"/>
      <c r="P54" s="23"/>
      <c r="Q54" s="23"/>
      <c r="R54" s="23"/>
      <c r="S54" s="23"/>
      <c r="T54" s="23"/>
      <c r="U54" s="23"/>
      <c r="V54" s="23"/>
      <c r="W54" s="23"/>
      <c r="X54" s="23"/>
      <c r="Y54" s="23"/>
      <c r="Z54" s="23">
        <v>196</v>
      </c>
      <c r="AA54" s="23">
        <v>815</v>
      </c>
      <c r="AB54" s="23">
        <v>437</v>
      </c>
      <c r="AC54" s="23">
        <v>1016</v>
      </c>
      <c r="AD54" s="23">
        <v>856</v>
      </c>
      <c r="AE54" s="23">
        <v>546</v>
      </c>
      <c r="AF54" s="23">
        <v>330.68939999999998</v>
      </c>
      <c r="AG54" s="23">
        <v>517.4770972</v>
      </c>
      <c r="AH54" s="23">
        <v>544.17842057654798</v>
      </c>
      <c r="AI54" s="23">
        <v>841.15770080000004</v>
      </c>
      <c r="AJ54" s="23">
        <v>873.63725961467298</v>
      </c>
      <c r="AK54" s="23">
        <v>679.87750080455089</v>
      </c>
    </row>
    <row r="55" spans="1:37" x14ac:dyDescent="0.3">
      <c r="A55" s="11" t="s">
        <v>1537</v>
      </c>
      <c r="B55" s="11" t="s">
        <v>1452</v>
      </c>
      <c r="C55" s="23"/>
      <c r="D55" s="23"/>
      <c r="E55" s="23"/>
      <c r="F55" s="23"/>
      <c r="G55" s="23"/>
      <c r="H55" s="23"/>
      <c r="I55" s="23"/>
      <c r="J55" s="23"/>
      <c r="K55" s="23"/>
      <c r="L55" s="23"/>
      <c r="M55" s="23"/>
      <c r="N55" s="50">
        <v>15</v>
      </c>
      <c r="O55" s="23"/>
      <c r="P55" s="23"/>
      <c r="Q55" s="23"/>
      <c r="R55" s="23"/>
      <c r="S55" s="23"/>
      <c r="T55" s="23"/>
      <c r="U55" s="23"/>
      <c r="V55" s="23"/>
      <c r="W55" s="23"/>
      <c r="X55" s="23"/>
      <c r="Y55" s="23"/>
      <c r="Z55" s="23">
        <v>15</v>
      </c>
      <c r="AA55" s="23">
        <v>15</v>
      </c>
      <c r="AB55" s="23">
        <v>25</v>
      </c>
      <c r="AC55" s="23">
        <v>6</v>
      </c>
      <c r="AD55" s="23">
        <v>1</v>
      </c>
      <c r="AE55" s="23">
        <v>4</v>
      </c>
      <c r="AF55" s="23">
        <v>5.8764000000000003</v>
      </c>
      <c r="AG55" s="23">
        <v>3.103146374</v>
      </c>
      <c r="AH55" s="23">
        <v>1.6339608137121999</v>
      </c>
      <c r="AI55" s="23">
        <v>0.96853599000000001</v>
      </c>
      <c r="AJ55" s="23">
        <v>1.7015184993329799</v>
      </c>
      <c r="AK55" s="23">
        <v>3.384558376047401</v>
      </c>
    </row>
    <row r="56" spans="1:37" x14ac:dyDescent="0.3">
      <c r="A56" s="11" t="s">
        <v>1536</v>
      </c>
      <c r="B56" s="11" t="s">
        <v>1450</v>
      </c>
      <c r="C56" s="23"/>
      <c r="D56" s="23"/>
      <c r="E56" s="23"/>
      <c r="F56" s="23"/>
      <c r="G56" s="23"/>
      <c r="H56" s="23"/>
      <c r="I56" s="23"/>
      <c r="J56" s="23"/>
      <c r="K56" s="23"/>
      <c r="L56" s="23"/>
      <c r="M56" s="23"/>
      <c r="N56" s="50">
        <v>0</v>
      </c>
      <c r="O56" s="23"/>
      <c r="P56" s="23"/>
      <c r="Q56" s="23"/>
      <c r="R56" s="23"/>
      <c r="S56" s="23"/>
      <c r="T56" s="23"/>
      <c r="U56" s="23"/>
      <c r="V56" s="23"/>
      <c r="W56" s="23"/>
      <c r="X56" s="23"/>
      <c r="Y56" s="23"/>
      <c r="Z56" s="23">
        <v>0</v>
      </c>
      <c r="AA56" s="23">
        <v>0</v>
      </c>
      <c r="AB56" s="23">
        <v>0</v>
      </c>
      <c r="AC56" s="23">
        <v>0</v>
      </c>
      <c r="AD56" s="23">
        <v>0</v>
      </c>
      <c r="AE56" s="23">
        <v>0</v>
      </c>
      <c r="AF56" s="23">
        <v>0</v>
      </c>
      <c r="AG56" s="23">
        <v>0</v>
      </c>
      <c r="AH56" s="23">
        <v>0</v>
      </c>
      <c r="AI56" s="23">
        <v>0</v>
      </c>
      <c r="AJ56" s="23">
        <v>0</v>
      </c>
      <c r="AK56" s="23">
        <v>0</v>
      </c>
    </row>
    <row r="57" spans="1:37" x14ac:dyDescent="0.3">
      <c r="A57" s="11" t="s">
        <v>1535</v>
      </c>
      <c r="B57" s="11" t="s">
        <v>1448</v>
      </c>
      <c r="C57" s="23"/>
      <c r="D57" s="23"/>
      <c r="E57" s="23"/>
      <c r="F57" s="23"/>
      <c r="G57" s="23"/>
      <c r="H57" s="23"/>
      <c r="I57" s="23"/>
      <c r="J57" s="23"/>
      <c r="K57" s="23"/>
      <c r="L57" s="23"/>
      <c r="M57" s="23"/>
      <c r="N57" s="50">
        <v>494</v>
      </c>
      <c r="O57" s="23"/>
      <c r="P57" s="23"/>
      <c r="Q57" s="23"/>
      <c r="R57" s="23"/>
      <c r="S57" s="23"/>
      <c r="T57" s="23"/>
      <c r="U57" s="23"/>
      <c r="V57" s="23"/>
      <c r="W57" s="23"/>
      <c r="X57" s="23"/>
      <c r="Y57" s="23"/>
      <c r="Z57" s="23">
        <v>494</v>
      </c>
      <c r="AA57" s="23">
        <v>1295</v>
      </c>
      <c r="AB57" s="23">
        <v>1350</v>
      </c>
      <c r="AC57" s="23">
        <v>1359</v>
      </c>
      <c r="AD57" s="23">
        <v>1040</v>
      </c>
      <c r="AE57" s="23">
        <v>1038</v>
      </c>
      <c r="AF57" s="23">
        <v>1336.0932</v>
      </c>
      <c r="AG57" s="23">
        <v>921.86076000000003</v>
      </c>
      <c r="AH57" s="23">
        <v>1027.259956149984</v>
      </c>
      <c r="AI57" s="23">
        <v>1098.9629339999999</v>
      </c>
      <c r="AJ57" s="23">
        <v>1167.2485841500629</v>
      </c>
      <c r="AK57" s="23">
        <v>1465.5308555000611</v>
      </c>
    </row>
    <row r="58" spans="1:37" x14ac:dyDescent="0.3">
      <c r="A58" s="11" t="s">
        <v>1534</v>
      </c>
      <c r="B58" s="11" t="s">
        <v>1533</v>
      </c>
      <c r="C58" s="23"/>
      <c r="D58" s="23"/>
      <c r="E58" s="23"/>
      <c r="F58" s="23"/>
      <c r="G58" s="23"/>
      <c r="H58" s="23"/>
      <c r="I58" s="23"/>
      <c r="J58" s="23"/>
      <c r="K58" s="23"/>
      <c r="L58" s="23"/>
      <c r="M58" s="23"/>
      <c r="N58" s="50">
        <v>19648</v>
      </c>
      <c r="O58" s="23"/>
      <c r="P58" s="23"/>
      <c r="Q58" s="23"/>
      <c r="R58" s="23"/>
      <c r="S58" s="23"/>
      <c r="T58" s="23"/>
      <c r="U58" s="23"/>
      <c r="V58" s="23"/>
      <c r="W58" s="23"/>
      <c r="X58" s="23"/>
      <c r="Y58" s="23"/>
      <c r="Z58" s="23">
        <v>19648</v>
      </c>
      <c r="AA58" s="23">
        <v>21760</v>
      </c>
      <c r="AB58" s="23">
        <v>17428</v>
      </c>
      <c r="AC58" s="23">
        <v>22482</v>
      </c>
      <c r="AD58" s="23">
        <v>20179</v>
      </c>
      <c r="AE58" s="23">
        <v>22135</v>
      </c>
      <c r="AF58" s="23">
        <v>15494.421</v>
      </c>
      <c r="AG58" s="23">
        <v>20830.313269999999</v>
      </c>
      <c r="AH58" s="23">
        <v>17619.600469932931</v>
      </c>
      <c r="AI58" s="23">
        <v>21672</v>
      </c>
      <c r="AJ58" s="23">
        <v>18145.411727118812</v>
      </c>
      <c r="AK58" s="23">
        <v>19324.7704410486</v>
      </c>
    </row>
    <row r="59" spans="1:37" x14ac:dyDescent="0.3">
      <c r="A59" s="11" t="s">
        <v>1532</v>
      </c>
      <c r="B59" s="11" t="s">
        <v>1446</v>
      </c>
      <c r="C59" s="49"/>
      <c r="D59" s="49"/>
      <c r="E59" s="49"/>
      <c r="F59" s="49"/>
      <c r="G59" s="49"/>
      <c r="H59" s="49"/>
      <c r="I59" s="49"/>
      <c r="J59" s="49"/>
      <c r="K59" s="49"/>
      <c r="L59" s="49"/>
      <c r="M59" s="49"/>
      <c r="N59" s="52">
        <v>0.79190000000000005</v>
      </c>
      <c r="O59" s="49"/>
      <c r="P59" s="49"/>
      <c r="Q59" s="49"/>
      <c r="R59" s="49"/>
      <c r="S59" s="49"/>
      <c r="T59" s="49"/>
      <c r="U59" s="49"/>
      <c r="V59" s="49"/>
      <c r="W59" s="49"/>
      <c r="X59" s="49"/>
      <c r="Y59" s="49"/>
      <c r="Z59" s="49">
        <v>0.79190000000000005</v>
      </c>
      <c r="AA59" s="49">
        <v>0.87629999999999997</v>
      </c>
      <c r="AB59" s="49">
        <v>0.80569999999999997</v>
      </c>
      <c r="AC59" s="49">
        <v>0.85609999999999997</v>
      </c>
      <c r="AD59" s="49">
        <v>0.80410000000000004</v>
      </c>
      <c r="AE59" s="49">
        <v>0.83120000000000005</v>
      </c>
      <c r="AF59" s="49">
        <v>0.72007134721674404</v>
      </c>
      <c r="AG59" s="49">
        <v>0.76797347500000002</v>
      </c>
      <c r="AH59" s="49">
        <v>0.75509044145396975</v>
      </c>
      <c r="AI59" s="49">
        <v>0.81439916599999995</v>
      </c>
      <c r="AJ59" s="49">
        <v>0.82931739580967356</v>
      </c>
      <c r="AK59" s="49">
        <v>0.80819752838432168</v>
      </c>
    </row>
    <row r="60" spans="1:37" x14ac:dyDescent="0.3">
      <c r="A60" s="11" t="s">
        <v>1531</v>
      </c>
      <c r="B60" s="11" t="s">
        <v>1444</v>
      </c>
      <c r="C60" s="49"/>
      <c r="D60" s="49"/>
      <c r="E60" s="49"/>
      <c r="F60" s="49"/>
      <c r="G60" s="49"/>
      <c r="H60" s="49"/>
      <c r="I60" s="49"/>
      <c r="J60" s="49"/>
      <c r="K60" s="49"/>
      <c r="L60" s="49"/>
      <c r="M60" s="49"/>
      <c r="N60" s="52">
        <v>1.4599</v>
      </c>
      <c r="O60" s="49"/>
      <c r="P60" s="49"/>
      <c r="Q60" s="49"/>
      <c r="R60" s="49"/>
      <c r="S60" s="49"/>
      <c r="T60" s="49"/>
      <c r="U60" s="49"/>
      <c r="V60" s="49"/>
      <c r="W60" s="49"/>
      <c r="X60" s="49"/>
      <c r="Y60" s="49"/>
      <c r="Z60" s="49">
        <v>1.4599</v>
      </c>
      <c r="AA60" s="49">
        <v>1.6504000000000001</v>
      </c>
      <c r="AB60" s="49">
        <v>1.7471000000000001</v>
      </c>
      <c r="AC60" s="49">
        <v>1.5490999999999999</v>
      </c>
      <c r="AD60" s="49">
        <v>1.6775</v>
      </c>
      <c r="AE60" s="49">
        <v>1.6761999999999999</v>
      </c>
      <c r="AF60" s="49">
        <v>1.8125763404070301</v>
      </c>
      <c r="AG60" s="49">
        <v>1.721338365</v>
      </c>
      <c r="AH60" s="49">
        <v>1.803478657871272</v>
      </c>
      <c r="AI60" s="49">
        <v>1.9018999999999999</v>
      </c>
      <c r="AJ60" s="49">
        <v>2.1825432346833442</v>
      </c>
      <c r="AK60" s="49">
        <v>2.0529265391526579</v>
      </c>
    </row>
    <row r="61" spans="1:37" x14ac:dyDescent="0.3">
      <c r="A61" s="11" t="s">
        <v>1530</v>
      </c>
      <c r="B61" s="11" t="s">
        <v>1529</v>
      </c>
      <c r="C61" s="49"/>
      <c r="D61" s="49"/>
      <c r="E61" s="49"/>
      <c r="F61" s="49"/>
      <c r="G61" s="49"/>
      <c r="H61" s="49"/>
      <c r="I61" s="49"/>
      <c r="J61" s="49"/>
      <c r="K61" s="49"/>
      <c r="L61" s="49"/>
      <c r="M61" s="49"/>
      <c r="N61" s="52">
        <v>0</v>
      </c>
      <c r="O61" s="49"/>
      <c r="P61" s="49"/>
      <c r="Q61" s="49"/>
      <c r="R61" s="49"/>
      <c r="S61" s="49"/>
      <c r="T61" s="49"/>
      <c r="U61" s="49"/>
      <c r="V61" s="49"/>
      <c r="W61" s="49"/>
      <c r="X61" s="49"/>
      <c r="Y61" s="49"/>
      <c r="Z61" s="49">
        <v>0</v>
      </c>
      <c r="AA61" s="49">
        <v>0</v>
      </c>
      <c r="AB61" s="49">
        <v>0</v>
      </c>
      <c r="AC61" s="49">
        <v>0</v>
      </c>
      <c r="AD61" s="49">
        <v>0</v>
      </c>
      <c r="AE61" s="49">
        <v>0</v>
      </c>
      <c r="AF61" s="49">
        <v>0</v>
      </c>
      <c r="AG61" s="49">
        <v>0</v>
      </c>
      <c r="AH61" s="49">
        <v>1.24380762531263E-6</v>
      </c>
      <c r="AI61" s="49">
        <v>1.24380762531263E-6</v>
      </c>
      <c r="AJ61" s="49">
        <v>1.241719953655721E-6</v>
      </c>
      <c r="AK61" s="49">
        <v>1.2480417509205759E-6</v>
      </c>
    </row>
    <row r="62" spans="1:37" x14ac:dyDescent="0.3">
      <c r="A62" s="11" t="s">
        <v>1528</v>
      </c>
      <c r="B62" s="11" t="s">
        <v>355</v>
      </c>
      <c r="C62" s="12"/>
      <c r="D62" s="12"/>
      <c r="E62" s="12"/>
      <c r="F62" s="12"/>
      <c r="G62" s="12"/>
      <c r="H62" s="12"/>
      <c r="I62" s="12"/>
      <c r="J62" s="12"/>
      <c r="K62" s="12"/>
      <c r="L62" s="12"/>
      <c r="M62" s="12"/>
      <c r="N62" s="48">
        <v>15790</v>
      </c>
      <c r="O62" s="12"/>
      <c r="P62" s="12"/>
      <c r="Q62" s="12"/>
      <c r="R62" s="12"/>
      <c r="S62" s="12"/>
      <c r="T62" s="12"/>
      <c r="U62" s="12"/>
      <c r="V62" s="12"/>
      <c r="W62" s="12"/>
      <c r="X62" s="12"/>
      <c r="Y62" s="12"/>
      <c r="Z62" s="22">
        <v>15790</v>
      </c>
      <c r="AA62" s="22">
        <v>1508</v>
      </c>
      <c r="AB62" s="22">
        <v>17533</v>
      </c>
      <c r="AC62" s="22">
        <v>6220</v>
      </c>
      <c r="AD62" s="22">
        <v>8762</v>
      </c>
      <c r="AE62" s="22">
        <v>4314</v>
      </c>
      <c r="AF62" s="22">
        <v>17684</v>
      </c>
      <c r="AG62" s="22">
        <v>12023.88697</v>
      </c>
      <c r="AH62" s="22">
        <v>14867.07764738</v>
      </c>
      <c r="AI62" s="22">
        <v>6463.251088</v>
      </c>
      <c r="AJ62" s="22">
        <v>20538.939694829998</v>
      </c>
      <c r="AK62" s="22">
        <v>12739.13160377</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50"/>
  <sheetViews>
    <sheetView zoomScale="95" zoomScaleNormal="95" workbookViewId="0">
      <pane xSplit="2" ySplit="2" topLeftCell="AI3" activePane="bottomRight" state="frozen"/>
      <selection pane="topRight" activeCell="C1" sqref="C1"/>
      <selection pane="bottomLeft" activeCell="A3" sqref="A3"/>
      <selection pane="bottomRight" activeCell="AL22" sqref="AL22"/>
    </sheetView>
  </sheetViews>
  <sheetFormatPr baseColWidth="10" defaultColWidth="8.5546875" defaultRowHeight="14.4" x14ac:dyDescent="0.3"/>
  <cols>
    <col min="1" max="1" width="13" bestFit="1" customWidth="1"/>
    <col min="2" max="2" width="54" bestFit="1" customWidth="1"/>
    <col min="3" max="30" width="13.5546875" style="6" customWidth="1"/>
    <col min="31" max="35" width="13.5546875" customWidth="1"/>
    <col min="36" max="37" width="16.21875" bestFit="1" customWidth="1"/>
  </cols>
  <sheetData>
    <row r="1" spans="1:37" x14ac:dyDescent="0.3">
      <c r="A1" s="11"/>
      <c r="B1" s="11"/>
      <c r="C1" s="23" t="s">
        <v>92</v>
      </c>
      <c r="D1" s="23" t="s">
        <v>92</v>
      </c>
      <c r="E1" s="23" t="s">
        <v>92</v>
      </c>
      <c r="F1" s="23" t="s">
        <v>92</v>
      </c>
      <c r="G1" s="23" t="s">
        <v>92</v>
      </c>
      <c r="H1" s="23" t="s">
        <v>92</v>
      </c>
      <c r="I1" s="23" t="s">
        <v>92</v>
      </c>
      <c r="J1" s="23" t="s">
        <v>92</v>
      </c>
      <c r="K1" s="23" t="s">
        <v>92</v>
      </c>
      <c r="L1" s="23" t="s">
        <v>92</v>
      </c>
      <c r="M1" s="23" t="s">
        <v>92</v>
      </c>
      <c r="N1" s="23" t="s">
        <v>2013</v>
      </c>
      <c r="O1" s="23" t="s">
        <v>92</v>
      </c>
      <c r="P1" s="23" t="s">
        <v>92</v>
      </c>
      <c r="Q1" s="23" t="s">
        <v>92</v>
      </c>
      <c r="R1" s="23" t="s">
        <v>92</v>
      </c>
      <c r="S1" s="23" t="s">
        <v>92</v>
      </c>
      <c r="T1" s="23" t="s">
        <v>92</v>
      </c>
      <c r="U1" s="23" t="s">
        <v>92</v>
      </c>
      <c r="V1" s="23" t="s">
        <v>92</v>
      </c>
      <c r="W1" s="23" t="s">
        <v>92</v>
      </c>
      <c r="X1" s="23" t="s">
        <v>92</v>
      </c>
      <c r="Y1" s="23" t="s">
        <v>92</v>
      </c>
      <c r="Z1" s="23" t="s">
        <v>92</v>
      </c>
      <c r="AA1" s="23" t="s">
        <v>92</v>
      </c>
      <c r="AB1" s="23" t="s">
        <v>92</v>
      </c>
      <c r="AC1" s="23" t="s">
        <v>92</v>
      </c>
      <c r="AD1" s="23" t="s">
        <v>92</v>
      </c>
      <c r="AE1" s="23" t="s">
        <v>92</v>
      </c>
      <c r="AF1" s="23" t="s">
        <v>92</v>
      </c>
      <c r="AG1" s="23" t="s">
        <v>92</v>
      </c>
      <c r="AH1" s="23" t="s">
        <v>92</v>
      </c>
      <c r="AI1" s="23" t="s">
        <v>92</v>
      </c>
      <c r="AJ1" s="23" t="s">
        <v>92</v>
      </c>
      <c r="AK1" s="23" t="s">
        <v>92</v>
      </c>
    </row>
    <row r="2" spans="1:37" x14ac:dyDescent="0.3">
      <c r="A2" s="13" t="s">
        <v>206</v>
      </c>
      <c r="B2" s="13" t="s">
        <v>205</v>
      </c>
      <c r="C2" s="45">
        <v>44927</v>
      </c>
      <c r="D2" s="45">
        <v>44958</v>
      </c>
      <c r="E2" s="45">
        <v>44986</v>
      </c>
      <c r="F2" s="45">
        <v>45017</v>
      </c>
      <c r="G2" s="45">
        <v>45047</v>
      </c>
      <c r="H2" s="45">
        <v>45078</v>
      </c>
      <c r="I2" s="45">
        <v>45108</v>
      </c>
      <c r="J2" s="45">
        <v>45139</v>
      </c>
      <c r="K2" s="45">
        <v>45170</v>
      </c>
      <c r="L2" s="45">
        <v>45200</v>
      </c>
      <c r="M2" s="45">
        <v>45231</v>
      </c>
      <c r="N2" s="45">
        <v>45261</v>
      </c>
      <c r="O2" s="45">
        <v>45292</v>
      </c>
      <c r="P2" s="45">
        <v>45323</v>
      </c>
      <c r="Q2" s="45">
        <v>45352</v>
      </c>
      <c r="R2" s="45">
        <v>45383</v>
      </c>
      <c r="S2" s="45">
        <v>45413</v>
      </c>
      <c r="T2" s="45">
        <v>45444</v>
      </c>
      <c r="U2" s="45">
        <v>45474</v>
      </c>
      <c r="V2" s="45">
        <v>45505</v>
      </c>
      <c r="W2" s="45">
        <v>45536</v>
      </c>
      <c r="X2" s="45">
        <v>45566</v>
      </c>
      <c r="Y2" s="45">
        <v>45597</v>
      </c>
      <c r="Z2" s="45">
        <v>45627</v>
      </c>
      <c r="AA2" s="45">
        <v>45658</v>
      </c>
      <c r="AB2" s="45">
        <v>45689</v>
      </c>
      <c r="AC2" s="45">
        <v>45717</v>
      </c>
      <c r="AD2" s="45">
        <v>45748</v>
      </c>
      <c r="AE2" s="45">
        <v>45778</v>
      </c>
      <c r="AF2" s="45">
        <v>45809</v>
      </c>
      <c r="AG2" s="45">
        <v>45839</v>
      </c>
      <c r="AH2" s="45">
        <v>45870</v>
      </c>
      <c r="AI2" s="45">
        <v>45901</v>
      </c>
      <c r="AJ2" s="45">
        <v>45931</v>
      </c>
      <c r="AK2" s="45">
        <v>45962</v>
      </c>
    </row>
    <row r="3" spans="1:37" x14ac:dyDescent="0.3">
      <c r="A3" s="11" t="s">
        <v>1658</v>
      </c>
      <c r="B3" s="11" t="s">
        <v>227</v>
      </c>
      <c r="C3" s="23">
        <v>22411.731246002975</v>
      </c>
      <c r="D3" s="23">
        <v>22835.741606270694</v>
      </c>
      <c r="E3" s="23">
        <v>23701.318823656806</v>
      </c>
      <c r="F3" s="23">
        <v>24002.507781537279</v>
      </c>
      <c r="G3" s="23">
        <v>25771.029787850104</v>
      </c>
      <c r="H3" s="23">
        <v>24096.853559942076</v>
      </c>
      <c r="I3" s="23">
        <v>24928.894634295873</v>
      </c>
      <c r="J3" s="23">
        <v>24569.077195298916</v>
      </c>
      <c r="K3" s="23">
        <v>24141.550474383181</v>
      </c>
      <c r="L3" s="23">
        <v>25087.662492714258</v>
      </c>
      <c r="M3" s="23">
        <v>27038.025386389396</v>
      </c>
      <c r="N3" s="23">
        <v>24781.70581711665</v>
      </c>
      <c r="O3" s="23">
        <v>25057.696600751071</v>
      </c>
      <c r="P3" s="23">
        <v>24271.334947957119</v>
      </c>
      <c r="Q3" s="23">
        <v>27926.315257615785</v>
      </c>
      <c r="R3" s="23">
        <v>27028.594115022966</v>
      </c>
      <c r="S3" s="23">
        <v>29129.712905519813</v>
      </c>
      <c r="T3" s="23">
        <v>30041.032301452185</v>
      </c>
      <c r="U3" s="23">
        <v>29834.940622615592</v>
      </c>
      <c r="V3" s="23">
        <v>30593.480240506164</v>
      </c>
      <c r="W3" s="23">
        <v>33591.65836503703</v>
      </c>
      <c r="X3" s="23">
        <v>31930.352818106032</v>
      </c>
      <c r="Y3" s="23">
        <v>33249.592187240938</v>
      </c>
      <c r="Z3" s="23">
        <v>29127</v>
      </c>
      <c r="AA3" s="23">
        <v>33950</v>
      </c>
      <c r="AB3" s="23">
        <v>30005</v>
      </c>
      <c r="AC3" s="23">
        <v>32808</v>
      </c>
      <c r="AD3" s="23">
        <v>32773</v>
      </c>
      <c r="AE3" s="23">
        <v>34441</v>
      </c>
      <c r="AF3" s="23">
        <v>31677.872810000001</v>
      </c>
      <c r="AG3" s="23">
        <v>33456.181388494289</v>
      </c>
      <c r="AH3" s="23">
        <v>32413</v>
      </c>
      <c r="AI3" s="23">
        <v>28047.644370000002</v>
      </c>
      <c r="AJ3" s="23">
        <v>31130.768054849999</v>
      </c>
      <c r="AK3" s="23">
        <v>33548.039503860004</v>
      </c>
    </row>
    <row r="4" spans="1:37" x14ac:dyDescent="0.3">
      <c r="A4" s="11" t="s">
        <v>1657</v>
      </c>
      <c r="B4" s="11" t="s">
        <v>1656</v>
      </c>
      <c r="C4" s="23"/>
      <c r="D4" s="23"/>
      <c r="E4" s="23"/>
      <c r="F4" s="23"/>
      <c r="G4" s="23"/>
      <c r="H4" s="23"/>
      <c r="I4" s="23"/>
      <c r="J4" s="23"/>
      <c r="K4" s="23"/>
      <c r="L4" s="23"/>
      <c r="M4" s="23"/>
      <c r="N4" s="50">
        <v>22675</v>
      </c>
      <c r="O4" s="23"/>
      <c r="P4" s="23"/>
      <c r="Q4" s="23"/>
      <c r="R4" s="23"/>
      <c r="S4" s="23"/>
      <c r="T4" s="23"/>
      <c r="U4" s="23"/>
      <c r="V4" s="23"/>
      <c r="W4" s="23"/>
      <c r="X4" s="23"/>
      <c r="Y4" s="23"/>
      <c r="Z4" s="23">
        <v>22675</v>
      </c>
      <c r="AA4" s="23">
        <v>26603</v>
      </c>
      <c r="AB4" s="23">
        <v>22958</v>
      </c>
      <c r="AC4" s="23">
        <v>26597</v>
      </c>
      <c r="AD4" s="23">
        <v>25081</v>
      </c>
      <c r="AE4" s="23">
        <v>20976</v>
      </c>
      <c r="AF4" s="23">
        <v>24091.653151999999</v>
      </c>
      <c r="AG4" s="23">
        <v>26049.209195306801</v>
      </c>
      <c r="AH4" s="23">
        <v>24886</v>
      </c>
      <c r="AI4" s="23">
        <v>23506.978090000001</v>
      </c>
      <c r="AJ4" s="23">
        <v>24271.661170070001</v>
      </c>
      <c r="AK4" s="23">
        <v>25978.911768509999</v>
      </c>
    </row>
    <row r="5" spans="1:37" x14ac:dyDescent="0.3">
      <c r="A5" s="11" t="s">
        <v>1655</v>
      </c>
      <c r="B5" s="11" t="s">
        <v>330</v>
      </c>
      <c r="C5" s="23"/>
      <c r="D5" s="23"/>
      <c r="E5" s="23"/>
      <c r="F5" s="23"/>
      <c r="G5" s="23"/>
      <c r="H5" s="23"/>
      <c r="I5" s="23"/>
      <c r="J5" s="23"/>
      <c r="K5" s="23"/>
      <c r="L5" s="23"/>
      <c r="M5" s="23"/>
      <c r="N5" s="50">
        <v>12890</v>
      </c>
      <c r="O5" s="23"/>
      <c r="P5" s="23"/>
      <c r="Q5" s="23"/>
      <c r="R5" s="23"/>
      <c r="S5" s="23"/>
      <c r="T5" s="23"/>
      <c r="U5" s="23"/>
      <c r="V5" s="23"/>
      <c r="W5" s="23"/>
      <c r="X5" s="23"/>
      <c r="Y5" s="23"/>
      <c r="Z5" s="23">
        <v>12890</v>
      </c>
      <c r="AA5" s="23">
        <v>13085</v>
      </c>
      <c r="AB5" s="23">
        <v>13643</v>
      </c>
      <c r="AC5" s="23">
        <v>14310</v>
      </c>
      <c r="AD5" s="23">
        <v>14025</v>
      </c>
      <c r="AE5" s="23">
        <v>13307</v>
      </c>
      <c r="AF5" s="23">
        <v>14141.9156</v>
      </c>
      <c r="AG5" s="23">
        <v>14296.428137682</v>
      </c>
      <c r="AH5" s="23">
        <v>14797</v>
      </c>
      <c r="AI5" s="23">
        <v>10706.30071</v>
      </c>
      <c r="AJ5" s="23">
        <v>15285.903645709999</v>
      </c>
      <c r="AK5" s="23">
        <v>15225.300099329999</v>
      </c>
    </row>
    <row r="6" spans="1:37" x14ac:dyDescent="0.3">
      <c r="A6" s="11" t="s">
        <v>1654</v>
      </c>
      <c r="B6" s="11" t="s">
        <v>1633</v>
      </c>
      <c r="C6" s="23"/>
      <c r="D6" s="23"/>
      <c r="E6" s="23"/>
      <c r="F6" s="23"/>
      <c r="G6" s="23"/>
      <c r="H6" s="23"/>
      <c r="I6" s="23"/>
      <c r="J6" s="23"/>
      <c r="K6" s="23"/>
      <c r="L6" s="23"/>
      <c r="M6" s="23"/>
      <c r="N6" s="50">
        <v>1104</v>
      </c>
      <c r="O6" s="23"/>
      <c r="P6" s="23"/>
      <c r="Q6" s="23"/>
      <c r="R6" s="23"/>
      <c r="S6" s="23"/>
      <c r="T6" s="23"/>
      <c r="U6" s="23"/>
      <c r="V6" s="23"/>
      <c r="W6" s="23"/>
      <c r="X6" s="23"/>
      <c r="Y6" s="23"/>
      <c r="Z6" s="23">
        <v>1104</v>
      </c>
      <c r="AA6" s="23">
        <v>1043</v>
      </c>
      <c r="AB6" s="23">
        <v>1078</v>
      </c>
      <c r="AC6" s="23">
        <v>1052</v>
      </c>
      <c r="AD6" s="23">
        <v>1054</v>
      </c>
      <c r="AE6" s="23">
        <v>1060</v>
      </c>
      <c r="AF6" s="23">
        <v>1095.6297529999999</v>
      </c>
      <c r="AG6" s="23">
        <v>1081.2749134473399</v>
      </c>
      <c r="AH6" s="23">
        <v>1089</v>
      </c>
      <c r="AI6" s="23">
        <v>617.7579604</v>
      </c>
      <c r="AJ6" s="23">
        <v>1132.76432282</v>
      </c>
      <c r="AK6" s="23">
        <v>1145.07995192</v>
      </c>
    </row>
    <row r="7" spans="1:37" x14ac:dyDescent="0.3">
      <c r="A7" s="11" t="s">
        <v>1653</v>
      </c>
      <c r="B7" s="11" t="s">
        <v>1611</v>
      </c>
      <c r="C7" s="23"/>
      <c r="D7" s="23"/>
      <c r="E7" s="23"/>
      <c r="F7" s="23"/>
      <c r="G7" s="23"/>
      <c r="H7" s="23"/>
      <c r="I7" s="23"/>
      <c r="J7" s="23"/>
      <c r="K7" s="23"/>
      <c r="L7" s="23"/>
      <c r="M7" s="23"/>
      <c r="N7" s="50">
        <v>6795</v>
      </c>
      <c r="O7" s="23"/>
      <c r="P7" s="23"/>
      <c r="Q7" s="23"/>
      <c r="R7" s="23"/>
      <c r="S7" s="23"/>
      <c r="T7" s="23"/>
      <c r="U7" s="23"/>
      <c r="V7" s="23"/>
      <c r="W7" s="23"/>
      <c r="X7" s="23"/>
      <c r="Y7" s="23"/>
      <c r="Z7" s="23">
        <v>6795</v>
      </c>
      <c r="AA7" s="23">
        <v>5993</v>
      </c>
      <c r="AB7" s="23">
        <v>6067</v>
      </c>
      <c r="AC7" s="23">
        <v>6523</v>
      </c>
      <c r="AD7" s="23">
        <v>5796</v>
      </c>
      <c r="AE7" s="23">
        <v>5611</v>
      </c>
      <c r="AF7" s="23">
        <v>6324.3993890000002</v>
      </c>
      <c r="AG7" s="23">
        <v>6235.1378580400105</v>
      </c>
      <c r="AH7" s="23">
        <v>6154</v>
      </c>
      <c r="AI7" s="23">
        <v>3327.5201900000002</v>
      </c>
      <c r="AJ7" s="23">
        <v>6071.7303609300006</v>
      </c>
      <c r="AK7" s="23">
        <v>6276.4381480699994</v>
      </c>
    </row>
    <row r="8" spans="1:37" x14ac:dyDescent="0.3">
      <c r="A8" s="11" t="s">
        <v>1652</v>
      </c>
      <c r="B8" s="11" t="s">
        <v>1630</v>
      </c>
      <c r="C8" s="23"/>
      <c r="D8" s="23"/>
      <c r="E8" s="23"/>
      <c r="F8" s="23"/>
      <c r="G8" s="23"/>
      <c r="H8" s="23"/>
      <c r="I8" s="23"/>
      <c r="J8" s="23"/>
      <c r="K8" s="23"/>
      <c r="L8" s="23"/>
      <c r="M8" s="23"/>
      <c r="N8" s="50">
        <v>1875</v>
      </c>
      <c r="O8" s="23"/>
      <c r="P8" s="23"/>
      <c r="Q8" s="23"/>
      <c r="R8" s="23"/>
      <c r="S8" s="23"/>
      <c r="T8" s="23"/>
      <c r="U8" s="23"/>
      <c r="V8" s="23"/>
      <c r="W8" s="23"/>
      <c r="X8" s="23"/>
      <c r="Y8" s="23"/>
      <c r="Z8" s="23">
        <v>1875</v>
      </c>
      <c r="AA8" s="23">
        <v>1816</v>
      </c>
      <c r="AB8" s="23">
        <v>1821</v>
      </c>
      <c r="AC8" s="23">
        <v>1799</v>
      </c>
      <c r="AD8" s="23">
        <v>1803</v>
      </c>
      <c r="AE8" s="23">
        <v>1844</v>
      </c>
      <c r="AF8" s="23">
        <v>1877.6762570000001</v>
      </c>
      <c r="AG8" s="23">
        <v>1886.8506786544799</v>
      </c>
      <c r="AH8" s="23">
        <v>1904</v>
      </c>
      <c r="AI8" s="23">
        <v>1869.436876</v>
      </c>
      <c r="AJ8" s="23">
        <v>1879.44930161</v>
      </c>
      <c r="AK8" s="23">
        <v>1936.77415847</v>
      </c>
    </row>
    <row r="9" spans="1:37" x14ac:dyDescent="0.3">
      <c r="A9" s="11" t="s">
        <v>1651</v>
      </c>
      <c r="B9" s="11" t="s">
        <v>1628</v>
      </c>
      <c r="C9" s="23"/>
      <c r="D9" s="23"/>
      <c r="E9" s="23"/>
      <c r="F9" s="23"/>
      <c r="G9" s="23"/>
      <c r="H9" s="23"/>
      <c r="I9" s="23"/>
      <c r="J9" s="23"/>
      <c r="K9" s="23"/>
      <c r="L9" s="23"/>
      <c r="M9" s="23"/>
      <c r="N9" s="50">
        <v>2681</v>
      </c>
      <c r="O9" s="23"/>
      <c r="P9" s="23"/>
      <c r="Q9" s="23"/>
      <c r="R9" s="23"/>
      <c r="S9" s="23"/>
      <c r="T9" s="23"/>
      <c r="U9" s="23"/>
      <c r="V9" s="23"/>
      <c r="W9" s="23"/>
      <c r="X9" s="23"/>
      <c r="Y9" s="23"/>
      <c r="Z9" s="23">
        <v>2681</v>
      </c>
      <c r="AA9" s="23">
        <v>3788</v>
      </c>
      <c r="AB9" s="23">
        <v>4253</v>
      </c>
      <c r="AC9" s="23">
        <v>4525</v>
      </c>
      <c r="AD9" s="23">
        <v>5009</v>
      </c>
      <c r="AE9" s="23">
        <v>4349</v>
      </c>
      <c r="AF9" s="23">
        <v>4338.8769840000004</v>
      </c>
      <c r="AG9" s="23">
        <v>4675.9358879665806</v>
      </c>
      <c r="AH9" s="23">
        <v>5160</v>
      </c>
      <c r="AI9" s="23">
        <v>4617.419124</v>
      </c>
      <c r="AJ9" s="23">
        <v>5681.4440308899993</v>
      </c>
      <c r="AK9" s="23">
        <v>5378.6658179200003</v>
      </c>
    </row>
    <row r="10" spans="1:37" x14ac:dyDescent="0.3">
      <c r="A10" s="11" t="s">
        <v>1650</v>
      </c>
      <c r="B10" s="11" t="s">
        <v>14</v>
      </c>
      <c r="C10" s="23"/>
      <c r="D10" s="23"/>
      <c r="E10" s="23"/>
      <c r="F10" s="23"/>
      <c r="G10" s="23"/>
      <c r="H10" s="23"/>
      <c r="I10" s="23"/>
      <c r="J10" s="23"/>
      <c r="K10" s="23"/>
      <c r="L10" s="23"/>
      <c r="M10" s="23"/>
      <c r="N10" s="50">
        <v>435.32</v>
      </c>
      <c r="O10" s="23"/>
      <c r="P10" s="23"/>
      <c r="Q10" s="23"/>
      <c r="R10" s="23"/>
      <c r="S10" s="23"/>
      <c r="T10" s="23"/>
      <c r="U10" s="23"/>
      <c r="V10" s="23"/>
      <c r="W10" s="23"/>
      <c r="X10" s="23"/>
      <c r="Y10" s="23"/>
      <c r="Z10" s="23">
        <v>435.32</v>
      </c>
      <c r="AA10" s="23">
        <v>445</v>
      </c>
      <c r="AB10" s="23">
        <v>424.9</v>
      </c>
      <c r="AC10" s="23">
        <v>412</v>
      </c>
      <c r="AD10" s="23">
        <v>361</v>
      </c>
      <c r="AE10" s="23">
        <v>444</v>
      </c>
      <c r="AF10" s="23">
        <v>505.33321719999998</v>
      </c>
      <c r="AG10" s="23">
        <v>417.228799573586</v>
      </c>
      <c r="AH10" s="23">
        <v>489</v>
      </c>
      <c r="AI10" s="23">
        <v>274.16655500000002</v>
      </c>
      <c r="AJ10" s="23">
        <v>520.51562946000001</v>
      </c>
      <c r="AK10" s="23">
        <v>488.34202295</v>
      </c>
    </row>
    <row r="11" spans="1:37" x14ac:dyDescent="0.3">
      <c r="A11" s="11" t="s">
        <v>1649</v>
      </c>
      <c r="B11" s="11" t="s">
        <v>328</v>
      </c>
      <c r="C11" s="23"/>
      <c r="D11" s="23"/>
      <c r="E11" s="23"/>
      <c r="F11" s="23"/>
      <c r="G11" s="23"/>
      <c r="H11" s="23"/>
      <c r="I11" s="23"/>
      <c r="J11" s="23"/>
      <c r="K11" s="23"/>
      <c r="L11" s="23"/>
      <c r="M11" s="23"/>
      <c r="N11" s="50">
        <v>9785</v>
      </c>
      <c r="O11" s="23"/>
      <c r="P11" s="23"/>
      <c r="Q11" s="23"/>
      <c r="R11" s="23"/>
      <c r="S11" s="23"/>
      <c r="T11" s="23"/>
      <c r="U11" s="23"/>
      <c r="V11" s="23"/>
      <c r="W11" s="23"/>
      <c r="X11" s="23"/>
      <c r="Y11" s="23"/>
      <c r="Z11" s="23">
        <v>9785</v>
      </c>
      <c r="AA11" s="23">
        <v>13518</v>
      </c>
      <c r="AB11" s="23">
        <v>9314.6</v>
      </c>
      <c r="AC11" s="23">
        <v>12287</v>
      </c>
      <c r="AD11" s="23">
        <v>11057</v>
      </c>
      <c r="AE11" s="23">
        <v>7482.0590768999991</v>
      </c>
      <c r="AF11" s="23">
        <v>9949.7375520000005</v>
      </c>
      <c r="AG11" s="23">
        <v>11752.781057624799</v>
      </c>
      <c r="AH11" s="23">
        <v>10089</v>
      </c>
      <c r="AI11" s="23">
        <v>12800.677390000001</v>
      </c>
      <c r="AJ11" s="23">
        <v>8985.7575243600004</v>
      </c>
      <c r="AK11" s="23">
        <v>10753.61166918</v>
      </c>
    </row>
    <row r="12" spans="1:37" x14ac:dyDescent="0.3">
      <c r="A12" s="11" t="s">
        <v>1648</v>
      </c>
      <c r="B12" s="11" t="s">
        <v>1633</v>
      </c>
      <c r="C12" s="23"/>
      <c r="D12" s="23"/>
      <c r="E12" s="23"/>
      <c r="F12" s="23"/>
      <c r="G12" s="23"/>
      <c r="H12" s="23"/>
      <c r="I12" s="23"/>
      <c r="J12" s="23"/>
      <c r="K12" s="23"/>
      <c r="L12" s="23"/>
      <c r="M12" s="23"/>
      <c r="N12" s="50">
        <v>64</v>
      </c>
      <c r="O12" s="23"/>
      <c r="P12" s="23"/>
      <c r="Q12" s="23"/>
      <c r="R12" s="23"/>
      <c r="S12" s="23"/>
      <c r="T12" s="23"/>
      <c r="U12" s="23"/>
      <c r="V12" s="23"/>
      <c r="W12" s="23"/>
      <c r="X12" s="23"/>
      <c r="Y12" s="23"/>
      <c r="Z12" s="23">
        <v>64</v>
      </c>
      <c r="AA12" s="23">
        <v>98</v>
      </c>
      <c r="AB12" s="23">
        <v>66</v>
      </c>
      <c r="AC12" s="23">
        <v>85</v>
      </c>
      <c r="AD12" s="23">
        <v>96</v>
      </c>
      <c r="AE12" s="23">
        <v>112.5707415</v>
      </c>
      <c r="AF12" s="23">
        <v>79.17768083</v>
      </c>
      <c r="AG12" s="23">
        <v>87.413880523105902</v>
      </c>
      <c r="AH12" s="23">
        <v>83</v>
      </c>
      <c r="AI12" s="23">
        <v>94.955420509999996</v>
      </c>
      <c r="AJ12" s="23">
        <v>64.244104739999997</v>
      </c>
      <c r="AK12" s="23">
        <v>75.985959080000001</v>
      </c>
    </row>
    <row r="13" spans="1:37" x14ac:dyDescent="0.3">
      <c r="A13" s="11" t="s">
        <v>1647</v>
      </c>
      <c r="B13" s="11" t="s">
        <v>1611</v>
      </c>
      <c r="C13" s="23"/>
      <c r="D13" s="23"/>
      <c r="E13" s="23"/>
      <c r="F13" s="23"/>
      <c r="G13" s="23"/>
      <c r="H13" s="23"/>
      <c r="I13" s="23"/>
      <c r="J13" s="23"/>
      <c r="K13" s="23"/>
      <c r="L13" s="23"/>
      <c r="M13" s="23"/>
      <c r="N13" s="50">
        <v>3240</v>
      </c>
      <c r="O13" s="23"/>
      <c r="P13" s="23"/>
      <c r="Q13" s="23"/>
      <c r="R13" s="23"/>
      <c r="S13" s="23"/>
      <c r="T13" s="23"/>
      <c r="U13" s="23"/>
      <c r="V13" s="23"/>
      <c r="W13" s="23"/>
      <c r="X13" s="23"/>
      <c r="Y13" s="23"/>
      <c r="Z13" s="23">
        <v>3240</v>
      </c>
      <c r="AA13" s="23">
        <v>6893</v>
      </c>
      <c r="AB13" s="23">
        <v>3368.8</v>
      </c>
      <c r="AC13" s="23">
        <v>5955</v>
      </c>
      <c r="AD13" s="23">
        <v>4707</v>
      </c>
      <c r="AE13" s="23">
        <v>4086.3182320000001</v>
      </c>
      <c r="AF13" s="23">
        <v>3908.1602280000002</v>
      </c>
      <c r="AG13" s="23">
        <v>5400.8309331275796</v>
      </c>
      <c r="AH13" s="23">
        <v>4356</v>
      </c>
      <c r="AI13" s="23">
        <v>6344.5008790000002</v>
      </c>
      <c r="AJ13" s="23">
        <v>2647.4059739600002</v>
      </c>
      <c r="AK13" s="23">
        <v>4751.6147450599992</v>
      </c>
    </row>
    <row r="14" spans="1:37" x14ac:dyDescent="0.3">
      <c r="A14" s="11" t="s">
        <v>1646</v>
      </c>
      <c r="B14" s="11" t="s">
        <v>1630</v>
      </c>
      <c r="C14" s="23"/>
      <c r="D14" s="23"/>
      <c r="E14" s="23"/>
      <c r="F14" s="23"/>
      <c r="G14" s="23"/>
      <c r="H14" s="23"/>
      <c r="I14" s="23"/>
      <c r="J14" s="23"/>
      <c r="K14" s="23"/>
      <c r="L14" s="23"/>
      <c r="M14" s="23"/>
      <c r="N14" s="54">
        <v>4218</v>
      </c>
      <c r="O14" s="23"/>
      <c r="P14" s="23"/>
      <c r="Q14" s="23"/>
      <c r="R14" s="23"/>
      <c r="S14" s="23"/>
      <c r="T14" s="23"/>
      <c r="U14" s="23"/>
      <c r="V14" s="23"/>
      <c r="W14" s="23"/>
      <c r="X14" s="23"/>
      <c r="Y14" s="55"/>
      <c r="Z14" s="55">
        <v>4218</v>
      </c>
      <c r="AA14" s="55">
        <v>3920</v>
      </c>
      <c r="AB14" s="23">
        <v>4160</v>
      </c>
      <c r="AC14" s="23">
        <v>4094</v>
      </c>
      <c r="AD14" s="23">
        <v>4143</v>
      </c>
      <c r="AE14" s="23">
        <v>404.3063009</v>
      </c>
      <c r="AF14" s="23">
        <v>4025.58763</v>
      </c>
      <c r="AG14" s="23">
        <v>4148.9288159634498</v>
      </c>
      <c r="AH14" s="23">
        <v>3979</v>
      </c>
      <c r="AI14" s="23">
        <v>4225.8192559999998</v>
      </c>
      <c r="AJ14" s="23">
        <v>4312.2619750300009</v>
      </c>
      <c r="AK14" s="23">
        <v>4068.2717672200001</v>
      </c>
    </row>
    <row r="15" spans="1:37" x14ac:dyDescent="0.3">
      <c r="A15" s="11" t="s">
        <v>1645</v>
      </c>
      <c r="B15" s="11" t="s">
        <v>1628</v>
      </c>
      <c r="C15" s="23"/>
      <c r="D15" s="23"/>
      <c r="E15" s="23"/>
      <c r="F15" s="23"/>
      <c r="G15" s="23"/>
      <c r="H15" s="23"/>
      <c r="I15" s="23"/>
      <c r="J15" s="23"/>
      <c r="K15" s="23"/>
      <c r="L15" s="23"/>
      <c r="M15" s="23"/>
      <c r="N15" s="50">
        <v>338</v>
      </c>
      <c r="O15" s="23"/>
      <c r="P15" s="23"/>
      <c r="Q15" s="23"/>
      <c r="R15" s="23"/>
      <c r="S15" s="23"/>
      <c r="T15" s="23"/>
      <c r="U15" s="23"/>
      <c r="V15" s="23"/>
      <c r="W15" s="23"/>
      <c r="X15" s="23"/>
      <c r="Y15" s="23"/>
      <c r="Z15" s="23">
        <v>338</v>
      </c>
      <c r="AA15" s="23">
        <v>161</v>
      </c>
      <c r="AB15" s="23">
        <v>8.4600000000000009</v>
      </c>
      <c r="AC15" s="23">
        <v>81</v>
      </c>
      <c r="AD15" s="23">
        <v>57</v>
      </c>
      <c r="AE15" s="23">
        <v>155.02841749999999</v>
      </c>
      <c r="AF15" s="23">
        <v>50.538829409999998</v>
      </c>
      <c r="AG15" s="23">
        <v>49.601222422873605</v>
      </c>
      <c r="AH15" s="23">
        <v>22</v>
      </c>
      <c r="AI15" s="23">
        <v>51.064825450000001</v>
      </c>
      <c r="AJ15" s="23">
        <v>14.844955240000001</v>
      </c>
      <c r="AK15" s="23">
        <v>83.839264079999992</v>
      </c>
    </row>
    <row r="16" spans="1:37" x14ac:dyDescent="0.3">
      <c r="A16" s="11" t="s">
        <v>1644</v>
      </c>
      <c r="B16" s="11" t="s">
        <v>14</v>
      </c>
      <c r="C16" s="23"/>
      <c r="D16" s="23"/>
      <c r="E16" s="23"/>
      <c r="F16" s="23"/>
      <c r="G16" s="23"/>
      <c r="H16" s="23"/>
      <c r="I16" s="23"/>
      <c r="J16" s="23"/>
      <c r="K16" s="23"/>
      <c r="L16" s="23"/>
      <c r="M16" s="23"/>
      <c r="N16" s="50">
        <v>1926</v>
      </c>
      <c r="O16" s="23"/>
      <c r="P16" s="23"/>
      <c r="Q16" s="23"/>
      <c r="R16" s="23"/>
      <c r="S16" s="23"/>
      <c r="T16" s="23"/>
      <c r="U16" s="23"/>
      <c r="V16" s="23"/>
      <c r="W16" s="23"/>
      <c r="X16" s="23"/>
      <c r="Y16" s="23"/>
      <c r="Z16" s="23">
        <v>1926</v>
      </c>
      <c r="AA16" s="23">
        <v>2445</v>
      </c>
      <c r="AB16" s="23">
        <v>1711</v>
      </c>
      <c r="AC16" s="23">
        <v>2073</v>
      </c>
      <c r="AD16" s="23">
        <v>2054</v>
      </c>
      <c r="AE16" s="23">
        <v>2723.8353849999999</v>
      </c>
      <c r="AF16" s="23">
        <v>1886.2731839999999</v>
      </c>
      <c r="AG16" s="23">
        <v>2066.0062055877902</v>
      </c>
      <c r="AH16" s="23">
        <v>1648</v>
      </c>
      <c r="AI16" s="23">
        <v>2084.337008</v>
      </c>
      <c r="AJ16" s="23">
        <v>1947.0005153899999</v>
      </c>
      <c r="AK16" s="23">
        <v>1773.8999337400001</v>
      </c>
    </row>
    <row r="17" spans="1:37" x14ac:dyDescent="0.3">
      <c r="A17" s="11" t="s">
        <v>1643</v>
      </c>
      <c r="B17" s="11" t="s">
        <v>1642</v>
      </c>
      <c r="C17" s="23"/>
      <c r="D17" s="23"/>
      <c r="E17" s="23"/>
      <c r="F17" s="23"/>
      <c r="G17" s="23"/>
      <c r="H17" s="23"/>
      <c r="I17" s="23"/>
      <c r="J17" s="23"/>
      <c r="K17" s="23"/>
      <c r="L17" s="23"/>
      <c r="M17" s="23"/>
      <c r="N17" s="50">
        <v>6452</v>
      </c>
      <c r="O17" s="23"/>
      <c r="P17" s="23"/>
      <c r="Q17" s="23"/>
      <c r="R17" s="23"/>
      <c r="S17" s="23"/>
      <c r="T17" s="23"/>
      <c r="U17" s="23"/>
      <c r="V17" s="23"/>
      <c r="W17" s="23"/>
      <c r="X17" s="23"/>
      <c r="Y17" s="23"/>
      <c r="Z17" s="23">
        <v>6452</v>
      </c>
      <c r="AA17" s="23">
        <v>7347</v>
      </c>
      <c r="AB17" s="23">
        <v>7047</v>
      </c>
      <c r="AC17" s="23">
        <v>6211</v>
      </c>
      <c r="AD17" s="23">
        <v>7692</v>
      </c>
      <c r="AE17" s="23">
        <v>7465</v>
      </c>
      <c r="AF17" s="23">
        <v>7586.2196530000001</v>
      </c>
      <c r="AG17" s="23">
        <v>7406.9721931874901</v>
      </c>
      <c r="AH17" s="23">
        <v>7527</v>
      </c>
      <c r="AI17" s="23">
        <v>4540.6662770000003</v>
      </c>
      <c r="AJ17" s="23">
        <v>6859.1068847799997</v>
      </c>
      <c r="AK17" s="23">
        <v>7569.12773535</v>
      </c>
    </row>
    <row r="18" spans="1:37" x14ac:dyDescent="0.3">
      <c r="A18" s="11" t="s">
        <v>1641</v>
      </c>
      <c r="B18" s="11" t="s">
        <v>330</v>
      </c>
      <c r="C18" s="23"/>
      <c r="D18" s="23"/>
      <c r="E18" s="23"/>
      <c r="F18" s="23"/>
      <c r="G18" s="23"/>
      <c r="H18" s="23"/>
      <c r="I18" s="23"/>
      <c r="J18" s="23"/>
      <c r="K18" s="23"/>
      <c r="L18" s="23"/>
      <c r="M18" s="23"/>
      <c r="N18" s="50">
        <v>6452</v>
      </c>
      <c r="O18" s="23"/>
      <c r="P18" s="23"/>
      <c r="Q18" s="23"/>
      <c r="R18" s="23"/>
      <c r="S18" s="23"/>
      <c r="T18" s="23"/>
      <c r="U18" s="23"/>
      <c r="V18" s="23"/>
      <c r="W18" s="23"/>
      <c r="X18" s="23"/>
      <c r="Y18" s="23"/>
      <c r="Z18" s="23">
        <v>6452</v>
      </c>
      <c r="AA18" s="23">
        <v>7347</v>
      </c>
      <c r="AB18" s="23">
        <v>7047</v>
      </c>
      <c r="AC18" s="23">
        <v>6211</v>
      </c>
      <c r="AD18" s="23">
        <v>7692</v>
      </c>
      <c r="AE18" s="23">
        <v>7465</v>
      </c>
      <c r="AF18" s="23">
        <v>7586.2196530000001</v>
      </c>
      <c r="AG18" s="23">
        <v>7406.9721931874901</v>
      </c>
      <c r="AH18" s="23">
        <v>7527</v>
      </c>
      <c r="AI18" s="23">
        <v>4540.6662770000003</v>
      </c>
      <c r="AJ18" s="23">
        <v>6859.1068847799997</v>
      </c>
      <c r="AK18" s="23">
        <v>7569.12773535</v>
      </c>
    </row>
    <row r="19" spans="1:37" x14ac:dyDescent="0.3">
      <c r="A19" s="11" t="s">
        <v>1640</v>
      </c>
      <c r="B19" s="11" t="s">
        <v>1633</v>
      </c>
      <c r="C19" s="23"/>
      <c r="D19" s="23"/>
      <c r="E19" s="23"/>
      <c r="F19" s="23"/>
      <c r="G19" s="23"/>
      <c r="H19" s="23"/>
      <c r="I19" s="23"/>
      <c r="J19" s="23"/>
      <c r="K19" s="23"/>
      <c r="L19" s="23"/>
      <c r="M19" s="23"/>
      <c r="N19" s="50">
        <v>152</v>
      </c>
      <c r="O19" s="23"/>
      <c r="P19" s="23"/>
      <c r="Q19" s="23"/>
      <c r="R19" s="23"/>
      <c r="S19" s="23"/>
      <c r="T19" s="23"/>
      <c r="U19" s="23"/>
      <c r="V19" s="23"/>
      <c r="W19" s="23"/>
      <c r="X19" s="23"/>
      <c r="Y19" s="23"/>
      <c r="Z19" s="23">
        <v>152</v>
      </c>
      <c r="AA19" s="23">
        <v>151</v>
      </c>
      <c r="AB19" s="23">
        <v>155</v>
      </c>
      <c r="AC19" s="23">
        <v>154</v>
      </c>
      <c r="AD19" s="23">
        <v>163</v>
      </c>
      <c r="AE19" s="23">
        <v>157</v>
      </c>
      <c r="AF19" s="23">
        <v>167.04590339999999</v>
      </c>
      <c r="AG19" s="23">
        <v>168.44890494357801</v>
      </c>
      <c r="AH19" s="23">
        <v>163</v>
      </c>
      <c r="AI19" s="23">
        <v>96.876737520000006</v>
      </c>
      <c r="AJ19" s="23">
        <v>161.88278743000001</v>
      </c>
      <c r="AK19" s="23">
        <v>161.05272152000001</v>
      </c>
    </row>
    <row r="20" spans="1:37" x14ac:dyDescent="0.3">
      <c r="A20" s="11" t="s">
        <v>1639</v>
      </c>
      <c r="B20" s="11" t="s">
        <v>1611</v>
      </c>
      <c r="C20" s="23"/>
      <c r="D20" s="23"/>
      <c r="E20" s="23"/>
      <c r="F20" s="23"/>
      <c r="G20" s="23"/>
      <c r="H20" s="23"/>
      <c r="I20" s="23"/>
      <c r="J20" s="23"/>
      <c r="K20" s="23"/>
      <c r="L20" s="23"/>
      <c r="M20" s="23"/>
      <c r="N20" s="50">
        <v>3837</v>
      </c>
      <c r="O20" s="23"/>
      <c r="P20" s="23"/>
      <c r="Q20" s="23"/>
      <c r="R20" s="23"/>
      <c r="S20" s="23"/>
      <c r="T20" s="23"/>
      <c r="U20" s="23"/>
      <c r="V20" s="23"/>
      <c r="W20" s="23"/>
      <c r="X20" s="23"/>
      <c r="Y20" s="23"/>
      <c r="Z20" s="23">
        <v>3837</v>
      </c>
      <c r="AA20" s="23">
        <v>4661</v>
      </c>
      <c r="AB20" s="23">
        <v>4328</v>
      </c>
      <c r="AC20" s="23">
        <v>4256</v>
      </c>
      <c r="AD20" s="23">
        <v>4096</v>
      </c>
      <c r="AE20" s="23">
        <v>4086</v>
      </c>
      <c r="AF20" s="23">
        <v>4592.2030160000004</v>
      </c>
      <c r="AG20" s="23">
        <v>4319.2917712783301</v>
      </c>
      <c r="AH20" s="23">
        <v>4435</v>
      </c>
      <c r="AI20" s="23">
        <v>2980.5054449999998</v>
      </c>
      <c r="AJ20" s="23">
        <v>4324.2913383099994</v>
      </c>
      <c r="AK20" s="23">
        <v>4404.9686236000007</v>
      </c>
    </row>
    <row r="21" spans="1:37" x14ac:dyDescent="0.3">
      <c r="A21" s="11" t="s">
        <v>1638</v>
      </c>
      <c r="B21" s="11" t="s">
        <v>1630</v>
      </c>
      <c r="C21" s="23"/>
      <c r="D21" s="23"/>
      <c r="E21" s="23"/>
      <c r="F21" s="23"/>
      <c r="G21" s="23"/>
      <c r="H21" s="23"/>
      <c r="I21" s="23"/>
      <c r="J21" s="23"/>
      <c r="K21" s="23"/>
      <c r="L21" s="23"/>
      <c r="M21" s="23"/>
      <c r="N21" s="50">
        <v>322</v>
      </c>
      <c r="O21" s="23"/>
      <c r="P21" s="23"/>
      <c r="Q21" s="23"/>
      <c r="R21" s="23"/>
      <c r="S21" s="23"/>
      <c r="T21" s="23"/>
      <c r="U21" s="23"/>
      <c r="V21" s="23"/>
      <c r="W21" s="23"/>
      <c r="X21" s="23"/>
      <c r="Y21" s="23"/>
      <c r="Z21" s="23">
        <v>322</v>
      </c>
      <c r="AA21" s="23">
        <v>347</v>
      </c>
      <c r="AB21" s="23">
        <v>357</v>
      </c>
      <c r="AC21" s="23">
        <v>364</v>
      </c>
      <c r="AD21" s="23">
        <v>358</v>
      </c>
      <c r="AE21" s="23">
        <v>343</v>
      </c>
      <c r="AF21" s="23">
        <v>334.25195409999998</v>
      </c>
      <c r="AG21" s="23">
        <v>341.73115046216702</v>
      </c>
      <c r="AH21" s="23">
        <v>339</v>
      </c>
      <c r="AI21" s="23">
        <v>330.55830800000001</v>
      </c>
      <c r="AJ21" s="23">
        <v>319.73171894000001</v>
      </c>
      <c r="AK21" s="23">
        <v>327.02128246000012</v>
      </c>
    </row>
    <row r="22" spans="1:37" x14ac:dyDescent="0.3">
      <c r="A22" s="11" t="s">
        <v>1637</v>
      </c>
      <c r="B22" s="11" t="s">
        <v>1628</v>
      </c>
      <c r="C22" s="23"/>
      <c r="D22" s="23"/>
      <c r="E22" s="23"/>
      <c r="F22" s="23"/>
      <c r="G22" s="23"/>
      <c r="H22" s="23"/>
      <c r="I22" s="23"/>
      <c r="J22" s="23"/>
      <c r="K22" s="23"/>
      <c r="L22" s="23"/>
      <c r="M22" s="23"/>
      <c r="N22" s="50">
        <v>4</v>
      </c>
      <c r="O22" s="23"/>
      <c r="P22" s="23"/>
      <c r="Q22" s="23"/>
      <c r="R22" s="23"/>
      <c r="S22" s="23"/>
      <c r="T22" s="23"/>
      <c r="U22" s="23"/>
      <c r="V22" s="23"/>
      <c r="W22" s="23"/>
      <c r="X22" s="23"/>
      <c r="Y22" s="23"/>
      <c r="Z22" s="23">
        <v>4</v>
      </c>
      <c r="AA22" s="23">
        <v>57</v>
      </c>
      <c r="AB22" s="23">
        <v>52</v>
      </c>
      <c r="AC22" s="23">
        <v>147</v>
      </c>
      <c r="AD22" s="23">
        <v>300</v>
      </c>
      <c r="AE22" s="23">
        <v>155</v>
      </c>
      <c r="AF22" s="23">
        <v>190.3350839</v>
      </c>
      <c r="AG22" s="23">
        <v>138.225287473896</v>
      </c>
      <c r="AH22" s="23">
        <v>80</v>
      </c>
      <c r="AI22" s="23">
        <v>47.801403469999997</v>
      </c>
      <c r="AJ22" s="23">
        <v>56.908537469999999</v>
      </c>
      <c r="AK22" s="23">
        <v>0.41723454999999998</v>
      </c>
    </row>
    <row r="23" spans="1:37" x14ac:dyDescent="0.3">
      <c r="A23" s="11" t="s">
        <v>1636</v>
      </c>
      <c r="B23" s="11" t="s">
        <v>14</v>
      </c>
      <c r="C23" s="23"/>
      <c r="D23" s="23"/>
      <c r="E23" s="23"/>
      <c r="F23" s="23"/>
      <c r="G23" s="23"/>
      <c r="H23" s="23"/>
      <c r="I23" s="23"/>
      <c r="J23" s="23"/>
      <c r="K23" s="23"/>
      <c r="L23" s="23"/>
      <c r="M23" s="23"/>
      <c r="N23" s="50">
        <v>2137</v>
      </c>
      <c r="O23" s="23"/>
      <c r="P23" s="23"/>
      <c r="Q23" s="23"/>
      <c r="R23" s="23"/>
      <c r="S23" s="23"/>
      <c r="T23" s="23"/>
      <c r="U23" s="23"/>
      <c r="V23" s="23"/>
      <c r="W23" s="23"/>
      <c r="X23" s="23"/>
      <c r="Y23" s="23"/>
      <c r="Z23" s="23">
        <v>2137</v>
      </c>
      <c r="AA23" s="23">
        <v>2130</v>
      </c>
      <c r="AB23" s="23">
        <v>2156</v>
      </c>
      <c r="AC23" s="23">
        <v>1290</v>
      </c>
      <c r="AD23" s="23">
        <v>2775</v>
      </c>
      <c r="AE23" s="23">
        <v>2024</v>
      </c>
      <c r="AF23" s="23">
        <v>2302.3836959999999</v>
      </c>
      <c r="AG23" s="23">
        <v>2439.2750790295199</v>
      </c>
      <c r="AH23" s="23">
        <v>2510</v>
      </c>
      <c r="AI23" s="23">
        <v>1084.924383</v>
      </c>
      <c r="AJ23" s="23">
        <v>1996.2925026299999</v>
      </c>
      <c r="AK23" s="23">
        <v>2675.6678732199998</v>
      </c>
    </row>
    <row r="24" spans="1:37" x14ac:dyDescent="0.3">
      <c r="A24" s="11" t="s">
        <v>1635</v>
      </c>
      <c r="B24" s="11" t="s">
        <v>328</v>
      </c>
      <c r="C24" s="23"/>
      <c r="D24" s="23"/>
      <c r="E24" s="23"/>
      <c r="F24" s="23"/>
      <c r="G24" s="23"/>
      <c r="H24" s="23"/>
      <c r="I24" s="23"/>
      <c r="J24" s="23"/>
      <c r="K24" s="23"/>
      <c r="L24" s="23"/>
      <c r="M24" s="23"/>
      <c r="N24" s="50">
        <v>0</v>
      </c>
      <c r="O24" s="23"/>
      <c r="P24" s="23"/>
      <c r="Q24" s="23"/>
      <c r="R24" s="23"/>
      <c r="S24" s="23"/>
      <c r="T24" s="23"/>
      <c r="U24" s="23"/>
      <c r="V24" s="23"/>
      <c r="W24" s="23"/>
      <c r="X24" s="23"/>
      <c r="Y24" s="23"/>
      <c r="Z24" s="23">
        <v>0</v>
      </c>
      <c r="AA24" s="23">
        <v>0</v>
      </c>
      <c r="AB24" s="23">
        <v>0</v>
      </c>
      <c r="AC24" s="23">
        <v>0</v>
      </c>
      <c r="AD24" s="23">
        <v>0</v>
      </c>
      <c r="AE24" s="23">
        <v>0</v>
      </c>
      <c r="AF24" s="23">
        <v>0</v>
      </c>
      <c r="AG24" s="23">
        <v>0</v>
      </c>
      <c r="AH24" s="23">
        <v>0</v>
      </c>
      <c r="AI24" s="23">
        <v>0</v>
      </c>
      <c r="AJ24" s="23">
        <v>0</v>
      </c>
      <c r="AK24" s="23">
        <v>0</v>
      </c>
    </row>
    <row r="25" spans="1:37" x14ac:dyDescent="0.3">
      <c r="A25" s="11" t="s">
        <v>1634</v>
      </c>
      <c r="B25" s="11" t="s">
        <v>1633</v>
      </c>
      <c r="C25" s="23"/>
      <c r="D25" s="23"/>
      <c r="E25" s="23"/>
      <c r="F25" s="23"/>
      <c r="G25" s="23"/>
      <c r="H25" s="23"/>
      <c r="I25" s="23"/>
      <c r="J25" s="23"/>
      <c r="K25" s="23"/>
      <c r="L25" s="23"/>
      <c r="M25" s="23"/>
      <c r="N25" s="50">
        <v>0</v>
      </c>
      <c r="O25" s="23"/>
      <c r="P25" s="23"/>
      <c r="Q25" s="23"/>
      <c r="R25" s="23"/>
      <c r="S25" s="23"/>
      <c r="T25" s="23"/>
      <c r="U25" s="23"/>
      <c r="V25" s="23"/>
      <c r="W25" s="23"/>
      <c r="X25" s="23"/>
      <c r="Y25" s="23"/>
      <c r="Z25" s="23">
        <v>0</v>
      </c>
      <c r="AA25" s="23">
        <v>0</v>
      </c>
      <c r="AB25" s="23">
        <v>0</v>
      </c>
      <c r="AC25" s="23">
        <v>0</v>
      </c>
      <c r="AD25" s="23">
        <v>0</v>
      </c>
      <c r="AE25" s="23">
        <v>0</v>
      </c>
      <c r="AF25" s="23">
        <v>0</v>
      </c>
      <c r="AG25" s="23">
        <v>0</v>
      </c>
      <c r="AH25" s="23">
        <v>0</v>
      </c>
      <c r="AI25" s="23">
        <v>0</v>
      </c>
      <c r="AJ25" s="23">
        <v>0</v>
      </c>
      <c r="AK25" s="23">
        <v>0</v>
      </c>
    </row>
    <row r="26" spans="1:37" x14ac:dyDescent="0.3">
      <c r="A26" s="11" t="s">
        <v>1632</v>
      </c>
      <c r="B26" s="11" t="s">
        <v>1611</v>
      </c>
      <c r="C26" s="23"/>
      <c r="D26" s="23"/>
      <c r="E26" s="23"/>
      <c r="F26" s="23"/>
      <c r="G26" s="23"/>
      <c r="H26" s="23"/>
      <c r="I26" s="23"/>
      <c r="J26" s="23"/>
      <c r="K26" s="23"/>
      <c r="L26" s="23"/>
      <c r="M26" s="23"/>
      <c r="N26" s="50">
        <v>0</v>
      </c>
      <c r="O26" s="23"/>
      <c r="P26" s="23"/>
      <c r="Q26" s="23"/>
      <c r="R26" s="23"/>
      <c r="S26" s="23"/>
      <c r="T26" s="23"/>
      <c r="U26" s="23"/>
      <c r="V26" s="23"/>
      <c r="W26" s="23"/>
      <c r="X26" s="23"/>
      <c r="Y26" s="23"/>
      <c r="Z26" s="23">
        <v>0</v>
      </c>
      <c r="AA26" s="23">
        <v>0</v>
      </c>
      <c r="AB26" s="23">
        <v>0</v>
      </c>
      <c r="AC26" s="23">
        <v>0</v>
      </c>
      <c r="AD26" s="23">
        <v>0</v>
      </c>
      <c r="AE26" s="23">
        <v>0</v>
      </c>
      <c r="AF26" s="23">
        <v>0</v>
      </c>
      <c r="AG26" s="23">
        <v>0</v>
      </c>
      <c r="AH26" s="23">
        <v>0</v>
      </c>
      <c r="AI26" s="23">
        <v>0</v>
      </c>
      <c r="AJ26" s="23">
        <v>0</v>
      </c>
      <c r="AK26" s="23">
        <v>0</v>
      </c>
    </row>
    <row r="27" spans="1:37" x14ac:dyDescent="0.3">
      <c r="A27" s="11" t="s">
        <v>1631</v>
      </c>
      <c r="B27" s="11" t="s">
        <v>1630</v>
      </c>
      <c r="C27" s="23"/>
      <c r="D27" s="23"/>
      <c r="E27" s="23"/>
      <c r="F27" s="23"/>
      <c r="G27" s="23"/>
      <c r="H27" s="23"/>
      <c r="I27" s="23"/>
      <c r="J27" s="23"/>
      <c r="K27" s="23"/>
      <c r="L27" s="23"/>
      <c r="M27" s="23"/>
      <c r="N27" s="50">
        <v>0</v>
      </c>
      <c r="O27" s="23"/>
      <c r="P27" s="23"/>
      <c r="Q27" s="23"/>
      <c r="R27" s="23"/>
      <c r="S27" s="23"/>
      <c r="T27" s="23"/>
      <c r="U27" s="23"/>
      <c r="V27" s="23"/>
      <c r="W27" s="23"/>
      <c r="X27" s="23"/>
      <c r="Y27" s="23"/>
      <c r="Z27" s="23">
        <v>0</v>
      </c>
      <c r="AA27" s="23">
        <v>0</v>
      </c>
      <c r="AB27" s="23">
        <v>0</v>
      </c>
      <c r="AC27" s="23">
        <v>0</v>
      </c>
      <c r="AD27" s="23">
        <v>0</v>
      </c>
      <c r="AE27" s="23">
        <v>0</v>
      </c>
      <c r="AF27" s="23">
        <v>0</v>
      </c>
      <c r="AG27" s="23">
        <v>0</v>
      </c>
      <c r="AH27" s="23">
        <v>0</v>
      </c>
      <c r="AI27" s="23">
        <v>0</v>
      </c>
      <c r="AJ27" s="23">
        <v>0</v>
      </c>
      <c r="AK27" s="23">
        <v>0</v>
      </c>
    </row>
    <row r="28" spans="1:37" x14ac:dyDescent="0.3">
      <c r="A28" s="11" t="s">
        <v>1629</v>
      </c>
      <c r="B28" s="11" t="s">
        <v>1628</v>
      </c>
      <c r="C28" s="23"/>
      <c r="D28" s="23"/>
      <c r="E28" s="23"/>
      <c r="F28" s="23"/>
      <c r="G28" s="23"/>
      <c r="H28" s="23"/>
      <c r="I28" s="23"/>
      <c r="J28" s="23"/>
      <c r="K28" s="23"/>
      <c r="L28" s="23"/>
      <c r="M28" s="23"/>
      <c r="N28" s="50">
        <v>0</v>
      </c>
      <c r="O28" s="23"/>
      <c r="P28" s="23"/>
      <c r="Q28" s="23"/>
      <c r="R28" s="23"/>
      <c r="S28" s="23"/>
      <c r="T28" s="23"/>
      <c r="U28" s="23"/>
      <c r="V28" s="23"/>
      <c r="W28" s="23"/>
      <c r="X28" s="23"/>
      <c r="Y28" s="23"/>
      <c r="Z28" s="23">
        <v>0</v>
      </c>
      <c r="AA28" s="23">
        <v>0</v>
      </c>
      <c r="AB28" s="23">
        <v>0</v>
      </c>
      <c r="AC28" s="23">
        <v>0</v>
      </c>
      <c r="AD28" s="23">
        <v>0</v>
      </c>
      <c r="AE28" s="23">
        <v>0</v>
      </c>
      <c r="AF28" s="23">
        <v>0</v>
      </c>
      <c r="AG28" s="23">
        <v>0</v>
      </c>
      <c r="AH28" s="23">
        <v>0</v>
      </c>
      <c r="AI28" s="23">
        <v>0</v>
      </c>
      <c r="AJ28" s="23">
        <v>0</v>
      </c>
      <c r="AK28" s="23">
        <v>0</v>
      </c>
    </row>
    <row r="29" spans="1:37" x14ac:dyDescent="0.3">
      <c r="A29" s="11" t="s">
        <v>1627</v>
      </c>
      <c r="B29" s="11" t="s">
        <v>14</v>
      </c>
      <c r="C29" s="23"/>
      <c r="D29" s="23"/>
      <c r="E29" s="23"/>
      <c r="F29" s="23"/>
      <c r="G29" s="23"/>
      <c r="H29" s="23"/>
      <c r="I29" s="23"/>
      <c r="J29" s="23"/>
      <c r="K29" s="23"/>
      <c r="L29" s="23"/>
      <c r="M29" s="23"/>
      <c r="N29" s="50">
        <v>0</v>
      </c>
      <c r="O29" s="23"/>
      <c r="P29" s="23"/>
      <c r="Q29" s="23"/>
      <c r="R29" s="23"/>
      <c r="S29" s="23"/>
      <c r="T29" s="23"/>
      <c r="U29" s="23"/>
      <c r="V29" s="23"/>
      <c r="W29" s="23"/>
      <c r="X29" s="23"/>
      <c r="Y29" s="23"/>
      <c r="Z29" s="23">
        <v>0</v>
      </c>
      <c r="AA29" s="23">
        <v>0</v>
      </c>
      <c r="AB29" s="23">
        <v>0</v>
      </c>
      <c r="AC29" s="23">
        <v>0</v>
      </c>
      <c r="AD29" s="23">
        <v>0</v>
      </c>
      <c r="AE29" s="23">
        <v>0</v>
      </c>
      <c r="AF29" s="23">
        <v>0</v>
      </c>
      <c r="AG29" s="23">
        <v>0</v>
      </c>
      <c r="AH29" s="23">
        <v>0</v>
      </c>
      <c r="AI29" s="23">
        <v>0</v>
      </c>
      <c r="AJ29" s="23">
        <v>0</v>
      </c>
      <c r="AK29" s="23">
        <v>0</v>
      </c>
    </row>
    <row r="30" spans="1:37" x14ac:dyDescent="0.3">
      <c r="A30" s="92" t="s">
        <v>1626</v>
      </c>
      <c r="B30" s="92" t="s">
        <v>1625</v>
      </c>
      <c r="C30" s="23"/>
      <c r="D30" s="23"/>
      <c r="E30" s="23"/>
      <c r="F30" s="23"/>
      <c r="G30" s="23"/>
      <c r="H30" s="23"/>
      <c r="I30" s="23"/>
      <c r="J30" s="23"/>
      <c r="K30" s="23"/>
      <c r="L30" s="23"/>
      <c r="M30" s="23"/>
      <c r="N30" s="50">
        <v>30117</v>
      </c>
      <c r="O30" s="23"/>
      <c r="P30" s="23"/>
      <c r="Q30" s="23"/>
      <c r="R30" s="23"/>
      <c r="S30" s="23"/>
      <c r="T30" s="23"/>
      <c r="U30" s="23"/>
      <c r="V30" s="23"/>
      <c r="W30" s="23"/>
      <c r="X30" s="23"/>
      <c r="Y30" s="23"/>
      <c r="Z30" s="23">
        <v>30117</v>
      </c>
      <c r="AA30" s="23">
        <v>35034</v>
      </c>
      <c r="AB30" s="23">
        <v>30543</v>
      </c>
      <c r="AC30" s="23">
        <v>34976</v>
      </c>
      <c r="AD30" s="23">
        <v>33797</v>
      </c>
      <c r="AE30" s="23">
        <v>35547</v>
      </c>
      <c r="AF30" s="23">
        <v>31541</v>
      </c>
      <c r="AG30" s="23">
        <v>34667.100769999997</v>
      </c>
      <c r="AH30" s="50">
        <v>31873.57937668305</v>
      </c>
      <c r="AI30" s="50">
        <v>36123.174939999997</v>
      </c>
      <c r="AJ30" s="50">
        <v>32875.131379834791</v>
      </c>
      <c r="AK30" s="50">
        <v>33664.572257594496</v>
      </c>
    </row>
    <row r="31" spans="1:37" x14ac:dyDescent="0.3">
      <c r="A31" s="11" t="s">
        <v>1624</v>
      </c>
      <c r="B31" s="11" t="s">
        <v>1623</v>
      </c>
      <c r="C31" s="23"/>
      <c r="D31" s="23"/>
      <c r="E31" s="23"/>
      <c r="F31" s="23"/>
      <c r="G31" s="23"/>
      <c r="H31" s="23"/>
      <c r="I31" s="23"/>
      <c r="J31" s="23"/>
      <c r="K31" s="23"/>
      <c r="L31" s="23"/>
      <c r="M31" s="23"/>
      <c r="N31" s="51">
        <v>13030</v>
      </c>
      <c r="O31" s="23"/>
      <c r="P31" s="23"/>
      <c r="Q31" s="23"/>
      <c r="R31" s="23"/>
      <c r="S31" s="23"/>
      <c r="T31" s="23"/>
      <c r="U31" s="23"/>
      <c r="V31" s="23"/>
      <c r="W31" s="23"/>
      <c r="X31" s="23"/>
      <c r="Y31" s="31"/>
      <c r="Z31" s="31">
        <v>13030</v>
      </c>
      <c r="AA31" s="31">
        <v>14347</v>
      </c>
      <c r="AB31" s="31">
        <v>14506</v>
      </c>
      <c r="AC31" s="31">
        <v>14777</v>
      </c>
      <c r="AD31" s="31">
        <v>15254</v>
      </c>
      <c r="AE31" s="31">
        <v>14443</v>
      </c>
      <c r="AF31" s="31"/>
      <c r="AG31" s="31">
        <v>15356.39926</v>
      </c>
      <c r="AH31" s="31">
        <v>15820.605520700001</v>
      </c>
      <c r="AI31" s="31">
        <v>15242.547612460001</v>
      </c>
      <c r="AJ31" s="31">
        <v>16171.873136525001</v>
      </c>
      <c r="AK31" s="31">
        <v>16439.359307170002</v>
      </c>
    </row>
    <row r="32" spans="1:37" x14ac:dyDescent="0.3">
      <c r="A32" s="11" t="s">
        <v>1622</v>
      </c>
      <c r="B32" s="11" t="s">
        <v>1575</v>
      </c>
      <c r="C32" s="23"/>
      <c r="D32" s="23"/>
      <c r="E32" s="23"/>
      <c r="F32" s="23"/>
      <c r="G32" s="23"/>
      <c r="H32" s="23"/>
      <c r="I32" s="23"/>
      <c r="J32" s="23"/>
      <c r="K32" s="23"/>
      <c r="L32" s="23"/>
      <c r="M32" s="23"/>
      <c r="N32" s="50">
        <v>2608.2422740000002</v>
      </c>
      <c r="O32" s="23"/>
      <c r="P32" s="23"/>
      <c r="Q32" s="23"/>
      <c r="R32" s="23"/>
      <c r="S32" s="23"/>
      <c r="T32" s="23"/>
      <c r="U32" s="23"/>
      <c r="V32" s="23"/>
      <c r="W32" s="23"/>
      <c r="X32" s="23"/>
      <c r="Y32" s="23"/>
      <c r="Z32" s="23">
        <v>2608.2422740000002</v>
      </c>
      <c r="AA32" s="23">
        <v>3740.3789379999998</v>
      </c>
      <c r="AB32" s="23">
        <v>4126.445033</v>
      </c>
      <c r="AC32" s="23">
        <v>4545.6596022195026</v>
      </c>
      <c r="AD32" s="23">
        <v>5148</v>
      </c>
      <c r="AE32" s="23">
        <v>4372</v>
      </c>
      <c r="AF32" s="23"/>
      <c r="AG32" s="23">
        <v>4688.8670670000001</v>
      </c>
      <c r="AH32" s="23">
        <v>5096.8566097656167</v>
      </c>
      <c r="AI32" s="23">
        <v>4481.0462596696061</v>
      </c>
      <c r="AJ32" s="23">
        <v>5693.2638854037104</v>
      </c>
      <c r="AK32" s="23">
        <v>5330.9684591512059</v>
      </c>
    </row>
    <row r="33" spans="1:37" x14ac:dyDescent="0.3">
      <c r="A33" s="11" t="s">
        <v>1621</v>
      </c>
      <c r="B33" s="11" t="s">
        <v>14</v>
      </c>
      <c r="C33" s="23"/>
      <c r="D33" s="23"/>
      <c r="E33" s="23"/>
      <c r="F33" s="23"/>
      <c r="G33" s="23"/>
      <c r="H33" s="23"/>
      <c r="I33" s="23"/>
      <c r="J33" s="23"/>
      <c r="K33" s="23"/>
      <c r="L33" s="23"/>
      <c r="M33" s="23"/>
      <c r="N33" s="50">
        <v>1134.562103</v>
      </c>
      <c r="O33" s="23"/>
      <c r="P33" s="23"/>
      <c r="Q33" s="23"/>
      <c r="R33" s="23"/>
      <c r="S33" s="23"/>
      <c r="T33" s="23"/>
      <c r="U33" s="23"/>
      <c r="V33" s="23"/>
      <c r="W33" s="23"/>
      <c r="X33" s="23"/>
      <c r="Y33" s="23"/>
      <c r="Z33" s="23">
        <v>1134.562103</v>
      </c>
      <c r="AA33" s="23">
        <v>1162.951364</v>
      </c>
      <c r="AB33" s="23">
        <v>1160.7413899999999</v>
      </c>
      <c r="AC33" s="23">
        <v>821.93452579999996</v>
      </c>
      <c r="AD33" s="23">
        <v>1332</v>
      </c>
      <c r="AE33" s="23">
        <v>1377</v>
      </c>
      <c r="AF33" s="23"/>
      <c r="AG33" s="23">
        <v>1308.4194090000001</v>
      </c>
      <c r="AH33" s="23">
        <v>1306.8982922752471</v>
      </c>
      <c r="AI33" s="23">
        <v>1302.3153321375769</v>
      </c>
      <c r="AJ33" s="23">
        <v>1142.1874517914</v>
      </c>
      <c r="AK33" s="23">
        <v>1440.825962021654</v>
      </c>
    </row>
    <row r="34" spans="1:37" x14ac:dyDescent="0.3">
      <c r="A34" s="11" t="s">
        <v>1620</v>
      </c>
      <c r="B34" s="11" t="s">
        <v>1572</v>
      </c>
      <c r="C34" s="23"/>
      <c r="D34" s="23"/>
      <c r="E34" s="23"/>
      <c r="F34" s="23"/>
      <c r="G34" s="23"/>
      <c r="H34" s="23"/>
      <c r="I34" s="23"/>
      <c r="J34" s="23"/>
      <c r="K34" s="23"/>
      <c r="L34" s="23"/>
      <c r="M34" s="23"/>
      <c r="N34" s="50">
        <v>2197</v>
      </c>
      <c r="O34" s="23"/>
      <c r="P34" s="23"/>
      <c r="Q34" s="23"/>
      <c r="R34" s="23"/>
      <c r="S34" s="23"/>
      <c r="T34" s="23"/>
      <c r="U34" s="23"/>
      <c r="V34" s="23"/>
      <c r="W34" s="23"/>
      <c r="X34" s="23"/>
      <c r="Y34" s="23"/>
      <c r="Z34" s="23">
        <v>2197</v>
      </c>
      <c r="AA34" s="23">
        <v>2164</v>
      </c>
      <c r="AB34" s="23">
        <v>2178</v>
      </c>
      <c r="AC34" s="23">
        <v>2162</v>
      </c>
      <c r="AD34" s="23">
        <v>2162</v>
      </c>
      <c r="AE34" s="23">
        <v>2187</v>
      </c>
      <c r="AF34" s="23"/>
      <c r="AG34" s="23">
        <v>2228.5818319999998</v>
      </c>
      <c r="AH34" s="23">
        <v>2244.842423479306</v>
      </c>
      <c r="AI34" s="23">
        <v>2714.3738880746241</v>
      </c>
      <c r="AJ34" s="23">
        <v>2232.96285988211</v>
      </c>
      <c r="AK34" s="23">
        <v>2294.7479449142111</v>
      </c>
    </row>
    <row r="35" spans="1:37" x14ac:dyDescent="0.3">
      <c r="A35" s="11" t="s">
        <v>1619</v>
      </c>
      <c r="B35" s="11" t="s">
        <v>1611</v>
      </c>
      <c r="C35" s="23"/>
      <c r="D35" s="23"/>
      <c r="E35" s="23"/>
      <c r="F35" s="23"/>
      <c r="G35" s="23"/>
      <c r="H35" s="23"/>
      <c r="I35" s="23"/>
      <c r="J35" s="23"/>
      <c r="K35" s="23"/>
      <c r="L35" s="23"/>
      <c r="M35" s="23"/>
      <c r="N35" s="50">
        <v>6366.0669980000002</v>
      </c>
      <c r="O35" s="23"/>
      <c r="P35" s="23"/>
      <c r="Q35" s="23"/>
      <c r="R35" s="23"/>
      <c r="S35" s="23"/>
      <c r="T35" s="23"/>
      <c r="U35" s="23"/>
      <c r="V35" s="23"/>
      <c r="W35" s="23"/>
      <c r="X35" s="23"/>
      <c r="Y35" s="23"/>
      <c r="Z35" s="23">
        <v>6366.0669980000002</v>
      </c>
      <c r="AA35" s="23">
        <v>6591.548941</v>
      </c>
      <c r="AB35" s="23">
        <v>6331.2761730000002</v>
      </c>
      <c r="AC35" s="23">
        <v>6550.8897200000001</v>
      </c>
      <c r="AD35" s="23">
        <v>5917</v>
      </c>
      <c r="AE35" s="23">
        <v>5812</v>
      </c>
      <c r="AF35" s="23"/>
      <c r="AG35" s="23">
        <v>6415.364885</v>
      </c>
      <c r="AH35" s="23">
        <v>6454.7094803231357</v>
      </c>
      <c r="AI35" s="23">
        <v>6058.3682717764832</v>
      </c>
      <c r="AJ35" s="23">
        <v>6352.6429836073758</v>
      </c>
      <c r="AK35" s="23">
        <v>6617.4843260833204</v>
      </c>
    </row>
    <row r="36" spans="1:37" x14ac:dyDescent="0.3">
      <c r="A36" s="11" t="s">
        <v>1618</v>
      </c>
      <c r="B36" s="11" t="s">
        <v>1568</v>
      </c>
      <c r="C36" s="23"/>
      <c r="D36" s="23"/>
      <c r="E36" s="23"/>
      <c r="F36" s="23"/>
      <c r="G36" s="23"/>
      <c r="H36" s="23"/>
      <c r="I36" s="23"/>
      <c r="J36" s="23"/>
      <c r="K36" s="23"/>
      <c r="L36" s="23"/>
      <c r="M36" s="23"/>
      <c r="N36" s="50">
        <v>704</v>
      </c>
      <c r="O36" s="23"/>
      <c r="P36" s="23"/>
      <c r="Q36" s="23"/>
      <c r="R36" s="23"/>
      <c r="S36" s="23"/>
      <c r="T36" s="23"/>
      <c r="U36" s="23"/>
      <c r="V36" s="23"/>
      <c r="W36" s="23"/>
      <c r="X36" s="23"/>
      <c r="Y36" s="23"/>
      <c r="Z36" s="23">
        <v>704</v>
      </c>
      <c r="AA36" s="23">
        <v>689</v>
      </c>
      <c r="AB36" s="23">
        <v>710</v>
      </c>
      <c r="AC36" s="23">
        <v>669</v>
      </c>
      <c r="AD36" s="23">
        <v>696</v>
      </c>
      <c r="AE36" s="23">
        <v>696</v>
      </c>
      <c r="AF36" s="23"/>
      <c r="AG36" s="23">
        <v>715.16606430000002</v>
      </c>
      <c r="AH36" s="23">
        <v>717.29871485669491</v>
      </c>
      <c r="AI36" s="23">
        <v>686.44386080170807</v>
      </c>
      <c r="AJ36" s="23">
        <v>750.81595584040497</v>
      </c>
      <c r="AK36" s="23">
        <v>755.33261499960895</v>
      </c>
    </row>
    <row r="37" spans="1:37" x14ac:dyDescent="0.3">
      <c r="A37" s="11" t="s">
        <v>1617</v>
      </c>
      <c r="B37" s="11" t="s">
        <v>1616</v>
      </c>
      <c r="C37" s="23"/>
      <c r="D37" s="23"/>
      <c r="E37" s="23"/>
      <c r="F37" s="23"/>
      <c r="G37" s="23"/>
      <c r="H37" s="23"/>
      <c r="I37" s="23"/>
      <c r="J37" s="23"/>
      <c r="K37" s="23"/>
      <c r="L37" s="23"/>
      <c r="M37" s="23"/>
      <c r="N37" s="50">
        <f>N38+N39+N40+N41+N42</f>
        <v>9548.7632405999993</v>
      </c>
      <c r="O37" s="23"/>
      <c r="P37" s="23"/>
      <c r="Q37" s="23"/>
      <c r="R37" s="23"/>
      <c r="S37" s="23"/>
      <c r="T37" s="23"/>
      <c r="U37" s="23"/>
      <c r="V37" s="23"/>
      <c r="W37" s="23"/>
      <c r="X37" s="23"/>
      <c r="Y37" s="23"/>
      <c r="Z37" s="23">
        <f>Z38+Z39+Z40+Z41+Z42</f>
        <v>9548.7632405999993</v>
      </c>
      <c r="AA37" s="23">
        <v>13219.91140481</v>
      </c>
      <c r="AB37" s="23">
        <v>9171.0542160000005</v>
      </c>
      <c r="AC37" s="23">
        <v>12099.5909311</v>
      </c>
      <c r="AD37" s="23">
        <v>10767</v>
      </c>
      <c r="AE37" s="23">
        <v>13534</v>
      </c>
      <c r="AF37" s="23"/>
      <c r="AG37" s="23">
        <v>11594.59676</v>
      </c>
      <c r="AH37" s="23">
        <v>9972.0922217650004</v>
      </c>
      <c r="AI37" s="23">
        <v>12800.650716214999</v>
      </c>
      <c r="AJ37" s="23">
        <v>8845.295204805001</v>
      </c>
      <c r="AK37" s="23">
        <v>10646.794870014999</v>
      </c>
    </row>
    <row r="38" spans="1:37" x14ac:dyDescent="0.3">
      <c r="A38" s="11" t="s">
        <v>1615</v>
      </c>
      <c r="B38" s="11" t="s">
        <v>1575</v>
      </c>
      <c r="C38" s="23"/>
      <c r="D38" s="23"/>
      <c r="E38" s="23"/>
      <c r="F38" s="23"/>
      <c r="G38" s="23"/>
      <c r="H38" s="23"/>
      <c r="I38" s="23"/>
      <c r="J38" s="23"/>
      <c r="K38" s="23"/>
      <c r="L38" s="23"/>
      <c r="M38" s="23"/>
      <c r="N38" s="50">
        <v>321.39068859999998</v>
      </c>
      <c r="O38" s="23"/>
      <c r="P38" s="23"/>
      <c r="Q38" s="23"/>
      <c r="R38" s="23"/>
      <c r="S38" s="23"/>
      <c r="T38" s="23"/>
      <c r="U38" s="23"/>
      <c r="V38" s="23"/>
      <c r="W38" s="23"/>
      <c r="X38" s="23"/>
      <c r="Y38" s="23"/>
      <c r="Z38" s="23">
        <v>321.39068859999998</v>
      </c>
      <c r="AA38" s="23">
        <v>144.31200899999999</v>
      </c>
      <c r="AB38" s="23">
        <v>8.4648594310000007</v>
      </c>
      <c r="AC38" s="23">
        <v>65.253883160000001</v>
      </c>
      <c r="AD38" s="23">
        <v>41</v>
      </c>
      <c r="AE38" s="23">
        <v>65</v>
      </c>
      <c r="AF38" s="23"/>
      <c r="AG38" s="23">
        <v>33.998237305716998</v>
      </c>
      <c r="AH38" s="23">
        <v>17.553788602651409</v>
      </c>
      <c r="AI38" s="23">
        <v>51.064522231963281</v>
      </c>
      <c r="AJ38" s="23">
        <v>9.9392141820112077</v>
      </c>
      <c r="AK38" s="23">
        <v>78.924406971182648</v>
      </c>
    </row>
    <row r="39" spans="1:37" x14ac:dyDescent="0.3">
      <c r="A39" s="11" t="s">
        <v>1614</v>
      </c>
      <c r="B39" s="11" t="s">
        <v>14</v>
      </c>
      <c r="C39" s="23"/>
      <c r="D39" s="23"/>
      <c r="E39" s="23"/>
      <c r="F39" s="23"/>
      <c r="G39" s="23"/>
      <c r="H39" s="23"/>
      <c r="I39" s="23"/>
      <c r="J39" s="23"/>
      <c r="K39" s="23"/>
      <c r="L39" s="23"/>
      <c r="M39" s="23"/>
      <c r="N39" s="50">
        <v>1924.115292</v>
      </c>
      <c r="O39" s="23"/>
      <c r="P39" s="23"/>
      <c r="Q39" s="23"/>
      <c r="R39" s="23"/>
      <c r="S39" s="23"/>
      <c r="T39" s="23"/>
      <c r="U39" s="23"/>
      <c r="V39" s="23"/>
      <c r="W39" s="23"/>
      <c r="X39" s="23"/>
      <c r="Y39" s="23"/>
      <c r="Z39" s="23">
        <v>1924.115292</v>
      </c>
      <c r="AA39" s="23">
        <v>2439.9149470000002</v>
      </c>
      <c r="AB39" s="23">
        <v>1709.360416</v>
      </c>
      <c r="AC39" s="23">
        <v>2070.9724329999999</v>
      </c>
      <c r="AD39" s="23">
        <v>2052</v>
      </c>
      <c r="AE39" s="23">
        <v>2088</v>
      </c>
      <c r="AF39" s="23"/>
      <c r="AG39" s="23">
        <v>2064.2120954994598</v>
      </c>
      <c r="AH39" s="23">
        <v>1642.1329021229301</v>
      </c>
      <c r="AI39" s="23">
        <v>2084.33690739955</v>
      </c>
      <c r="AJ39" s="23">
        <v>1926.2705788693099</v>
      </c>
      <c r="AK39" s="23">
        <v>1766.805713507717</v>
      </c>
    </row>
    <row r="40" spans="1:37" x14ac:dyDescent="0.3">
      <c r="A40" s="11" t="s">
        <v>1613</v>
      </c>
      <c r="B40" s="11" t="s">
        <v>1572</v>
      </c>
      <c r="C40" s="23"/>
      <c r="D40" s="23"/>
      <c r="E40" s="23"/>
      <c r="F40" s="23"/>
      <c r="G40" s="23"/>
      <c r="H40" s="23"/>
      <c r="I40" s="23"/>
      <c r="J40" s="23"/>
      <c r="K40" s="23"/>
      <c r="L40" s="23"/>
      <c r="M40" s="23"/>
      <c r="N40" s="50">
        <v>4218</v>
      </c>
      <c r="O40" s="23"/>
      <c r="P40" s="23"/>
      <c r="Q40" s="23"/>
      <c r="R40" s="23"/>
      <c r="S40" s="23"/>
      <c r="T40" s="23"/>
      <c r="U40" s="23"/>
      <c r="V40" s="23"/>
      <c r="W40" s="23"/>
      <c r="X40" s="23"/>
      <c r="Y40" s="23"/>
      <c r="Z40" s="23">
        <v>4218</v>
      </c>
      <c r="AA40" s="23">
        <v>3920</v>
      </c>
      <c r="AB40" s="23">
        <v>4160</v>
      </c>
      <c r="AC40" s="23">
        <v>4094</v>
      </c>
      <c r="AD40" s="23">
        <v>4143</v>
      </c>
      <c r="AE40" s="23">
        <v>4167</v>
      </c>
      <c r="AF40" s="23"/>
      <c r="AG40" s="23">
        <v>4148.9288159634498</v>
      </c>
      <c r="AH40" s="23">
        <v>3978.5540321556991</v>
      </c>
      <c r="AI40" s="23">
        <v>4225.8192564273832</v>
      </c>
      <c r="AJ40" s="23">
        <v>4312.2619749997693</v>
      </c>
      <c r="AK40" s="23">
        <v>4068.271767221192</v>
      </c>
    </row>
    <row r="41" spans="1:37" x14ac:dyDescent="0.3">
      <c r="A41" s="11" t="s">
        <v>1612</v>
      </c>
      <c r="B41" s="11" t="s">
        <v>1611</v>
      </c>
      <c r="C41" s="23"/>
      <c r="D41" s="23"/>
      <c r="E41" s="23"/>
      <c r="F41" s="23"/>
      <c r="G41" s="23"/>
      <c r="H41" s="23"/>
      <c r="I41" s="23"/>
      <c r="J41" s="23"/>
      <c r="K41" s="23"/>
      <c r="L41" s="23"/>
      <c r="M41" s="23"/>
      <c r="N41" s="50">
        <v>3024.2572599999999</v>
      </c>
      <c r="O41" s="23"/>
      <c r="P41" s="23"/>
      <c r="Q41" s="23"/>
      <c r="R41" s="23"/>
      <c r="S41" s="23"/>
      <c r="T41" s="23"/>
      <c r="U41" s="23"/>
      <c r="V41" s="23"/>
      <c r="W41" s="23"/>
      <c r="X41" s="23"/>
      <c r="Y41" s="23"/>
      <c r="Z41" s="23">
        <v>3024.2572599999999</v>
      </c>
      <c r="AA41" s="23">
        <v>6621.3841110000003</v>
      </c>
      <c r="AB41" s="23">
        <v>3229.65967</v>
      </c>
      <c r="AC41" s="23">
        <v>5787.6027430000004</v>
      </c>
      <c r="AD41" s="23">
        <v>444</v>
      </c>
      <c r="AE41" s="23">
        <v>7111</v>
      </c>
      <c r="AF41" s="23"/>
      <c r="AG41" s="23">
        <v>5262.5578755433298</v>
      </c>
      <c r="AH41" s="23">
        <v>4254.1577039338536</v>
      </c>
      <c r="AI41" s="23">
        <v>6344.4755824835374</v>
      </c>
      <c r="AJ41" s="23">
        <v>2536.3315665791411</v>
      </c>
      <c r="AK41" s="23">
        <v>4660.0470765635164</v>
      </c>
    </row>
    <row r="42" spans="1:37" x14ac:dyDescent="0.3">
      <c r="A42" s="53" t="s">
        <v>1610</v>
      </c>
      <c r="B42" s="11" t="s">
        <v>1568</v>
      </c>
      <c r="C42" s="23"/>
      <c r="D42" s="23"/>
      <c r="E42" s="23"/>
      <c r="F42" s="23"/>
      <c r="G42" s="23"/>
      <c r="H42" s="23"/>
      <c r="I42" s="23"/>
      <c r="J42" s="23"/>
      <c r="K42" s="23"/>
      <c r="L42" s="23"/>
      <c r="M42" s="23"/>
      <c r="N42" s="50">
        <v>61</v>
      </c>
      <c r="O42" s="23"/>
      <c r="P42" s="23"/>
      <c r="Q42" s="23"/>
      <c r="R42" s="23"/>
      <c r="S42" s="23"/>
      <c r="T42" s="23"/>
      <c r="U42" s="23"/>
      <c r="V42" s="23"/>
      <c r="W42" s="23"/>
      <c r="X42" s="23"/>
      <c r="Y42" s="23"/>
      <c r="Z42" s="23">
        <v>61</v>
      </c>
      <c r="AA42" s="23">
        <v>95</v>
      </c>
      <c r="AB42" s="23">
        <v>63</v>
      </c>
      <c r="AC42" s="23">
        <v>82</v>
      </c>
      <c r="AD42" s="23">
        <v>91</v>
      </c>
      <c r="AE42" s="23">
        <v>103</v>
      </c>
      <c r="AF42" s="23"/>
      <c r="AG42" s="23">
        <v>84.873793911921496</v>
      </c>
      <c r="AH42" s="23">
        <v>79.69379494986535</v>
      </c>
      <c r="AI42" s="23">
        <v>94.954447672567767</v>
      </c>
      <c r="AJ42" s="23">
        <v>60.491870174767087</v>
      </c>
      <c r="AK42" s="23">
        <v>72.745905751390779</v>
      </c>
    </row>
    <row r="43" spans="1:37" x14ac:dyDescent="0.3">
      <c r="A43" s="11" t="s">
        <v>1609</v>
      </c>
      <c r="B43" s="11" t="s">
        <v>1608</v>
      </c>
      <c r="C43" s="23"/>
      <c r="D43" s="23"/>
      <c r="E43" s="23"/>
      <c r="F43" s="23"/>
      <c r="G43" s="23"/>
      <c r="H43" s="23"/>
      <c r="I43" s="23"/>
      <c r="J43" s="23"/>
      <c r="K43" s="23"/>
      <c r="L43" s="23"/>
      <c r="M43" s="23"/>
      <c r="N43" s="50">
        <f t="shared" ref="N43" si="0">N30+N3-(N31+N37)</f>
        <v>32319.942576516652</v>
      </c>
      <c r="O43" s="23"/>
      <c r="P43" s="23"/>
      <c r="Q43" s="23"/>
      <c r="R43" s="23"/>
      <c r="S43" s="23"/>
      <c r="T43" s="23"/>
      <c r="U43" s="23"/>
      <c r="V43" s="23"/>
      <c r="W43" s="23"/>
      <c r="X43" s="23"/>
      <c r="Y43" s="23"/>
      <c r="Z43" s="23">
        <f t="shared" ref="Z43:AC43" si="1">Z30+Z3-(Z31+Z37)</f>
        <v>36665.236759400002</v>
      </c>
      <c r="AA43" s="23">
        <f t="shared" si="1"/>
        <v>41417.088595189998</v>
      </c>
      <c r="AB43" s="23">
        <f t="shared" si="1"/>
        <v>36870.945783999996</v>
      </c>
      <c r="AC43" s="23">
        <f t="shared" si="1"/>
        <v>40907.4090689</v>
      </c>
      <c r="AD43" s="23">
        <v>40549</v>
      </c>
      <c r="AE43" s="23">
        <v>42011</v>
      </c>
      <c r="AF43" s="23">
        <v>38237.969200494714</v>
      </c>
      <c r="AG43" s="23">
        <v>41172.286138494288</v>
      </c>
      <c r="AH43" s="23">
        <v>38493.476529526983</v>
      </c>
      <c r="AI43" s="23">
        <v>43323.524548447953</v>
      </c>
      <c r="AJ43" s="23">
        <v>38988.7310933548</v>
      </c>
      <c r="AK43" s="23">
        <v>40126.457584269498</v>
      </c>
    </row>
    <row r="44" spans="1:37" x14ac:dyDescent="0.3">
      <c r="A44" s="11" t="s">
        <v>1607</v>
      </c>
      <c r="B44" s="11" t="s">
        <v>1606</v>
      </c>
      <c r="C44" s="23"/>
      <c r="D44" s="23"/>
      <c r="E44" s="23"/>
      <c r="F44" s="23"/>
      <c r="G44" s="23"/>
      <c r="H44" s="23"/>
      <c r="I44" s="23"/>
      <c r="J44" s="23"/>
      <c r="K44" s="23"/>
      <c r="L44" s="23"/>
      <c r="M44" s="23"/>
      <c r="N44" s="50">
        <v>3746.969971</v>
      </c>
      <c r="O44" s="23"/>
      <c r="P44" s="23"/>
      <c r="Q44" s="23"/>
      <c r="R44" s="23"/>
      <c r="S44" s="23"/>
      <c r="T44" s="23"/>
      <c r="U44" s="23"/>
      <c r="V44" s="23"/>
      <c r="W44" s="23"/>
      <c r="X44" s="23"/>
      <c r="Y44" s="23"/>
      <c r="Z44" s="23">
        <v>3746.969971</v>
      </c>
      <c r="AA44" s="23">
        <v>4870.32</v>
      </c>
      <c r="AB44" s="23">
        <v>4449.1455699999997</v>
      </c>
      <c r="AC44" s="23">
        <v>4039</v>
      </c>
      <c r="AD44" s="23">
        <v>5156</v>
      </c>
      <c r="AE44" s="23">
        <v>5148</v>
      </c>
      <c r="AF44" s="23"/>
      <c r="AG44" s="23">
        <v>6122.5047549999999</v>
      </c>
      <c r="AH44" s="23">
        <v>5876.3542338432371</v>
      </c>
      <c r="AI44" s="23">
        <v>5509.7667650000003</v>
      </c>
      <c r="AJ44" s="23">
        <v>4697.6652836660996</v>
      </c>
      <c r="AK44" s="23">
        <v>5978.6543148100855</v>
      </c>
    </row>
    <row r="45" spans="1:37" x14ac:dyDescent="0.3">
      <c r="A45" s="11" t="s">
        <v>1605</v>
      </c>
      <c r="B45" s="11" t="s">
        <v>1604</v>
      </c>
      <c r="C45" s="23"/>
      <c r="D45" s="23"/>
      <c r="E45" s="23"/>
      <c r="F45" s="23"/>
      <c r="G45" s="23"/>
      <c r="H45" s="23"/>
      <c r="I45" s="23"/>
      <c r="J45" s="23"/>
      <c r="K45" s="23"/>
      <c r="L45" s="23"/>
      <c r="M45" s="23"/>
      <c r="N45" s="50">
        <v>10469.387339999999</v>
      </c>
      <c r="O45" s="23"/>
      <c r="P45" s="23"/>
      <c r="Q45" s="23"/>
      <c r="R45" s="23"/>
      <c r="S45" s="23"/>
      <c r="T45" s="23"/>
      <c r="U45" s="23"/>
      <c r="V45" s="23"/>
      <c r="W45" s="23"/>
      <c r="X45" s="23"/>
      <c r="Y45" s="23"/>
      <c r="Z45" s="23">
        <v>10469.387339999999</v>
      </c>
      <c r="AA45" s="23">
        <v>13274.245658799999</v>
      </c>
      <c r="AB45" s="23">
        <v>13115.605079999999</v>
      </c>
      <c r="AC45" s="23">
        <v>12494</v>
      </c>
      <c r="AD45" s="23">
        <v>13619</v>
      </c>
      <c r="AE45" s="23">
        <v>13412</v>
      </c>
      <c r="AF45" s="23"/>
      <c r="AG45" s="23">
        <v>13836.787490000001</v>
      </c>
      <c r="AH45" s="23">
        <v>14253.978906750121</v>
      </c>
      <c r="AI45" s="23">
        <v>14451.340910000001</v>
      </c>
      <c r="AJ45" s="23">
        <v>14729.719652715979</v>
      </c>
      <c r="AK45" s="23">
        <v>14339.8018165459</v>
      </c>
    </row>
    <row r="46" spans="1:37" x14ac:dyDescent="0.3">
      <c r="A46" s="11" t="s">
        <v>1603</v>
      </c>
      <c r="B46" s="11" t="s">
        <v>1602</v>
      </c>
      <c r="C46" s="23"/>
      <c r="D46" s="23"/>
      <c r="E46" s="23"/>
      <c r="F46" s="23"/>
      <c r="G46" s="23"/>
      <c r="H46" s="23"/>
      <c r="I46" s="23"/>
      <c r="J46" s="23"/>
      <c r="K46" s="23"/>
      <c r="L46" s="23"/>
      <c r="M46" s="23"/>
      <c r="N46" s="50">
        <f t="shared" ref="N46" si="2">N45-N44</f>
        <v>6722.4173689999989</v>
      </c>
      <c r="O46" s="23"/>
      <c r="P46" s="23"/>
      <c r="Q46" s="23"/>
      <c r="R46" s="23"/>
      <c r="S46" s="23"/>
      <c r="T46" s="23"/>
      <c r="U46" s="23"/>
      <c r="V46" s="23"/>
      <c r="W46" s="23"/>
      <c r="X46" s="23"/>
      <c r="Y46" s="23"/>
      <c r="Z46" s="23">
        <f t="shared" ref="Z46:AD46" si="3">Z45-Z44</f>
        <v>6722.4173689999989</v>
      </c>
      <c r="AA46" s="23">
        <f t="shared" si="3"/>
        <v>8403.9256587999989</v>
      </c>
      <c r="AB46" s="23">
        <f t="shared" si="3"/>
        <v>8666.4595100000006</v>
      </c>
      <c r="AC46" s="23">
        <f t="shared" si="3"/>
        <v>8455</v>
      </c>
      <c r="AD46" s="23">
        <f t="shared" si="3"/>
        <v>8463</v>
      </c>
      <c r="AE46" s="23">
        <v>8264</v>
      </c>
      <c r="AF46" s="23"/>
      <c r="AG46" s="23">
        <v>7714.2827350000007</v>
      </c>
      <c r="AH46" s="23">
        <v>8377.6246729068862</v>
      </c>
      <c r="AI46" s="23">
        <f>AI45-AI44</f>
        <v>8941.5741450000005</v>
      </c>
      <c r="AJ46" s="23">
        <v>10032.05436904988</v>
      </c>
      <c r="AK46" s="23">
        <v>8361.1475017358152</v>
      </c>
    </row>
    <row r="47" spans="1:37" x14ac:dyDescent="0.3">
      <c r="A47" s="92" t="s">
        <v>1601</v>
      </c>
      <c r="B47" s="92" t="s">
        <v>1600</v>
      </c>
      <c r="C47" s="23"/>
      <c r="D47" s="23"/>
      <c r="E47" s="23"/>
      <c r="F47" s="23"/>
      <c r="G47" s="23"/>
      <c r="H47" s="23"/>
      <c r="I47" s="23"/>
      <c r="J47" s="23"/>
      <c r="K47" s="23"/>
      <c r="L47" s="23"/>
      <c r="M47" s="23"/>
      <c r="N47" s="50">
        <f t="shared" ref="N47" si="4">N43-N46</f>
        <v>25597.525207516654</v>
      </c>
      <c r="O47" s="23"/>
      <c r="P47" s="23"/>
      <c r="Q47" s="23"/>
      <c r="R47" s="23"/>
      <c r="S47" s="23"/>
      <c r="T47" s="23"/>
      <c r="U47" s="23"/>
      <c r="V47" s="23"/>
      <c r="W47" s="23"/>
      <c r="X47" s="23"/>
      <c r="Y47" s="23"/>
      <c r="Z47" s="23">
        <f t="shared" ref="Z47:AD47" si="5">Z43-Z46</f>
        <v>29942.819390400004</v>
      </c>
      <c r="AA47" s="23">
        <f t="shared" si="5"/>
        <v>33013.162936389999</v>
      </c>
      <c r="AB47" s="23">
        <f t="shared" si="5"/>
        <v>28204.486273999995</v>
      </c>
      <c r="AC47" s="23">
        <f t="shared" si="5"/>
        <v>32452.4090689</v>
      </c>
      <c r="AD47" s="23">
        <f t="shared" si="5"/>
        <v>32086</v>
      </c>
      <c r="AE47" s="23">
        <v>33747</v>
      </c>
      <c r="AF47" s="23"/>
      <c r="AG47" s="23">
        <f>AG43-AG46</f>
        <v>33458.003403494287</v>
      </c>
      <c r="AH47" s="50">
        <v>30115.851856620091</v>
      </c>
      <c r="AI47" s="50">
        <v>34382.462919023543</v>
      </c>
      <c r="AJ47" s="50">
        <v>28956.676724304922</v>
      </c>
      <c r="AK47" s="50">
        <v>31765.310082533681</v>
      </c>
    </row>
    <row r="48" spans="1:37" x14ac:dyDescent="0.3">
      <c r="A48" s="11" t="s">
        <v>1599</v>
      </c>
      <c r="B48" s="11" t="s">
        <v>1598</v>
      </c>
      <c r="C48" s="49"/>
      <c r="D48" s="49"/>
      <c r="E48" s="49"/>
      <c r="F48" s="49"/>
      <c r="G48" s="49"/>
      <c r="H48" s="49"/>
      <c r="I48" s="49"/>
      <c r="J48" s="49"/>
      <c r="K48" s="49"/>
      <c r="L48" s="49"/>
      <c r="M48" s="49"/>
      <c r="N48" s="52">
        <v>0.79190000000000005</v>
      </c>
      <c r="O48" s="49"/>
      <c r="P48" s="49"/>
      <c r="Q48" s="49"/>
      <c r="R48" s="49"/>
      <c r="S48" s="49"/>
      <c r="T48" s="49"/>
      <c r="U48" s="49"/>
      <c r="V48" s="49"/>
      <c r="W48" s="49"/>
      <c r="X48" s="49"/>
      <c r="Y48" s="56"/>
      <c r="Z48" s="49">
        <v>0.79190000000000005</v>
      </c>
      <c r="AA48" s="49">
        <v>0.87629999999999997</v>
      </c>
      <c r="AB48" s="49">
        <v>0.80569999999999997</v>
      </c>
      <c r="AC48" s="49">
        <v>0.85609999999999997</v>
      </c>
      <c r="AD48" s="49">
        <v>0.80410000000000004</v>
      </c>
      <c r="AE48" s="49">
        <v>0.83120000000000005</v>
      </c>
      <c r="AF48" s="49"/>
      <c r="AG48" s="49">
        <f>AG49/(AG43-AG46)</f>
        <v>0.76797142226713044</v>
      </c>
      <c r="AH48" s="49">
        <f t="shared" ref="AH48:AI48" si="6">AH49/(AH43-AH46)</f>
        <v>0.75355669495296362</v>
      </c>
      <c r="AI48" s="49">
        <f t="shared" si="6"/>
        <v>0.79986024679560142</v>
      </c>
      <c r="AJ48" s="49">
        <v>0.83435465290634225</v>
      </c>
      <c r="AK48" s="49">
        <v>0.8143862811110848</v>
      </c>
    </row>
    <row r="49" spans="1:37" x14ac:dyDescent="0.3">
      <c r="A49" s="11" t="s">
        <v>1597</v>
      </c>
      <c r="B49" s="11" t="s">
        <v>1596</v>
      </c>
      <c r="C49" s="23"/>
      <c r="D49" s="23"/>
      <c r="E49" s="23"/>
      <c r="F49" s="23"/>
      <c r="G49" s="23"/>
      <c r="H49" s="23"/>
      <c r="I49" s="23"/>
      <c r="J49" s="23"/>
      <c r="K49" s="23"/>
      <c r="L49" s="23"/>
      <c r="M49" s="23"/>
      <c r="N49" s="50">
        <v>23408.35</v>
      </c>
      <c r="O49" s="23"/>
      <c r="P49" s="23"/>
      <c r="Q49" s="23"/>
      <c r="R49" s="23"/>
      <c r="S49" s="23"/>
      <c r="T49" s="23"/>
      <c r="U49" s="23"/>
      <c r="V49" s="23"/>
      <c r="W49" s="23"/>
      <c r="X49" s="23"/>
      <c r="Y49" s="23"/>
      <c r="Z49" s="23">
        <v>23408.35</v>
      </c>
      <c r="AA49" s="23">
        <v>28924</v>
      </c>
      <c r="AB49" s="23">
        <v>22721</v>
      </c>
      <c r="AC49" s="23">
        <v>27775.95</v>
      </c>
      <c r="AD49" s="23">
        <v>25801</v>
      </c>
      <c r="AE49" s="23">
        <v>28049</v>
      </c>
      <c r="AF49" s="23"/>
      <c r="AG49" s="23">
        <v>25694.79046</v>
      </c>
      <c r="AH49" s="23">
        <v>22694.00179076771</v>
      </c>
      <c r="AI49" s="23">
        <v>27500.755335016009</v>
      </c>
      <c r="AJ49" s="23">
        <v>24160.137957628591</v>
      </c>
      <c r="AK49" s="23">
        <v>25869.232746455051</v>
      </c>
    </row>
    <row r="50" spans="1:37" x14ac:dyDescent="0.3">
      <c r="A50" s="11" t="s">
        <v>1595</v>
      </c>
      <c r="B50" s="11" t="s">
        <v>1594</v>
      </c>
      <c r="C50" s="23"/>
      <c r="D50" s="23"/>
      <c r="E50" s="23"/>
      <c r="F50" s="23"/>
      <c r="G50" s="23"/>
      <c r="H50" s="23"/>
      <c r="I50" s="23"/>
      <c r="J50" s="23"/>
      <c r="K50" s="23"/>
      <c r="L50" s="23"/>
      <c r="M50" s="23"/>
      <c r="N50" s="50">
        <v>0</v>
      </c>
      <c r="O50" s="23"/>
      <c r="P50" s="23"/>
      <c r="Q50" s="23"/>
      <c r="R50" s="23"/>
      <c r="S50" s="23"/>
      <c r="T50" s="23"/>
      <c r="U50" s="23"/>
      <c r="V50" s="23"/>
      <c r="W50" s="23"/>
      <c r="X50" s="23"/>
      <c r="Y50" s="23"/>
      <c r="Z50" s="23">
        <v>0</v>
      </c>
      <c r="AA50" s="23">
        <v>0</v>
      </c>
      <c r="AB50" s="23">
        <v>0</v>
      </c>
      <c r="AC50" s="23">
        <v>0</v>
      </c>
      <c r="AD50" s="23">
        <v>0</v>
      </c>
      <c r="AE50" s="23">
        <v>0</v>
      </c>
      <c r="AF50" s="23"/>
      <c r="AG50" s="23">
        <v>0</v>
      </c>
      <c r="AH50" s="23"/>
      <c r="AI50" s="23"/>
      <c r="AJ50" s="23"/>
      <c r="AK50" s="23"/>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N55"/>
  <sheetViews>
    <sheetView workbookViewId="0">
      <pane xSplit="2" ySplit="2" topLeftCell="AJ3" activePane="bottomRight" state="frozen"/>
      <selection pane="topRight" activeCell="C1" sqref="C1"/>
      <selection pane="bottomLeft" activeCell="A3" sqref="A3"/>
      <selection pane="bottomRight" activeCell="AK14" sqref="AK14"/>
    </sheetView>
  </sheetViews>
  <sheetFormatPr baseColWidth="10" defaultColWidth="8.5546875" defaultRowHeight="14.4" x14ac:dyDescent="0.3"/>
  <cols>
    <col min="1" max="1" width="11" bestFit="1" customWidth="1"/>
    <col min="2" max="2" width="20" bestFit="1" customWidth="1"/>
    <col min="3" max="13" width="13.5546875" customWidth="1"/>
    <col min="14" max="30" width="13.5546875" style="5" customWidth="1"/>
    <col min="31" max="31" width="13.5546875" style="3" customWidth="1"/>
    <col min="32" max="38" width="13.5546875" customWidth="1"/>
  </cols>
  <sheetData>
    <row r="1" spans="1:40" x14ac:dyDescent="0.3">
      <c r="A1" s="1"/>
      <c r="B1" s="1"/>
      <c r="C1" s="1" t="s">
        <v>92</v>
      </c>
      <c r="D1" s="1" t="s">
        <v>92</v>
      </c>
      <c r="E1" s="1" t="s">
        <v>92</v>
      </c>
      <c r="F1" s="1" t="s">
        <v>92</v>
      </c>
      <c r="G1" s="1" t="s">
        <v>92</v>
      </c>
      <c r="H1" s="1" t="s">
        <v>92</v>
      </c>
      <c r="I1" s="1" t="s">
        <v>92</v>
      </c>
      <c r="J1" s="1" t="s">
        <v>92</v>
      </c>
      <c r="K1" s="1" t="s">
        <v>92</v>
      </c>
      <c r="L1" s="1" t="s">
        <v>92</v>
      </c>
      <c r="M1" s="1" t="s">
        <v>92</v>
      </c>
      <c r="N1" s="1" t="s">
        <v>92</v>
      </c>
      <c r="O1" s="1" t="s">
        <v>92</v>
      </c>
      <c r="P1" s="1" t="s">
        <v>92</v>
      </c>
      <c r="Q1" s="1" t="s">
        <v>92</v>
      </c>
      <c r="R1" s="1" t="s">
        <v>92</v>
      </c>
      <c r="S1" s="1" t="s">
        <v>92</v>
      </c>
      <c r="T1" s="1" t="s">
        <v>92</v>
      </c>
      <c r="U1" s="1" t="s">
        <v>92</v>
      </c>
      <c r="V1" s="1" t="s">
        <v>92</v>
      </c>
      <c r="W1" s="1" t="s">
        <v>92</v>
      </c>
      <c r="X1" s="1" t="s">
        <v>92</v>
      </c>
      <c r="Y1" s="1" t="s">
        <v>92</v>
      </c>
      <c r="Z1" s="1" t="s">
        <v>92</v>
      </c>
      <c r="AA1" s="1" t="s">
        <v>92</v>
      </c>
      <c r="AB1" s="1" t="s">
        <v>92</v>
      </c>
      <c r="AC1" s="1" t="s">
        <v>92</v>
      </c>
      <c r="AD1" s="1" t="s">
        <v>92</v>
      </c>
      <c r="AE1" s="42" t="s">
        <v>92</v>
      </c>
      <c r="AF1" s="1" t="s">
        <v>92</v>
      </c>
      <c r="AG1" s="1" t="s">
        <v>92</v>
      </c>
      <c r="AH1" s="1" t="s">
        <v>92</v>
      </c>
      <c r="AI1" s="1" t="s">
        <v>2937</v>
      </c>
      <c r="AJ1" s="95" t="s">
        <v>92</v>
      </c>
      <c r="AK1" s="95" t="s">
        <v>2937</v>
      </c>
      <c r="AL1" s="95" t="s">
        <v>91</v>
      </c>
    </row>
    <row r="2" spans="1:40" x14ac:dyDescent="0.3">
      <c r="A2" s="69" t="s">
        <v>206</v>
      </c>
      <c r="B2" s="69" t="s">
        <v>205</v>
      </c>
      <c r="C2" s="7">
        <v>44927</v>
      </c>
      <c r="D2" s="7">
        <v>44958</v>
      </c>
      <c r="E2" s="7">
        <v>44986</v>
      </c>
      <c r="F2" s="7">
        <v>45017</v>
      </c>
      <c r="G2" s="7">
        <v>45047</v>
      </c>
      <c r="H2" s="7">
        <v>45078</v>
      </c>
      <c r="I2" s="7">
        <v>45108</v>
      </c>
      <c r="J2" s="7">
        <v>45139</v>
      </c>
      <c r="K2" s="7">
        <v>45170</v>
      </c>
      <c r="L2" s="7">
        <v>45200</v>
      </c>
      <c r="M2" s="7">
        <v>45231</v>
      </c>
      <c r="N2" s="7">
        <v>45261</v>
      </c>
      <c r="O2" s="7">
        <v>45292</v>
      </c>
      <c r="P2" s="7">
        <v>45323</v>
      </c>
      <c r="Q2" s="7">
        <v>45352</v>
      </c>
      <c r="R2" s="7">
        <v>45383</v>
      </c>
      <c r="S2" s="7">
        <v>45413</v>
      </c>
      <c r="T2" s="7">
        <v>45444</v>
      </c>
      <c r="U2" s="7">
        <v>45474</v>
      </c>
      <c r="V2" s="7">
        <v>45505</v>
      </c>
      <c r="W2" s="7">
        <v>45536</v>
      </c>
      <c r="X2" s="7">
        <v>45566</v>
      </c>
      <c r="Y2" s="7">
        <v>45597</v>
      </c>
      <c r="Z2" s="7">
        <v>45627</v>
      </c>
      <c r="AA2" s="7">
        <v>45658</v>
      </c>
      <c r="AB2" s="7">
        <v>45689</v>
      </c>
      <c r="AC2" s="7">
        <v>45717</v>
      </c>
      <c r="AD2" s="7">
        <v>45748</v>
      </c>
      <c r="AE2" s="7">
        <v>45778</v>
      </c>
      <c r="AF2" s="7">
        <v>45809</v>
      </c>
      <c r="AG2" s="7">
        <v>45839</v>
      </c>
      <c r="AH2" s="7">
        <v>45870</v>
      </c>
      <c r="AI2" s="7">
        <v>45901</v>
      </c>
      <c r="AJ2" s="7">
        <v>45931</v>
      </c>
      <c r="AK2" s="7">
        <v>45962</v>
      </c>
      <c r="AL2" s="7">
        <v>45992</v>
      </c>
    </row>
    <row r="3" spans="1:40" x14ac:dyDescent="0.3">
      <c r="A3" t="s">
        <v>1673</v>
      </c>
      <c r="B3" t="s">
        <v>227</v>
      </c>
      <c r="C3" s="73">
        <v>129064.28720000001</v>
      </c>
      <c r="D3" s="73">
        <v>130605.1597</v>
      </c>
      <c r="E3" s="73">
        <v>136870.54689999999</v>
      </c>
      <c r="F3" s="73">
        <v>139718.5661</v>
      </c>
      <c r="G3" s="73">
        <v>149014.7703</v>
      </c>
      <c r="H3" s="73">
        <v>148990.7616</v>
      </c>
      <c r="I3" s="73">
        <v>150984.70060000001</v>
      </c>
      <c r="J3" s="73">
        <v>150730.10509999999</v>
      </c>
      <c r="K3" s="73">
        <v>151747.9314</v>
      </c>
      <c r="L3" s="73">
        <v>150874.8279</v>
      </c>
      <c r="M3" s="73">
        <v>157898.65609999999</v>
      </c>
      <c r="N3" s="73">
        <v>150346</v>
      </c>
      <c r="O3" s="73">
        <v>151449.2144</v>
      </c>
      <c r="P3" s="73">
        <v>150663.4834</v>
      </c>
      <c r="Q3" s="73">
        <v>157539.70370000001</v>
      </c>
      <c r="R3" s="73">
        <v>154769.9472</v>
      </c>
      <c r="S3" s="73">
        <v>162045.55319999999</v>
      </c>
      <c r="T3" s="73">
        <v>163679</v>
      </c>
      <c r="U3" s="73">
        <v>162916</v>
      </c>
      <c r="V3" s="73">
        <v>164065</v>
      </c>
      <c r="W3" s="73">
        <v>168591.65105700001</v>
      </c>
      <c r="X3" s="73">
        <v>168996.36687999999</v>
      </c>
      <c r="Y3" s="73">
        <v>173243.07810899999</v>
      </c>
      <c r="Z3" s="73">
        <v>168064.247967</v>
      </c>
      <c r="AA3" s="73">
        <v>177339.02565900001</v>
      </c>
      <c r="AB3" s="73">
        <v>169583.59890700001</v>
      </c>
      <c r="AC3" s="73">
        <v>176498.21251499999</v>
      </c>
      <c r="AD3" s="73">
        <v>175730.28508100001</v>
      </c>
      <c r="AE3" s="73">
        <f>181183106645/1000000</f>
        <v>181183.10664499999</v>
      </c>
      <c r="AF3" s="73">
        <v>174552.841334</v>
      </c>
      <c r="AG3" s="73">
        <v>179455.23069999999</v>
      </c>
      <c r="AH3" s="73">
        <v>177289.7335</v>
      </c>
      <c r="AI3" s="73">
        <v>183245.18477799985</v>
      </c>
      <c r="AJ3" s="73">
        <v>178783.02530899993</v>
      </c>
      <c r="AK3" s="73">
        <v>183126.26017999998</v>
      </c>
      <c r="AL3" s="73">
        <v>190556.78557400004</v>
      </c>
    </row>
    <row r="4" spans="1:40" x14ac:dyDescent="0.3">
      <c r="A4" t="s">
        <v>1672</v>
      </c>
      <c r="B4" t="s">
        <v>1656</v>
      </c>
      <c r="C4" s="73"/>
      <c r="D4" s="73"/>
      <c r="E4" s="73"/>
      <c r="F4" s="73"/>
      <c r="G4" s="73"/>
      <c r="H4" s="73"/>
      <c r="I4" s="73"/>
      <c r="J4" s="73"/>
      <c r="K4" s="73"/>
      <c r="L4" s="73"/>
      <c r="M4" s="73"/>
      <c r="N4" s="73"/>
      <c r="O4" s="73"/>
      <c r="P4" s="73"/>
      <c r="Q4" s="73"/>
      <c r="R4" s="73"/>
      <c r="S4" s="73"/>
      <c r="T4" s="73"/>
      <c r="U4" s="73"/>
      <c r="V4" s="73"/>
      <c r="W4" s="73"/>
      <c r="X4" s="73"/>
      <c r="Y4" s="73"/>
      <c r="Z4" s="73">
        <v>150744</v>
      </c>
      <c r="AA4" s="73">
        <v>157584</v>
      </c>
      <c r="AB4" s="73">
        <v>150526</v>
      </c>
      <c r="AC4" s="73">
        <v>158188</v>
      </c>
      <c r="AD4" s="73">
        <f>155948112906.405/1000000</f>
        <v>155948.112906405</v>
      </c>
      <c r="AE4" s="73">
        <v>162074.68321967451</v>
      </c>
      <c r="AF4" s="73">
        <v>154506.51914930812</v>
      </c>
      <c r="AG4" s="73">
        <v>159978.57993999062</v>
      </c>
      <c r="AH4" s="73">
        <v>157676.44724455508</v>
      </c>
      <c r="AI4" s="73">
        <v>163485.62007263125</v>
      </c>
      <c r="AJ4" s="73">
        <v>160133.82125497391</v>
      </c>
      <c r="AK4" s="73">
        <v>163613.2047561917</v>
      </c>
      <c r="AL4" s="73">
        <v>171103.90040842007</v>
      </c>
    </row>
    <row r="5" spans="1:40" x14ac:dyDescent="0.3">
      <c r="A5" t="s">
        <v>1671</v>
      </c>
      <c r="B5" t="s">
        <v>330</v>
      </c>
      <c r="C5" s="73">
        <v>70702</v>
      </c>
      <c r="D5" s="73">
        <v>71402</v>
      </c>
      <c r="E5" s="73">
        <v>74365</v>
      </c>
      <c r="F5" s="73">
        <v>74190</v>
      </c>
      <c r="G5" s="73">
        <v>73995</v>
      </c>
      <c r="H5" s="73">
        <v>73775</v>
      </c>
      <c r="I5" s="73">
        <v>72053</v>
      </c>
      <c r="J5" s="73">
        <v>73438</v>
      </c>
      <c r="K5" s="73">
        <v>70730</v>
      </c>
      <c r="L5" s="73">
        <v>71048</v>
      </c>
      <c r="M5" s="73">
        <v>70100</v>
      </c>
      <c r="N5" s="73">
        <v>74725.471107867197</v>
      </c>
      <c r="O5" s="73">
        <v>71970.263989105806</v>
      </c>
      <c r="P5" s="73">
        <v>76158.523989339592</v>
      </c>
      <c r="Q5" s="73">
        <v>72659.539832121896</v>
      </c>
      <c r="R5" s="73">
        <v>72791.920126287907</v>
      </c>
      <c r="S5" s="73">
        <v>73101.668279484104</v>
      </c>
      <c r="T5" s="73">
        <v>77553.382771160002</v>
      </c>
      <c r="U5" s="73">
        <v>75597.8913269521</v>
      </c>
      <c r="V5" s="73">
        <v>76790.091537290413</v>
      </c>
      <c r="W5" s="73">
        <v>75087.416364627206</v>
      </c>
      <c r="X5" s="73">
        <v>79932.402362158085</v>
      </c>
      <c r="Y5" s="73">
        <v>79405.810856338299</v>
      </c>
      <c r="Z5" s="73">
        <v>76694.571410000004</v>
      </c>
      <c r="AA5" s="73">
        <v>78540.281233446207</v>
      </c>
      <c r="AB5" s="73">
        <v>79550.253376380206</v>
      </c>
      <c r="AC5" s="73">
        <v>80017.110955585507</v>
      </c>
      <c r="AD5" s="73">
        <f>61199036934.5435/1000000</f>
        <v>61199.036934543503</v>
      </c>
      <c r="AE5" s="73">
        <v>59719.871587674497</v>
      </c>
      <c r="AF5" s="73">
        <v>62254.828751308109</v>
      </c>
      <c r="AG5" s="73">
        <v>62787.313616990614</v>
      </c>
      <c r="AH5" s="73">
        <v>64132.29114355515</v>
      </c>
      <c r="AI5" s="73">
        <v>61935.854627631241</v>
      </c>
      <c r="AJ5" s="73">
        <v>66398.801765973956</v>
      </c>
      <c r="AK5" s="73">
        <v>67013.80120019165</v>
      </c>
      <c r="AL5" s="73">
        <v>67719.610097420038</v>
      </c>
    </row>
    <row r="6" spans="1:40" x14ac:dyDescent="0.3">
      <c r="A6">
        <v>2400343101</v>
      </c>
      <c r="B6" t="s">
        <v>1633</v>
      </c>
      <c r="C6" s="73">
        <v>15489</v>
      </c>
      <c r="D6" s="73">
        <v>14410</v>
      </c>
      <c r="E6" s="73">
        <v>14421</v>
      </c>
      <c r="F6" s="73">
        <v>14635</v>
      </c>
      <c r="G6" s="73">
        <v>14373</v>
      </c>
      <c r="H6" s="73">
        <v>14535</v>
      </c>
      <c r="I6" s="73">
        <v>14620</v>
      </c>
      <c r="J6" s="73">
        <v>15014</v>
      </c>
      <c r="K6" s="73">
        <v>14454</v>
      </c>
      <c r="L6" s="73">
        <v>14612</v>
      </c>
      <c r="M6" s="73">
        <v>15205</v>
      </c>
      <c r="N6" s="73">
        <v>11523.617346823499</v>
      </c>
      <c r="O6" s="73">
        <v>11342.984585496401</v>
      </c>
      <c r="P6" s="73">
        <v>11904.6523391631</v>
      </c>
      <c r="Q6" s="73">
        <v>11274.661246650399</v>
      </c>
      <c r="R6" s="73">
        <v>11668.1403178112</v>
      </c>
      <c r="S6" s="73">
        <v>11597.321606252599</v>
      </c>
      <c r="T6" s="73">
        <v>12015.9739907</v>
      </c>
      <c r="U6" s="73">
        <v>11892.3976953611</v>
      </c>
      <c r="V6" s="73">
        <v>12133.723519954599</v>
      </c>
      <c r="W6" s="73">
        <v>11847.5492745868</v>
      </c>
      <c r="X6" s="73">
        <v>12383.1094658808</v>
      </c>
      <c r="Y6" s="73">
        <v>12363.2830714623</v>
      </c>
      <c r="Z6" s="73">
        <v>12563.274406827901</v>
      </c>
      <c r="AA6" s="73">
        <v>11947.18211514</v>
      </c>
      <c r="AB6" s="73">
        <v>12324.1425098046</v>
      </c>
      <c r="AC6" s="73">
        <v>12063.866929960601</v>
      </c>
      <c r="AD6" s="73">
        <f>10542683786.2532/1000000</f>
        <v>10542.683786253201</v>
      </c>
      <c r="AE6" s="73">
        <v>10598.042852519202</v>
      </c>
      <c r="AF6" s="73">
        <v>10954.041607946176</v>
      </c>
      <c r="AG6" s="73">
        <v>10812.316608641275</v>
      </c>
      <c r="AH6" s="73">
        <v>10888.271627994358</v>
      </c>
      <c r="AI6" s="73">
        <v>10882.757261663559</v>
      </c>
      <c r="AJ6" s="73">
        <v>11469.475280357523</v>
      </c>
      <c r="AK6" s="73">
        <v>11564.804859641632</v>
      </c>
      <c r="AL6" s="73">
        <v>11574.38324299317</v>
      </c>
    </row>
    <row r="7" spans="1:40" x14ac:dyDescent="0.3">
      <c r="A7" t="s">
        <v>1670</v>
      </c>
      <c r="B7" t="s">
        <v>1611</v>
      </c>
      <c r="C7" s="73">
        <v>19923</v>
      </c>
      <c r="D7" s="73">
        <v>20069</v>
      </c>
      <c r="E7" s="73">
        <v>21511</v>
      </c>
      <c r="F7" s="73">
        <v>20323</v>
      </c>
      <c r="G7" s="73">
        <v>20346</v>
      </c>
      <c r="H7" s="73">
        <v>19781</v>
      </c>
      <c r="I7" s="73">
        <v>19900</v>
      </c>
      <c r="J7" s="73">
        <v>20682</v>
      </c>
      <c r="K7" s="73">
        <v>20016</v>
      </c>
      <c r="L7" s="73">
        <v>20772</v>
      </c>
      <c r="M7" s="73">
        <v>20840</v>
      </c>
      <c r="N7" s="73">
        <v>27182.247905992899</v>
      </c>
      <c r="O7" s="73">
        <v>24795.229359041801</v>
      </c>
      <c r="P7" s="73">
        <v>26601.365707920897</v>
      </c>
      <c r="Q7" s="73">
        <v>25311.6059957451</v>
      </c>
      <c r="R7" s="73">
        <v>25356.7589054362</v>
      </c>
      <c r="S7" s="73">
        <v>24978.241785260601</v>
      </c>
      <c r="T7" s="73">
        <v>26347.350257779901</v>
      </c>
      <c r="U7" s="73">
        <v>25961.962152533099</v>
      </c>
      <c r="V7" s="73">
        <v>25910.147399596801</v>
      </c>
      <c r="W7" s="73">
        <v>25033.821542001599</v>
      </c>
      <c r="X7" s="73">
        <v>26705.7426257958</v>
      </c>
      <c r="Y7" s="73">
        <v>26827.099045064202</v>
      </c>
      <c r="Z7" s="73">
        <v>26578.873060997299</v>
      </c>
      <c r="AA7" s="73">
        <v>26634.4560529255</v>
      </c>
      <c r="AB7" s="73">
        <v>25986.572049304501</v>
      </c>
      <c r="AC7" s="73">
        <v>26956.753699515899</v>
      </c>
      <c r="AD7" s="73">
        <f>14480463227.2388/1000000</f>
        <v>14480.463227238801</v>
      </c>
      <c r="AE7" s="73">
        <v>14015.479028208501</v>
      </c>
      <c r="AF7" s="73">
        <v>15799.020843753849</v>
      </c>
      <c r="AG7" s="73">
        <v>15579.782277485809</v>
      </c>
      <c r="AH7" s="73">
        <v>15375.024303486211</v>
      </c>
      <c r="AI7" s="73">
        <v>14602.21534479579</v>
      </c>
      <c r="AJ7" s="73">
        <v>15305.708848878361</v>
      </c>
      <c r="AK7" s="73">
        <v>15967.642113379812</v>
      </c>
      <c r="AL7" s="73">
        <v>17292.64420095996</v>
      </c>
    </row>
    <row r="8" spans="1:40" x14ac:dyDescent="0.3">
      <c r="A8">
        <v>2400543101</v>
      </c>
      <c r="B8" t="s">
        <v>1630</v>
      </c>
      <c r="C8" s="73">
        <v>23749</v>
      </c>
      <c r="D8" s="73">
        <v>23749</v>
      </c>
      <c r="E8" s="73">
        <v>24084</v>
      </c>
      <c r="F8" s="73">
        <v>24452</v>
      </c>
      <c r="G8" s="73">
        <v>24093</v>
      </c>
      <c r="H8" s="73">
        <v>24229</v>
      </c>
      <c r="I8" s="73">
        <v>24003</v>
      </c>
      <c r="J8" s="73">
        <v>24111</v>
      </c>
      <c r="K8" s="73">
        <v>24477</v>
      </c>
      <c r="L8" s="73">
        <v>24957</v>
      </c>
      <c r="M8" s="73">
        <v>25011</v>
      </c>
      <c r="N8" s="73">
        <v>26904.534849665099</v>
      </c>
      <c r="O8" s="73">
        <v>25201.539499396</v>
      </c>
      <c r="P8" s="73">
        <v>25419.112110865601</v>
      </c>
      <c r="Q8" s="73">
        <v>25017.161017356</v>
      </c>
      <c r="R8" s="73">
        <v>25061.705577901601</v>
      </c>
      <c r="S8" s="73">
        <v>25199.799746484601</v>
      </c>
      <c r="T8" s="73">
        <v>25792.309811359002</v>
      </c>
      <c r="U8" s="73">
        <v>25616.241740691799</v>
      </c>
      <c r="V8" s="73">
        <v>26017.6634406343</v>
      </c>
      <c r="W8" s="73">
        <v>25508.790900475102</v>
      </c>
      <c r="X8" s="73">
        <v>26236.089758873699</v>
      </c>
      <c r="Y8" s="73">
        <v>27113.888049917801</v>
      </c>
      <c r="Z8" s="73">
        <v>28261.419333490601</v>
      </c>
      <c r="AA8" s="73">
        <v>27760.452994436499</v>
      </c>
      <c r="AB8" s="73">
        <v>27890.351875521599</v>
      </c>
      <c r="AC8" s="73">
        <v>27602.859591754401</v>
      </c>
      <c r="AD8" s="73">
        <f>23343680616.2154/1000000</f>
        <v>23343.680616215399</v>
      </c>
      <c r="AE8" s="73">
        <v>23836.267599147595</v>
      </c>
      <c r="AF8" s="73">
        <v>24195.109552960101</v>
      </c>
      <c r="AG8" s="73">
        <v>24331.336617023728</v>
      </c>
      <c r="AH8" s="73">
        <v>24528.32742170804</v>
      </c>
      <c r="AI8" s="73">
        <v>24145.3958763677</v>
      </c>
      <c r="AJ8" s="73">
        <v>24691.834784388051</v>
      </c>
      <c r="AK8" s="73">
        <v>25372.035746787322</v>
      </c>
      <c r="AL8" s="73">
        <v>26940.114931434226</v>
      </c>
    </row>
    <row r="9" spans="1:40" x14ac:dyDescent="0.3">
      <c r="A9">
        <v>2400643101</v>
      </c>
      <c r="B9" t="s">
        <v>1628</v>
      </c>
      <c r="C9" s="73">
        <v>10658</v>
      </c>
      <c r="D9" s="73">
        <v>12266</v>
      </c>
      <c r="E9" s="73">
        <v>13842</v>
      </c>
      <c r="F9" s="73">
        <v>14217</v>
      </c>
      <c r="G9" s="73">
        <v>14593</v>
      </c>
      <c r="H9" s="73">
        <v>14648</v>
      </c>
      <c r="I9" s="73">
        <v>12927</v>
      </c>
      <c r="J9" s="73">
        <v>13028</v>
      </c>
      <c r="K9" s="73">
        <v>11086</v>
      </c>
      <c r="L9" s="73">
        <v>9958</v>
      </c>
      <c r="M9" s="73">
        <v>8277</v>
      </c>
      <c r="N9" s="73">
        <v>8431.6697834877014</v>
      </c>
      <c r="O9" s="73">
        <v>9939.7986633851997</v>
      </c>
      <c r="P9" s="73">
        <v>11651.063406065099</v>
      </c>
      <c r="Q9" s="73">
        <v>10497.8084158939</v>
      </c>
      <c r="R9" s="73">
        <v>10099.5503193738</v>
      </c>
      <c r="S9" s="73">
        <v>10289.1781099573</v>
      </c>
      <c r="T9" s="73">
        <v>11333.751609925699</v>
      </c>
      <c r="U9" s="73">
        <v>9635.8747789391</v>
      </c>
      <c r="V9" s="73">
        <v>10041.3877458445</v>
      </c>
      <c r="W9" s="73">
        <v>9281.8358097096007</v>
      </c>
      <c r="X9" s="73">
        <v>11867.4593142171</v>
      </c>
      <c r="Y9" s="73">
        <v>10433.070482413299</v>
      </c>
      <c r="Z9" s="73">
        <v>6719.8230090355</v>
      </c>
      <c r="AA9" s="73">
        <v>9624.0314552622003</v>
      </c>
      <c r="AB9" s="73">
        <v>10769.2449990319</v>
      </c>
      <c r="AC9" s="73">
        <v>11685.314458878</v>
      </c>
      <c r="AD9" s="73">
        <f>12472534236.3384/1000000</f>
        <v>12472.534236338401</v>
      </c>
      <c r="AE9" s="73">
        <v>10828.170457829901</v>
      </c>
      <c r="AF9" s="73">
        <v>10802.773082070435</v>
      </c>
      <c r="AG9" s="73">
        <v>11648.199006378574</v>
      </c>
      <c r="AH9" s="73">
        <v>12852.964602744914</v>
      </c>
      <c r="AI9" s="73">
        <v>11764.281637621718</v>
      </c>
      <c r="AJ9" s="73">
        <v>14412.648796379224</v>
      </c>
      <c r="AK9" s="73">
        <v>13621.917775217933</v>
      </c>
      <c r="AL9" s="73">
        <v>11575.5012858929</v>
      </c>
    </row>
    <row r="10" spans="1:40" x14ac:dyDescent="0.3">
      <c r="A10" t="s">
        <v>1669</v>
      </c>
      <c r="B10" t="s">
        <v>14</v>
      </c>
      <c r="C10" s="82">
        <v>883</v>
      </c>
      <c r="D10" s="82">
        <v>908</v>
      </c>
      <c r="E10" s="82">
        <v>507</v>
      </c>
      <c r="F10" s="82">
        <v>563</v>
      </c>
      <c r="G10" s="82">
        <v>590</v>
      </c>
      <c r="H10" s="82">
        <v>582</v>
      </c>
      <c r="I10" s="82">
        <v>603</v>
      </c>
      <c r="J10" s="82">
        <v>603</v>
      </c>
      <c r="K10" s="82">
        <v>697</v>
      </c>
      <c r="L10" s="82">
        <v>749</v>
      </c>
      <c r="M10" s="82">
        <v>767</v>
      </c>
      <c r="N10" s="82">
        <v>683.40122189800002</v>
      </c>
      <c r="O10" s="82">
        <v>690.7118817864</v>
      </c>
      <c r="P10" s="82">
        <v>582.33042532490003</v>
      </c>
      <c r="Q10" s="82">
        <v>558.30315647650002</v>
      </c>
      <c r="R10" s="82">
        <v>605.7650057651</v>
      </c>
      <c r="S10" s="82">
        <v>1037.1270315290001</v>
      </c>
      <c r="T10" s="82">
        <v>2063.9971013954</v>
      </c>
      <c r="U10" s="82">
        <v>2491.4149594270002</v>
      </c>
      <c r="V10" s="82">
        <v>2687.1694312601999</v>
      </c>
      <c r="W10" s="82">
        <v>3415.4188378541003</v>
      </c>
      <c r="X10" s="82">
        <v>2740.0011973906999</v>
      </c>
      <c r="Y10" s="82">
        <v>2668.4702074807001</v>
      </c>
      <c r="Z10" s="82">
        <v>2571.1815996486998</v>
      </c>
      <c r="AA10" s="82">
        <v>2574.1586156819999</v>
      </c>
      <c r="AB10" s="82">
        <v>2579.9419427175999</v>
      </c>
      <c r="AC10" s="82">
        <v>1708.316275476602</v>
      </c>
      <c r="AD10" s="82">
        <f>359675068.4977/1000000</f>
        <v>359.67506849769995</v>
      </c>
      <c r="AE10" s="82">
        <v>441.91164996930002</v>
      </c>
      <c r="AF10" s="82">
        <v>503.88366457753841</v>
      </c>
      <c r="AG10" s="82">
        <v>415.67910746122715</v>
      </c>
      <c r="AH10" s="82">
        <v>487.70318762163259</v>
      </c>
      <c r="AI10" s="82">
        <v>541.20450718247844</v>
      </c>
      <c r="AJ10" s="82">
        <v>519.13405597080714</v>
      </c>
      <c r="AK10" s="82">
        <v>487.40070516494711</v>
      </c>
      <c r="AL10" s="82">
        <v>336.96643613979194</v>
      </c>
      <c r="AM10" s="2"/>
      <c r="AN10" s="2"/>
    </row>
    <row r="11" spans="1:40" x14ac:dyDescent="0.3">
      <c r="A11" t="s">
        <v>1668</v>
      </c>
      <c r="B11" t="s">
        <v>328</v>
      </c>
      <c r="C11" s="73">
        <v>57880</v>
      </c>
      <c r="D11" s="73">
        <v>58843</v>
      </c>
      <c r="E11" s="73">
        <v>62228</v>
      </c>
      <c r="F11" s="73">
        <v>65171</v>
      </c>
      <c r="G11" s="73">
        <v>74655</v>
      </c>
      <c r="H11" s="73">
        <v>74955</v>
      </c>
      <c r="I11" s="73">
        <v>78547</v>
      </c>
      <c r="J11" s="73">
        <v>77026</v>
      </c>
      <c r="K11" s="73">
        <v>80720</v>
      </c>
      <c r="L11" s="73">
        <v>79199</v>
      </c>
      <c r="M11" s="73">
        <v>87487</v>
      </c>
      <c r="N11" s="73">
        <v>75619.68609583551</v>
      </c>
      <c r="O11" s="73">
        <v>79478.436555248802</v>
      </c>
      <c r="P11" s="73">
        <v>74504.443858169892</v>
      </c>
      <c r="Q11" s="73">
        <v>84879.759558500402</v>
      </c>
      <c r="R11" s="73">
        <v>81978.1682896446</v>
      </c>
      <c r="S11" s="73">
        <v>88943.268981962086</v>
      </c>
      <c r="T11" s="73">
        <v>86121.832097050399</v>
      </c>
      <c r="U11" s="73">
        <v>87316.848727809411</v>
      </c>
      <c r="V11" s="73">
        <v>87269.427473426913</v>
      </c>
      <c r="W11" s="73">
        <v>93500.093127845612</v>
      </c>
      <c r="X11" s="73">
        <v>89062.205868416597</v>
      </c>
      <c r="Y11" s="73">
        <v>93836.544169942499</v>
      </c>
      <c r="Z11" s="73">
        <v>91370.712790000005</v>
      </c>
      <c r="AA11" s="73">
        <v>98798.746755364002</v>
      </c>
      <c r="AB11" s="73">
        <v>90033.20369273801</v>
      </c>
      <c r="AC11" s="73">
        <v>96481.127989414497</v>
      </c>
      <c r="AD11" s="73">
        <f>94749075971.8613/1000000</f>
        <v>94749.075971861297</v>
      </c>
      <c r="AE11" s="73">
        <v>102354.811632</v>
      </c>
      <c r="AF11" s="73">
        <v>92251.690398000035</v>
      </c>
      <c r="AG11" s="73">
        <v>97191.266323000047</v>
      </c>
      <c r="AH11" s="73">
        <v>93544.156100999942</v>
      </c>
      <c r="AI11" s="73">
        <v>101549.76544500001</v>
      </c>
      <c r="AJ11" s="73">
        <v>93735.019488999955</v>
      </c>
      <c r="AK11" s="73">
        <v>96599.403556000034</v>
      </c>
      <c r="AL11" s="73">
        <v>103384.29031100002</v>
      </c>
    </row>
    <row r="12" spans="1:40" x14ac:dyDescent="0.3">
      <c r="A12" t="s">
        <v>1667</v>
      </c>
      <c r="B12" t="s">
        <v>1633</v>
      </c>
      <c r="C12" s="73">
        <v>12279</v>
      </c>
      <c r="D12" s="73">
        <v>13323</v>
      </c>
      <c r="E12" s="73">
        <v>14754</v>
      </c>
      <c r="F12" s="73">
        <v>15674</v>
      </c>
      <c r="G12" s="73">
        <v>16566</v>
      </c>
      <c r="H12" s="73">
        <v>19637</v>
      </c>
      <c r="I12" s="73">
        <v>18414</v>
      </c>
      <c r="J12" s="73">
        <v>19090</v>
      </c>
      <c r="K12" s="73">
        <v>20454</v>
      </c>
      <c r="L12" s="73">
        <v>18400</v>
      </c>
      <c r="M12" s="73">
        <v>17921</v>
      </c>
      <c r="N12" s="73">
        <v>535.83838198670003</v>
      </c>
      <c r="O12" s="73">
        <v>620.38433573420002</v>
      </c>
      <c r="P12" s="73">
        <v>543.10253191700008</v>
      </c>
      <c r="Q12" s="73">
        <v>918.2109042692</v>
      </c>
      <c r="R12" s="73">
        <v>691.45632007439997</v>
      </c>
      <c r="S12" s="73">
        <v>908.12461029509996</v>
      </c>
      <c r="T12" s="73">
        <v>715.03104792030001</v>
      </c>
      <c r="U12" s="73">
        <v>769.58807384479996</v>
      </c>
      <c r="V12" s="73">
        <v>828.1849950065</v>
      </c>
      <c r="W12" s="73">
        <v>998.45294162310006</v>
      </c>
      <c r="X12" s="73">
        <v>830.83354848709996</v>
      </c>
      <c r="Y12" s="73">
        <v>1052.0600241473001</v>
      </c>
      <c r="Z12" s="73">
        <v>767.70026755260005</v>
      </c>
      <c r="AA12" s="73">
        <v>1111.1256813681</v>
      </c>
      <c r="AB12" s="73">
        <v>788.98097845059999</v>
      </c>
      <c r="AC12" s="73">
        <v>954.42610934300001</v>
      </c>
      <c r="AD12" s="73">
        <f>1084078241.5909/1000000</f>
        <v>1084.0782415909</v>
      </c>
      <c r="AE12" s="73">
        <v>1178.5402698246</v>
      </c>
      <c r="AF12" s="73">
        <v>922.46885976252042</v>
      </c>
      <c r="AG12" s="73">
        <v>1018.0883496603902</v>
      </c>
      <c r="AH12" s="73">
        <v>960.26448605907046</v>
      </c>
      <c r="AI12" s="73">
        <v>1102.5063065313145</v>
      </c>
      <c r="AJ12" s="73">
        <v>776.0608213257907</v>
      </c>
      <c r="AK12" s="73">
        <v>888.44312955069563</v>
      </c>
      <c r="AL12" s="73">
        <v>1035.7970155569803</v>
      </c>
    </row>
    <row r="13" spans="1:40" x14ac:dyDescent="0.3">
      <c r="A13">
        <v>2400443201</v>
      </c>
      <c r="B13" t="s">
        <v>1611</v>
      </c>
      <c r="C13" s="73">
        <v>3463</v>
      </c>
      <c r="D13" s="73">
        <v>3380</v>
      </c>
      <c r="E13" s="73">
        <v>3374</v>
      </c>
      <c r="F13" s="73">
        <v>3979</v>
      </c>
      <c r="G13" s="73">
        <v>6634</v>
      </c>
      <c r="H13" s="73">
        <v>3424</v>
      </c>
      <c r="I13" s="73">
        <v>6178</v>
      </c>
      <c r="J13" s="73">
        <v>4624</v>
      </c>
      <c r="K13" s="73">
        <v>5970</v>
      </c>
      <c r="L13" s="73">
        <v>7751</v>
      </c>
      <c r="M13" s="73">
        <v>14190</v>
      </c>
      <c r="N13" s="73">
        <v>8748.5709201172995</v>
      </c>
      <c r="O13" s="73">
        <v>9663.8512000195005</v>
      </c>
      <c r="P13" s="73">
        <v>5934.3274739153003</v>
      </c>
      <c r="Q13" s="73">
        <v>15895.873774964399</v>
      </c>
      <c r="R13" s="73">
        <v>13773.6116858307</v>
      </c>
      <c r="S13" s="73">
        <v>17990.0881942866</v>
      </c>
      <c r="T13" s="73">
        <v>14504.331650496701</v>
      </c>
      <c r="U13" s="73">
        <v>13645.744288715001</v>
      </c>
      <c r="V13" s="73">
        <v>14350.7416755059</v>
      </c>
      <c r="W13" s="73">
        <v>18744.100920219502</v>
      </c>
      <c r="X13" s="73">
        <v>11852.356563032801</v>
      </c>
      <c r="Y13" s="73">
        <v>16871.1718884361</v>
      </c>
      <c r="Z13" s="73">
        <v>9940.0321192611009</v>
      </c>
      <c r="AA13" s="73">
        <v>19028.5046670966</v>
      </c>
      <c r="AB13" s="73">
        <v>10114.2453663205</v>
      </c>
      <c r="AC13" s="73">
        <v>16557.498176764599</v>
      </c>
      <c r="AD13" s="73">
        <f>13638898701.9098/1000000</f>
        <v>13638.8987019098</v>
      </c>
      <c r="AE13" s="73">
        <v>20150.327005646803</v>
      </c>
      <c r="AF13" s="73">
        <v>11924.228895844471</v>
      </c>
      <c r="AG13" s="73">
        <v>15407.408160676498</v>
      </c>
      <c r="AH13" s="73">
        <v>12868.625997641377</v>
      </c>
      <c r="AI13" s="73">
        <v>18478.031056256241</v>
      </c>
      <c r="AJ13" s="73">
        <v>8774.2591412327911</v>
      </c>
      <c r="AK13" s="73">
        <v>14547.015099214812</v>
      </c>
      <c r="AL13" s="73">
        <v>18292.888448431462</v>
      </c>
    </row>
    <row r="14" spans="1:40" x14ac:dyDescent="0.3">
      <c r="A14" t="s">
        <v>1666</v>
      </c>
      <c r="B14" t="s">
        <v>1630</v>
      </c>
      <c r="C14" s="73">
        <v>41958</v>
      </c>
      <c r="D14" s="73">
        <v>41958</v>
      </c>
      <c r="E14" s="73">
        <v>43899</v>
      </c>
      <c r="F14" s="73">
        <v>45276</v>
      </c>
      <c r="G14" s="73">
        <v>51179</v>
      </c>
      <c r="H14" s="73">
        <v>51708</v>
      </c>
      <c r="I14" s="73">
        <v>53758</v>
      </c>
      <c r="J14" s="73">
        <v>53027</v>
      </c>
      <c r="K14" s="73">
        <v>54095</v>
      </c>
      <c r="L14" s="73">
        <v>52823</v>
      </c>
      <c r="M14" s="73">
        <v>55098</v>
      </c>
      <c r="N14" s="73">
        <v>65553.109206154404</v>
      </c>
      <c r="O14" s="73">
        <v>68347.517200268005</v>
      </c>
      <c r="P14" s="73">
        <v>66991.5388360496</v>
      </c>
      <c r="Q14" s="73">
        <v>65244.567950260498</v>
      </c>
      <c r="R14" s="73">
        <v>65248.698784411798</v>
      </c>
      <c r="S14" s="73">
        <v>67466.597824083598</v>
      </c>
      <c r="T14" s="73">
        <v>67450.617090758198</v>
      </c>
      <c r="U14" s="73">
        <v>68796.9776349928</v>
      </c>
      <c r="V14" s="73">
        <v>68706.394357720099</v>
      </c>
      <c r="W14" s="73">
        <v>69757.074953176896</v>
      </c>
      <c r="X14" s="73">
        <v>73008.438692228097</v>
      </c>
      <c r="Y14" s="73">
        <v>73011.626718049694</v>
      </c>
      <c r="Z14" s="73">
        <v>78223.375175646608</v>
      </c>
      <c r="AA14" s="73">
        <v>75974.174710433406</v>
      </c>
      <c r="AB14" s="73">
        <v>77465.862446129206</v>
      </c>
      <c r="AC14" s="73">
        <v>76902.132994679007</v>
      </c>
      <c r="AD14" s="73">
        <f>77914318399.6535/1000000</f>
        <v>77914.318399653508</v>
      </c>
      <c r="AE14" s="73">
        <v>78706.995135532401</v>
      </c>
      <c r="AF14" s="73">
        <v>77288.407241488429</v>
      </c>
      <c r="AG14" s="73">
        <v>79158.407425369733</v>
      </c>
      <c r="AH14" s="73">
        <v>77951.357620562878</v>
      </c>
      <c r="AI14" s="73">
        <v>79945.898744980979</v>
      </c>
      <c r="AJ14" s="73">
        <v>81654.164241151928</v>
      </c>
      <c r="AK14" s="73">
        <v>78252.621812149373</v>
      </c>
      <c r="AL14" s="73">
        <v>80932.058995130123</v>
      </c>
    </row>
    <row r="15" spans="1:40" x14ac:dyDescent="0.3">
      <c r="A15">
        <v>2400643201</v>
      </c>
      <c r="B15" t="s">
        <v>1628</v>
      </c>
      <c r="C15" s="82">
        <v>180</v>
      </c>
      <c r="D15" s="82">
        <v>182</v>
      </c>
      <c r="E15" s="82">
        <v>201</v>
      </c>
      <c r="F15" s="82">
        <v>242</v>
      </c>
      <c r="G15" s="82">
        <v>276</v>
      </c>
      <c r="H15" s="82">
        <v>186</v>
      </c>
      <c r="I15" s="82">
        <v>197</v>
      </c>
      <c r="J15" s="82">
        <v>285</v>
      </c>
      <c r="K15" s="82">
        <v>201</v>
      </c>
      <c r="L15" s="82">
        <v>225</v>
      </c>
      <c r="M15" s="82">
        <v>278</v>
      </c>
      <c r="N15" s="82">
        <v>182.44358031760001</v>
      </c>
      <c r="O15" s="82">
        <v>262.85266602669998</v>
      </c>
      <c r="P15" s="82">
        <v>183.980541837</v>
      </c>
      <c r="Q15" s="82">
        <v>1800.9098835467998</v>
      </c>
      <c r="R15" s="82">
        <v>1256.9279421066001</v>
      </c>
      <c r="S15" s="82">
        <v>1355.8767553473001</v>
      </c>
      <c r="T15" s="82">
        <v>2187.7937866564998</v>
      </c>
      <c r="U15" s="82">
        <v>2897.5003772874998</v>
      </c>
      <c r="V15" s="82">
        <v>2155.8571352769</v>
      </c>
      <c r="W15" s="82">
        <v>2468.2113965361</v>
      </c>
      <c r="X15" s="82">
        <v>1648.417096828</v>
      </c>
      <c r="Y15" s="82">
        <v>1098.9340571978</v>
      </c>
      <c r="Z15" s="82">
        <v>845.59750116800001</v>
      </c>
      <c r="AA15" s="82">
        <v>403.14058651699997</v>
      </c>
      <c r="AB15" s="82">
        <v>122.717876248</v>
      </c>
      <c r="AC15" s="82">
        <v>305.50678065770001</v>
      </c>
      <c r="AD15" s="82">
        <f>244362679.4479/1000000</f>
        <v>244.36267944790001</v>
      </c>
      <c r="AE15" s="82">
        <v>306.51655197759999</v>
      </c>
      <c r="AF15" s="82">
        <v>230.977552774755</v>
      </c>
      <c r="AG15" s="82">
        <v>229.52030558508599</v>
      </c>
      <c r="AH15" s="82">
        <v>162.406905072065</v>
      </c>
      <c r="AI15" s="82">
        <v>246.59961141034702</v>
      </c>
      <c r="AJ15" s="82">
        <v>144.62232221382601</v>
      </c>
      <c r="AK15" s="82">
        <v>209.683263343411</v>
      </c>
      <c r="AL15" s="82">
        <v>123.60084993223799</v>
      </c>
    </row>
    <row r="16" spans="1:40" x14ac:dyDescent="0.3">
      <c r="A16" s="70" t="s">
        <v>1665</v>
      </c>
      <c r="B16" t="s">
        <v>14</v>
      </c>
      <c r="C16" s="82"/>
      <c r="D16" s="82"/>
      <c r="E16" s="82"/>
      <c r="F16" s="82"/>
      <c r="G16" s="82"/>
      <c r="H16" s="82"/>
      <c r="I16" s="82"/>
      <c r="J16" s="82"/>
      <c r="K16" s="82"/>
      <c r="L16" s="82"/>
      <c r="M16" s="82"/>
      <c r="N16" s="82">
        <v>599.72400725950001</v>
      </c>
      <c r="O16" s="82">
        <v>583.83115320039997</v>
      </c>
      <c r="P16" s="82">
        <v>851.49447445099997</v>
      </c>
      <c r="Q16" s="82">
        <v>1020.1970454594999</v>
      </c>
      <c r="R16" s="82">
        <v>1007.4735572211</v>
      </c>
      <c r="S16" s="82">
        <v>1222.5815979495001</v>
      </c>
      <c r="T16" s="82">
        <v>1264.0585212187</v>
      </c>
      <c r="U16" s="82">
        <v>1207.0383529692999</v>
      </c>
      <c r="V16" s="82">
        <v>1228.2493099175001</v>
      </c>
      <c r="W16" s="82">
        <v>1532.25291629</v>
      </c>
      <c r="X16" s="82">
        <v>1722.1599678406001</v>
      </c>
      <c r="Y16" s="82">
        <v>1802.7514821115999</v>
      </c>
      <c r="Z16" s="82">
        <v>1594.0077263717001</v>
      </c>
      <c r="AA16" s="82">
        <v>2281.8011099488999</v>
      </c>
      <c r="AB16" s="82">
        <v>1541.3970255897</v>
      </c>
      <c r="AC16" s="82">
        <v>1761.5639279702</v>
      </c>
      <c r="AD16" s="82">
        <f>1867417949.2592/1000000</f>
        <v>1867.4179492592</v>
      </c>
      <c r="AE16" s="82">
        <v>2012.4326690185999</v>
      </c>
      <c r="AF16" s="82">
        <v>1885.6078481298559</v>
      </c>
      <c r="AG16" s="82">
        <v>1377.8420817083313</v>
      </c>
      <c r="AH16" s="82">
        <v>1601.5010916645379</v>
      </c>
      <c r="AI16" s="82">
        <v>1776.7297258211368</v>
      </c>
      <c r="AJ16" s="82">
        <v>2385.9129630756256</v>
      </c>
      <c r="AK16" s="82">
        <v>2701.6402517417469</v>
      </c>
      <c r="AL16" s="82">
        <v>2999.9450019492247</v>
      </c>
    </row>
    <row r="17" spans="1:38" x14ac:dyDescent="0.3">
      <c r="A17" s="70" t="s">
        <v>1664</v>
      </c>
      <c r="B17" t="s">
        <v>1642</v>
      </c>
      <c r="C17" s="73"/>
      <c r="D17" s="73"/>
      <c r="E17" s="73"/>
      <c r="F17" s="73"/>
      <c r="G17" s="73"/>
      <c r="H17" s="73"/>
      <c r="I17" s="73"/>
      <c r="J17" s="73"/>
      <c r="K17" s="73"/>
      <c r="L17" s="73"/>
      <c r="M17" s="73"/>
      <c r="N17" s="73"/>
      <c r="O17" s="73"/>
      <c r="P17" s="73"/>
      <c r="Q17" s="73"/>
      <c r="R17" s="73"/>
      <c r="S17" s="73"/>
      <c r="T17" s="73"/>
      <c r="U17" s="73"/>
      <c r="V17" s="73"/>
      <c r="W17" s="73"/>
      <c r="X17" s="73"/>
      <c r="Y17" s="73"/>
      <c r="Z17" s="73">
        <v>0</v>
      </c>
      <c r="AA17" s="73">
        <v>0</v>
      </c>
      <c r="AB17" s="73">
        <v>0</v>
      </c>
      <c r="AC17" s="73">
        <v>0</v>
      </c>
      <c r="AD17" s="73">
        <f>19781981294.774/1000000</f>
        <v>19781.981294773999</v>
      </c>
      <c r="AE17" s="73">
        <v>19108.423425325502</v>
      </c>
      <c r="AF17" s="73">
        <v>20046.322184691759</v>
      </c>
      <c r="AG17" s="73">
        <v>19476.650756009389</v>
      </c>
      <c r="AH17" s="73">
        <v>19613.28629744488</v>
      </c>
      <c r="AI17" s="73">
        <v>19759.564705368593</v>
      </c>
      <c r="AJ17" s="73">
        <v>18649.20405402602</v>
      </c>
      <c r="AK17" s="73">
        <v>19513.055423808284</v>
      </c>
      <c r="AL17" s="73">
        <v>19452.885165579963</v>
      </c>
    </row>
    <row r="18" spans="1:38" x14ac:dyDescent="0.3">
      <c r="A18" s="70" t="s">
        <v>1663</v>
      </c>
      <c r="B18" t="s">
        <v>330</v>
      </c>
      <c r="C18" s="73"/>
      <c r="D18" s="73"/>
      <c r="E18" s="73"/>
      <c r="F18" s="73"/>
      <c r="G18" s="73"/>
      <c r="H18" s="73"/>
      <c r="I18" s="73"/>
      <c r="J18" s="73"/>
      <c r="K18" s="73"/>
      <c r="L18" s="73"/>
      <c r="M18" s="73"/>
      <c r="N18" s="73"/>
      <c r="O18" s="73"/>
      <c r="P18" s="73"/>
      <c r="Q18" s="73"/>
      <c r="R18" s="73"/>
      <c r="S18" s="73"/>
      <c r="T18" s="73"/>
      <c r="U18" s="73"/>
      <c r="V18" s="73"/>
      <c r="W18" s="73"/>
      <c r="X18" s="73"/>
      <c r="Y18" s="73"/>
      <c r="Z18" s="73">
        <v>0</v>
      </c>
      <c r="AA18" s="73">
        <v>0</v>
      </c>
      <c r="AB18" s="73">
        <v>0</v>
      </c>
      <c r="AC18" s="73">
        <v>0</v>
      </c>
      <c r="AD18" s="73">
        <f>19781981294.774/1000000</f>
        <v>19781.981294773999</v>
      </c>
      <c r="AE18" s="73">
        <v>19108.423425325502</v>
      </c>
      <c r="AF18" s="73">
        <v>20046.322184691759</v>
      </c>
      <c r="AG18" s="73">
        <v>19476.650756009389</v>
      </c>
      <c r="AH18" s="73">
        <v>19613.28629744488</v>
      </c>
      <c r="AI18" s="73">
        <v>19759.564705368593</v>
      </c>
      <c r="AJ18" s="73">
        <v>18649.20405402602</v>
      </c>
      <c r="AK18" s="73">
        <v>19513.055423808284</v>
      </c>
      <c r="AL18" s="73">
        <v>19452.885165579963</v>
      </c>
    </row>
    <row r="19" spans="1:38" x14ac:dyDescent="0.3">
      <c r="A19" s="70">
        <v>2400343102</v>
      </c>
      <c r="B19" t="s">
        <v>1633</v>
      </c>
      <c r="C19" s="73"/>
      <c r="D19" s="73"/>
      <c r="E19" s="73"/>
      <c r="F19" s="73"/>
      <c r="G19" s="73"/>
      <c r="H19" s="73"/>
      <c r="I19" s="73"/>
      <c r="J19" s="73"/>
      <c r="K19" s="73"/>
      <c r="L19" s="73"/>
      <c r="M19" s="73"/>
      <c r="N19" s="73"/>
      <c r="O19" s="73"/>
      <c r="P19" s="73"/>
      <c r="Q19" s="73"/>
      <c r="R19" s="73"/>
      <c r="S19" s="73"/>
      <c r="T19" s="73"/>
      <c r="U19" s="73"/>
      <c r="V19" s="73"/>
      <c r="W19" s="73"/>
      <c r="X19" s="73"/>
      <c r="Y19" s="73"/>
      <c r="Z19" s="73">
        <v>0</v>
      </c>
      <c r="AA19" s="73">
        <v>0</v>
      </c>
      <c r="AB19" s="73">
        <v>0</v>
      </c>
      <c r="AC19" s="73">
        <v>0</v>
      </c>
      <c r="AD19" s="73">
        <f>1625611624.981/1000000</f>
        <v>1625.611624981</v>
      </c>
      <c r="AE19" s="73">
        <v>1568.9294740563003</v>
      </c>
      <c r="AF19" s="73">
        <v>1670.2352628709471</v>
      </c>
      <c r="AG19" s="73">
        <v>1684.6417646170398</v>
      </c>
      <c r="AH19" s="73">
        <v>1631.8141713737111</v>
      </c>
      <c r="AI19" s="73">
        <v>1595.6208343827032</v>
      </c>
      <c r="AJ19" s="73">
        <v>1634.431697178683</v>
      </c>
      <c r="AK19" s="73">
        <v>1625.3428288079574</v>
      </c>
      <c r="AL19" s="73">
        <v>1547.3668912816515</v>
      </c>
    </row>
    <row r="20" spans="1:38" x14ac:dyDescent="0.3">
      <c r="A20" s="70">
        <v>2400443102</v>
      </c>
      <c r="B20" t="s">
        <v>1611</v>
      </c>
      <c r="C20" s="73"/>
      <c r="D20" s="73"/>
      <c r="E20" s="73"/>
      <c r="F20" s="73"/>
      <c r="G20" s="73"/>
      <c r="H20" s="73"/>
      <c r="I20" s="73"/>
      <c r="J20" s="73"/>
      <c r="K20" s="73"/>
      <c r="L20" s="73"/>
      <c r="M20" s="73"/>
      <c r="N20" s="73"/>
      <c r="O20" s="73"/>
      <c r="P20" s="73"/>
      <c r="Q20" s="73"/>
      <c r="R20" s="73"/>
      <c r="S20" s="73"/>
      <c r="T20" s="73"/>
      <c r="U20" s="73"/>
      <c r="V20" s="73"/>
      <c r="W20" s="73"/>
      <c r="X20" s="73"/>
      <c r="Y20" s="73"/>
      <c r="Z20" s="73">
        <v>0</v>
      </c>
      <c r="AA20" s="73">
        <v>0</v>
      </c>
      <c r="AB20" s="73">
        <v>0</v>
      </c>
      <c r="AC20" s="73">
        <v>0</v>
      </c>
      <c r="AD20" s="73">
        <f>10233028600.6676/1000000</f>
        <v>10233.028600667601</v>
      </c>
      <c r="AE20" s="73">
        <v>10208.529139320999</v>
      </c>
      <c r="AF20" s="73">
        <v>11472.671571795789</v>
      </c>
      <c r="AG20" s="73">
        <v>10790.547469532423</v>
      </c>
      <c r="AH20" s="73">
        <v>11077.983588585905</v>
      </c>
      <c r="AI20" s="73">
        <v>11386.965593670795</v>
      </c>
      <c r="AJ20" s="73">
        <v>10866.74561799052</v>
      </c>
      <c r="AK20" s="73">
        <v>11142.155878206806</v>
      </c>
      <c r="AL20" s="73">
        <v>10781.161223900424</v>
      </c>
    </row>
    <row r="21" spans="1:38" x14ac:dyDescent="0.3">
      <c r="A21" s="70" t="s">
        <v>1662</v>
      </c>
      <c r="B21" t="s">
        <v>1630</v>
      </c>
      <c r="C21" s="73"/>
      <c r="D21" s="73"/>
      <c r="E21" s="73"/>
      <c r="F21" s="73"/>
      <c r="G21" s="73"/>
      <c r="H21" s="73"/>
      <c r="I21" s="73"/>
      <c r="J21" s="73"/>
      <c r="K21" s="73"/>
      <c r="L21" s="73"/>
      <c r="M21" s="73"/>
      <c r="N21" s="73"/>
      <c r="O21" s="73"/>
      <c r="P21" s="73"/>
      <c r="Q21" s="73"/>
      <c r="R21" s="73"/>
      <c r="S21" s="73"/>
      <c r="T21" s="73"/>
      <c r="U21" s="73"/>
      <c r="V21" s="73"/>
      <c r="W21" s="73"/>
      <c r="X21" s="73"/>
      <c r="Y21" s="73"/>
      <c r="Z21" s="73">
        <v>0</v>
      </c>
      <c r="AA21" s="73">
        <v>0</v>
      </c>
      <c r="AB21" s="73">
        <v>0</v>
      </c>
      <c r="AC21" s="73">
        <v>0</v>
      </c>
      <c r="AD21" s="73">
        <f>4402153139.4231/1000000</f>
        <v>4402.1531394231006</v>
      </c>
      <c r="AE21" s="73">
        <v>4226.7422584685</v>
      </c>
      <c r="AF21" s="73">
        <v>4131.4215823435588</v>
      </c>
      <c r="AG21" s="73">
        <v>4222.1081228286794</v>
      </c>
      <c r="AH21" s="73">
        <v>4199.3916795274017</v>
      </c>
      <c r="AI21" s="73">
        <v>4108.3394911888945</v>
      </c>
      <c r="AJ21" s="73">
        <v>4015.3597507117092</v>
      </c>
      <c r="AK21" s="73">
        <v>4073.6267270282442</v>
      </c>
      <c r="AL21" s="73">
        <v>4086.1255022743076</v>
      </c>
    </row>
    <row r="22" spans="1:38" x14ac:dyDescent="0.3">
      <c r="A22" s="70">
        <v>2400643102</v>
      </c>
      <c r="B22" t="s">
        <v>1628</v>
      </c>
      <c r="C22" s="73"/>
      <c r="D22" s="73"/>
      <c r="E22" s="73"/>
      <c r="F22" s="73"/>
      <c r="G22" s="73"/>
      <c r="H22" s="73"/>
      <c r="I22" s="73"/>
      <c r="J22" s="73"/>
      <c r="K22" s="73"/>
      <c r="L22" s="73"/>
      <c r="M22" s="73"/>
      <c r="N22" s="73"/>
      <c r="O22" s="73"/>
      <c r="P22" s="73"/>
      <c r="Q22" s="73"/>
      <c r="R22" s="73"/>
      <c r="S22" s="73"/>
      <c r="T22" s="73"/>
      <c r="U22" s="73"/>
      <c r="V22" s="73"/>
      <c r="W22" s="73"/>
      <c r="X22" s="73"/>
      <c r="Y22" s="73"/>
      <c r="Z22" s="73">
        <v>0</v>
      </c>
      <c r="AA22" s="73">
        <v>0</v>
      </c>
      <c r="AB22" s="73">
        <v>0</v>
      </c>
      <c r="AC22" s="73">
        <v>0</v>
      </c>
      <c r="AD22" s="73">
        <f>751194254.4271/1000000</f>
        <v>751.19425442709996</v>
      </c>
      <c r="AE22" s="73">
        <v>386.50536609109997</v>
      </c>
      <c r="AF22" s="73">
        <v>474.97901244026701</v>
      </c>
      <c r="AG22" s="73">
        <v>344.908460189202</v>
      </c>
      <c r="AH22" s="73">
        <v>198.88883043717399</v>
      </c>
      <c r="AI22" s="73">
        <v>169.52140469184101</v>
      </c>
      <c r="AJ22" s="73">
        <v>141.78691347906198</v>
      </c>
      <c r="AK22" s="73">
        <v>0.730727174618923</v>
      </c>
      <c r="AL22" s="73">
        <v>437.95314175687224</v>
      </c>
    </row>
    <row r="23" spans="1:38" x14ac:dyDescent="0.3">
      <c r="A23" s="70" t="s">
        <v>1661</v>
      </c>
      <c r="B23" t="s">
        <v>14</v>
      </c>
      <c r="C23" s="73"/>
      <c r="D23" s="73"/>
      <c r="E23" s="73"/>
      <c r="F23" s="73"/>
      <c r="G23" s="73"/>
      <c r="H23" s="73"/>
      <c r="I23" s="73"/>
      <c r="J23" s="73"/>
      <c r="K23" s="73"/>
      <c r="L23" s="73"/>
      <c r="M23" s="73"/>
      <c r="N23" s="73"/>
      <c r="O23" s="73"/>
      <c r="P23" s="73"/>
      <c r="Q23" s="73"/>
      <c r="R23" s="73"/>
      <c r="S23" s="73"/>
      <c r="T23" s="73"/>
      <c r="U23" s="73"/>
      <c r="V23" s="73"/>
      <c r="W23" s="73"/>
      <c r="X23" s="73"/>
      <c r="Y23" s="73"/>
      <c r="Z23" s="73">
        <v>0</v>
      </c>
      <c r="AA23" s="73">
        <v>0</v>
      </c>
      <c r="AB23" s="73">
        <v>0</v>
      </c>
      <c r="AC23" s="73">
        <v>0</v>
      </c>
      <c r="AD23" s="73">
        <f>2769993675.2752/1000000</f>
        <v>2769.9936752752001</v>
      </c>
      <c r="AE23" s="73">
        <v>2717.7171873886</v>
      </c>
      <c r="AF23" s="73">
        <v>2297.0147552411981</v>
      </c>
      <c r="AG23" s="73">
        <v>2434.4449388420448</v>
      </c>
      <c r="AH23" s="73">
        <v>2505.2080275206899</v>
      </c>
      <c r="AI23" s="73">
        <v>2499.1173814343615</v>
      </c>
      <c r="AJ23" s="73">
        <v>1990.8800746660445</v>
      </c>
      <c r="AK23" s="73">
        <v>2671.1992625906582</v>
      </c>
      <c r="AL23" s="73">
        <v>2600.2784063667054</v>
      </c>
    </row>
    <row r="24" spans="1:38" x14ac:dyDescent="0.3">
      <c r="A24" s="70" t="s">
        <v>1660</v>
      </c>
      <c r="B24" t="s">
        <v>328</v>
      </c>
      <c r="C24" s="1"/>
      <c r="D24" s="1"/>
      <c r="E24" s="1"/>
      <c r="F24" s="1"/>
      <c r="G24" s="1"/>
      <c r="H24" s="1"/>
      <c r="I24" s="1"/>
      <c r="J24" s="1"/>
      <c r="K24" s="1"/>
      <c r="L24" s="1"/>
      <c r="M24" s="1"/>
      <c r="N24" s="1"/>
      <c r="O24" s="1"/>
      <c r="P24" s="1"/>
      <c r="Q24" s="1"/>
      <c r="R24" s="1"/>
      <c r="S24" s="1"/>
      <c r="T24" s="1"/>
      <c r="U24" s="1"/>
      <c r="V24" s="1"/>
      <c r="W24" s="1"/>
      <c r="X24" s="1"/>
      <c r="Y24" s="1"/>
      <c r="Z24" s="1">
        <v>0</v>
      </c>
      <c r="AA24" s="1">
        <v>0</v>
      </c>
      <c r="AB24" s="1">
        <v>0</v>
      </c>
      <c r="AC24" s="1">
        <v>0</v>
      </c>
      <c r="AD24" s="1">
        <v>0</v>
      </c>
      <c r="AE24" s="1">
        <v>0</v>
      </c>
      <c r="AF24" s="1">
        <v>0</v>
      </c>
      <c r="AG24" s="1">
        <v>0</v>
      </c>
      <c r="AH24" s="1">
        <v>0</v>
      </c>
      <c r="AI24" s="1">
        <v>0</v>
      </c>
      <c r="AJ24" s="1">
        <v>0</v>
      </c>
      <c r="AK24" s="1">
        <v>0</v>
      </c>
      <c r="AL24" s="1">
        <v>0</v>
      </c>
    </row>
    <row r="25" spans="1:38" x14ac:dyDescent="0.3">
      <c r="A25" s="70">
        <v>2400343202</v>
      </c>
      <c r="B25" t="s">
        <v>1633</v>
      </c>
      <c r="C25" s="1"/>
      <c r="D25" s="1"/>
      <c r="E25" s="1"/>
      <c r="F25" s="1"/>
      <c r="G25" s="1"/>
      <c r="H25" s="1"/>
      <c r="I25" s="1"/>
      <c r="J25" s="1"/>
      <c r="K25" s="1"/>
      <c r="L25" s="1"/>
      <c r="M25" s="1"/>
      <c r="N25" s="1"/>
      <c r="O25" s="1"/>
      <c r="P25" s="1"/>
      <c r="Q25" s="1"/>
      <c r="R25" s="1"/>
      <c r="S25" s="1"/>
      <c r="T25" s="1"/>
      <c r="U25" s="1"/>
      <c r="V25" s="1"/>
      <c r="W25" s="1"/>
      <c r="X25" s="1"/>
      <c r="Y25" s="1"/>
      <c r="Z25" s="1">
        <v>0</v>
      </c>
      <c r="AA25" s="1">
        <v>0</v>
      </c>
      <c r="AB25" s="1">
        <v>0</v>
      </c>
      <c r="AC25" s="1">
        <v>0</v>
      </c>
      <c r="AD25" s="1">
        <v>0</v>
      </c>
      <c r="AE25" s="1">
        <v>0</v>
      </c>
      <c r="AF25" s="1">
        <v>0</v>
      </c>
      <c r="AG25" s="1">
        <v>0</v>
      </c>
      <c r="AH25" s="1">
        <v>0</v>
      </c>
      <c r="AI25" s="1">
        <v>0</v>
      </c>
      <c r="AJ25" s="1">
        <v>0</v>
      </c>
      <c r="AK25" s="1">
        <v>0</v>
      </c>
      <c r="AL25" s="1">
        <v>0</v>
      </c>
    </row>
    <row r="26" spans="1:38" x14ac:dyDescent="0.3">
      <c r="A26" s="70" t="s">
        <v>1659</v>
      </c>
      <c r="B26" t="s">
        <v>1611</v>
      </c>
      <c r="C26" s="1"/>
      <c r="D26" s="1"/>
      <c r="E26" s="1"/>
      <c r="F26" s="1"/>
      <c r="G26" s="1"/>
      <c r="H26" s="1"/>
      <c r="I26" s="1"/>
      <c r="J26" s="1"/>
      <c r="K26" s="1"/>
      <c r="L26" s="1"/>
      <c r="M26" s="1"/>
      <c r="N26" s="1"/>
      <c r="O26" s="1"/>
      <c r="P26" s="1"/>
      <c r="Q26" s="1"/>
      <c r="R26" s="1"/>
      <c r="S26" s="1"/>
      <c r="T26" s="1"/>
      <c r="U26" s="1"/>
      <c r="V26" s="1"/>
      <c r="W26" s="1"/>
      <c r="X26" s="1"/>
      <c r="Y26" s="1"/>
      <c r="Z26" s="1">
        <v>0</v>
      </c>
      <c r="AA26" s="1">
        <v>0</v>
      </c>
      <c r="AB26" s="1">
        <v>0</v>
      </c>
      <c r="AC26" s="1">
        <v>0</v>
      </c>
      <c r="AD26" s="1">
        <v>0</v>
      </c>
      <c r="AE26" s="1">
        <v>0</v>
      </c>
      <c r="AF26" s="1">
        <v>0</v>
      </c>
      <c r="AG26" s="1">
        <v>0</v>
      </c>
      <c r="AH26" s="1">
        <v>0</v>
      </c>
      <c r="AI26" s="1">
        <v>0</v>
      </c>
      <c r="AJ26" s="1">
        <v>0</v>
      </c>
      <c r="AK26" s="1">
        <v>0</v>
      </c>
      <c r="AL26" s="1">
        <v>0</v>
      </c>
    </row>
    <row r="27" spans="1:38" x14ac:dyDescent="0.3">
      <c r="A27" s="70">
        <v>2400543202</v>
      </c>
      <c r="B27" t="s">
        <v>1630</v>
      </c>
      <c r="C27" s="1"/>
      <c r="D27" s="1"/>
      <c r="E27" s="1"/>
      <c r="F27" s="1"/>
      <c r="G27" s="1"/>
      <c r="H27" s="1"/>
      <c r="I27" s="1"/>
      <c r="J27" s="1"/>
      <c r="K27" s="1"/>
      <c r="L27" s="1"/>
      <c r="M27" s="1"/>
      <c r="N27" s="1"/>
      <c r="O27" s="1"/>
      <c r="P27" s="1"/>
      <c r="Q27" s="1"/>
      <c r="R27" s="1"/>
      <c r="S27" s="1"/>
      <c r="T27" s="1"/>
      <c r="U27" s="1"/>
      <c r="V27" s="1"/>
      <c r="W27" s="1"/>
      <c r="X27" s="1"/>
      <c r="Y27" s="1"/>
      <c r="Z27" s="1">
        <v>0</v>
      </c>
      <c r="AA27" s="1">
        <v>0</v>
      </c>
      <c r="AB27" s="1">
        <v>0</v>
      </c>
      <c r="AC27" s="1">
        <v>0</v>
      </c>
      <c r="AD27" s="1">
        <v>0</v>
      </c>
      <c r="AE27" s="1">
        <v>0</v>
      </c>
      <c r="AF27" s="1">
        <v>0</v>
      </c>
      <c r="AG27" s="1">
        <v>0</v>
      </c>
      <c r="AH27" s="1">
        <v>0</v>
      </c>
      <c r="AI27" s="1">
        <v>0</v>
      </c>
      <c r="AJ27" s="1">
        <v>0</v>
      </c>
      <c r="AK27" s="1">
        <v>0</v>
      </c>
      <c r="AL27" s="1">
        <v>0</v>
      </c>
    </row>
    <row r="28" spans="1:38" x14ac:dyDescent="0.3">
      <c r="A28" s="70">
        <v>2400643202</v>
      </c>
      <c r="B28" t="s">
        <v>1628</v>
      </c>
      <c r="C28" s="1"/>
      <c r="D28" s="1"/>
      <c r="E28" s="1"/>
      <c r="F28" s="1"/>
      <c r="G28" s="1"/>
      <c r="H28" s="1"/>
      <c r="I28" s="1"/>
      <c r="J28" s="1"/>
      <c r="K28" s="1"/>
      <c r="L28" s="1"/>
      <c r="M28" s="1"/>
      <c r="N28" s="1"/>
      <c r="O28" s="1"/>
      <c r="P28" s="1"/>
      <c r="Q28" s="1"/>
      <c r="R28" s="1"/>
      <c r="S28" s="1"/>
      <c r="T28" s="1"/>
      <c r="U28" s="1"/>
      <c r="V28" s="1"/>
      <c r="W28" s="1"/>
      <c r="X28" s="1"/>
      <c r="Y28" s="1"/>
      <c r="Z28" s="1">
        <v>0</v>
      </c>
      <c r="AA28" s="1">
        <v>0</v>
      </c>
      <c r="AB28" s="1">
        <v>0</v>
      </c>
      <c r="AC28" s="1">
        <v>0</v>
      </c>
      <c r="AD28" s="1">
        <v>0</v>
      </c>
      <c r="AE28" s="1">
        <v>0</v>
      </c>
      <c r="AF28" s="1">
        <v>0</v>
      </c>
      <c r="AG28" s="1">
        <v>0</v>
      </c>
      <c r="AH28" s="1">
        <v>0</v>
      </c>
      <c r="AI28" s="1">
        <v>0</v>
      </c>
      <c r="AJ28" s="1">
        <v>0</v>
      </c>
      <c r="AK28" s="1">
        <v>0</v>
      </c>
      <c r="AL28" s="1">
        <v>0</v>
      </c>
    </row>
    <row r="29" spans="1:38" x14ac:dyDescent="0.3">
      <c r="A29" s="70">
        <v>2400743202</v>
      </c>
      <c r="B29" t="s">
        <v>14</v>
      </c>
      <c r="C29" s="1"/>
      <c r="D29" s="1"/>
      <c r="E29" s="1"/>
      <c r="F29" s="1"/>
      <c r="G29" s="1"/>
      <c r="H29" s="1"/>
      <c r="I29" s="1"/>
      <c r="J29" s="1"/>
      <c r="K29" s="1"/>
      <c r="L29" s="1"/>
      <c r="M29" s="1"/>
      <c r="N29" s="1"/>
      <c r="O29" s="1"/>
      <c r="P29" s="1"/>
      <c r="Q29" s="1"/>
      <c r="R29" s="1"/>
      <c r="S29" s="1"/>
      <c r="T29" s="1"/>
      <c r="U29" s="1"/>
      <c r="V29" s="1"/>
      <c r="W29" s="1"/>
      <c r="X29" s="1"/>
      <c r="Y29" s="1"/>
      <c r="Z29" s="1">
        <v>0</v>
      </c>
      <c r="AA29" s="1">
        <v>0</v>
      </c>
      <c r="AB29" s="1">
        <v>0</v>
      </c>
      <c r="AC29" s="1">
        <v>0</v>
      </c>
      <c r="AD29" s="1">
        <v>0</v>
      </c>
      <c r="AE29" s="1">
        <v>0</v>
      </c>
      <c r="AF29" s="1">
        <v>0</v>
      </c>
      <c r="AG29" s="1">
        <v>0</v>
      </c>
      <c r="AH29" s="1">
        <v>0</v>
      </c>
      <c r="AI29" s="1">
        <v>0</v>
      </c>
      <c r="AJ29" s="1">
        <v>0</v>
      </c>
      <c r="AK29" s="1">
        <v>0</v>
      </c>
      <c r="AL29" s="1">
        <v>0</v>
      </c>
    </row>
    <row r="30" spans="1:38" x14ac:dyDescent="0.3">
      <c r="A30" s="70"/>
      <c r="AE30" s="2"/>
    </row>
    <row r="31" spans="1:38" x14ac:dyDescent="0.3">
      <c r="A31" s="70"/>
      <c r="AE31" s="2"/>
    </row>
    <row r="32" spans="1:38" x14ac:dyDescent="0.3">
      <c r="A32" s="70"/>
      <c r="AE32" s="2"/>
    </row>
    <row r="33" spans="1:31" x14ac:dyDescent="0.3">
      <c r="A33" s="70"/>
      <c r="AE33" s="2"/>
    </row>
    <row r="34" spans="1:31" x14ac:dyDescent="0.3">
      <c r="A34" s="70"/>
      <c r="AE34" s="2"/>
    </row>
    <row r="35" spans="1:31" x14ac:dyDescent="0.3">
      <c r="A35" s="70"/>
      <c r="AE35" s="2"/>
    </row>
    <row r="36" spans="1:31" x14ac:dyDescent="0.3">
      <c r="A36" s="70"/>
      <c r="AE36" s="2"/>
    </row>
    <row r="37" spans="1:31" x14ac:dyDescent="0.3">
      <c r="A37" s="70"/>
      <c r="AE37" s="2"/>
    </row>
    <row r="38" spans="1:31" x14ac:dyDescent="0.3">
      <c r="A38" s="70"/>
      <c r="AE38" s="2"/>
    </row>
    <row r="39" spans="1:31" x14ac:dyDescent="0.3">
      <c r="A39" s="70"/>
      <c r="AE39" s="2"/>
    </row>
    <row r="40" spans="1:31" x14ac:dyDescent="0.3">
      <c r="A40" s="70"/>
      <c r="AE40" s="2"/>
    </row>
    <row r="41" spans="1:31" x14ac:dyDescent="0.3">
      <c r="AE41" s="2"/>
    </row>
    <row r="42" spans="1:31" x14ac:dyDescent="0.3">
      <c r="AE42" s="2"/>
    </row>
    <row r="43" spans="1:31" x14ac:dyDescent="0.3">
      <c r="AE43" s="2"/>
    </row>
    <row r="44" spans="1:31" x14ac:dyDescent="0.3">
      <c r="AE44" s="2"/>
    </row>
    <row r="45" spans="1:31" x14ac:dyDescent="0.3">
      <c r="AE45" s="2"/>
    </row>
    <row r="46" spans="1:31" x14ac:dyDescent="0.3">
      <c r="AE46" s="2"/>
    </row>
    <row r="47" spans="1:31" x14ac:dyDescent="0.3">
      <c r="AE47" s="2"/>
    </row>
    <row r="48" spans="1:31" x14ac:dyDescent="0.3">
      <c r="AE48" s="2"/>
    </row>
    <row r="49" spans="31:31" x14ac:dyDescent="0.3">
      <c r="AE49" s="2"/>
    </row>
    <row r="50" spans="31:31" x14ac:dyDescent="0.3">
      <c r="AE50" s="2"/>
    </row>
    <row r="51" spans="31:31" x14ac:dyDescent="0.3">
      <c r="AE51" s="2"/>
    </row>
    <row r="52" spans="31:31" x14ac:dyDescent="0.3">
      <c r="AE52" s="2"/>
    </row>
    <row r="53" spans="31:31" x14ac:dyDescent="0.3">
      <c r="AE53" s="2"/>
    </row>
    <row r="54" spans="31:31" x14ac:dyDescent="0.3">
      <c r="AE54" s="2"/>
    </row>
    <row r="55" spans="31:31" x14ac:dyDescent="0.3">
      <c r="AE55"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00"/>
  <sheetViews>
    <sheetView zoomScale="94" zoomScaleNormal="66" workbookViewId="0">
      <pane xSplit="2" ySplit="2" topLeftCell="K3" activePane="bottomRight" state="frozen"/>
      <selection pane="topRight" activeCell="C1" sqref="C1"/>
      <selection pane="bottomLeft" activeCell="A3" sqref="A3"/>
      <selection pane="bottomRight" activeCell="R14" sqref="R14"/>
    </sheetView>
  </sheetViews>
  <sheetFormatPr baseColWidth="10" defaultRowHeight="14.4" x14ac:dyDescent="0.3"/>
  <cols>
    <col min="2" max="2" width="76.77734375" customWidth="1"/>
    <col min="3" max="3" width="12" style="1" hidden="1" customWidth="1"/>
    <col min="4" max="8" width="12" style="1" bestFit="1" customWidth="1"/>
  </cols>
  <sheetData>
    <row r="1" spans="1:16"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91</v>
      </c>
    </row>
    <row r="2" spans="1:16" x14ac:dyDescent="0.3">
      <c r="A2" s="13" t="s">
        <v>206</v>
      </c>
      <c r="B2" s="13" t="s">
        <v>205</v>
      </c>
      <c r="C2" s="19">
        <v>45261</v>
      </c>
      <c r="D2" s="19">
        <v>45627</v>
      </c>
      <c r="E2" s="19">
        <v>45658</v>
      </c>
      <c r="F2" s="19">
        <v>45689</v>
      </c>
      <c r="G2" s="19">
        <v>45717</v>
      </c>
      <c r="H2" s="19">
        <v>45748</v>
      </c>
      <c r="I2" s="19">
        <v>45778</v>
      </c>
      <c r="J2" s="19">
        <v>45809</v>
      </c>
      <c r="K2" s="19">
        <v>45839</v>
      </c>
      <c r="L2" s="19">
        <v>45870</v>
      </c>
      <c r="M2" s="19">
        <v>45901</v>
      </c>
      <c r="N2" s="19">
        <v>45931</v>
      </c>
      <c r="O2" s="19">
        <v>45962</v>
      </c>
      <c r="P2" s="19">
        <v>45992</v>
      </c>
    </row>
    <row r="3" spans="1:16" x14ac:dyDescent="0.3">
      <c r="A3" s="11">
        <v>25000</v>
      </c>
      <c r="B3" s="11" t="s">
        <v>90</v>
      </c>
      <c r="C3" s="49">
        <v>1.3310881850845864</v>
      </c>
      <c r="D3" s="49">
        <v>1.3310881850845864</v>
      </c>
      <c r="E3" s="49">
        <v>1.3105221267103926</v>
      </c>
      <c r="F3" s="49">
        <v>1.2916343144968334</v>
      </c>
      <c r="G3" s="49">
        <v>1.297912979199221</v>
      </c>
      <c r="H3" s="49">
        <v>1.3317193885934484</v>
      </c>
      <c r="I3" s="49">
        <v>1.3106420018617828</v>
      </c>
      <c r="J3" s="49">
        <v>1.3424052837478049</v>
      </c>
      <c r="K3" s="49">
        <v>1.355938025125119</v>
      </c>
      <c r="L3" s="49">
        <v>1.352169734865545</v>
      </c>
      <c r="M3" s="49">
        <v>1.362001601486549</v>
      </c>
      <c r="N3" s="49">
        <v>1.392855461567081</v>
      </c>
      <c r="O3" s="49">
        <v>1.3380957148984809</v>
      </c>
      <c r="P3" s="49">
        <v>1.3571747800440499</v>
      </c>
    </row>
    <row r="4" spans="1:16" x14ac:dyDescent="0.3">
      <c r="A4" s="11">
        <v>25001</v>
      </c>
      <c r="B4" s="11" t="s">
        <v>89</v>
      </c>
      <c r="C4" s="58">
        <v>142557062.69381878</v>
      </c>
      <c r="D4" s="58">
        <v>142557062.69381878</v>
      </c>
      <c r="E4" s="58">
        <v>144713419.2014516</v>
      </c>
      <c r="F4" s="58">
        <v>149113786.09164548</v>
      </c>
      <c r="G4" s="58">
        <v>146284205.03910124</v>
      </c>
      <c r="H4" s="58">
        <v>146317133.57141212</v>
      </c>
      <c r="I4" s="58">
        <v>148626653.06466177</v>
      </c>
      <c r="J4" s="58">
        <v>147301988.18067428</v>
      </c>
      <c r="K4" s="58">
        <v>147526173.5276013</v>
      </c>
      <c r="L4" s="58">
        <v>148544012.43393469</v>
      </c>
      <c r="M4" s="58">
        <v>149194064.88651419</v>
      </c>
      <c r="N4" s="58">
        <v>146788424.16008541</v>
      </c>
      <c r="O4" s="58">
        <v>151584713.78600749</v>
      </c>
      <c r="P4" s="58">
        <v>153734321.94592199</v>
      </c>
    </row>
    <row r="5" spans="1:16" x14ac:dyDescent="0.3">
      <c r="A5" s="11">
        <v>25002</v>
      </c>
      <c r="B5" s="11" t="s">
        <v>88</v>
      </c>
      <c r="C5" s="58">
        <v>1131358.5528609431</v>
      </c>
      <c r="D5" s="58">
        <v>1131358.5528609431</v>
      </c>
      <c r="E5" s="58">
        <v>1561489.0279872045</v>
      </c>
      <c r="F5" s="58">
        <v>1371957.0337736683</v>
      </c>
      <c r="G5" s="58">
        <v>1216898.6513836628</v>
      </c>
      <c r="H5" s="58">
        <v>1727397.4334616596</v>
      </c>
      <c r="I5" s="58">
        <v>1724529.4373593465</v>
      </c>
      <c r="J5" s="58">
        <v>2017682.0372740838</v>
      </c>
      <c r="K5" s="58">
        <v>2051148.1648319946</v>
      </c>
      <c r="L5" s="58">
        <v>1973908.0042827949</v>
      </c>
      <c r="M5" s="58">
        <v>1845649.359071061</v>
      </c>
      <c r="N5" s="58">
        <v>1574926.450312247</v>
      </c>
      <c r="O5" s="58">
        <v>2010281.942035578</v>
      </c>
      <c r="P5" s="58">
        <v>2084309.2817289231</v>
      </c>
    </row>
    <row r="6" spans="1:16" x14ac:dyDescent="0.3">
      <c r="A6" s="11">
        <v>25003</v>
      </c>
      <c r="B6" s="11" t="s">
        <v>87</v>
      </c>
      <c r="C6" s="58">
        <v>0</v>
      </c>
      <c r="D6" s="58">
        <v>0</v>
      </c>
      <c r="E6" s="58">
        <v>0</v>
      </c>
      <c r="F6" s="58">
        <v>0</v>
      </c>
      <c r="G6" s="58">
        <v>0</v>
      </c>
      <c r="H6" s="58">
        <v>0</v>
      </c>
      <c r="I6" s="58">
        <v>0</v>
      </c>
      <c r="J6" s="58">
        <v>0</v>
      </c>
      <c r="K6" s="58">
        <v>0</v>
      </c>
      <c r="L6" s="58">
        <v>0</v>
      </c>
      <c r="M6" s="58">
        <v>0</v>
      </c>
      <c r="N6" s="58">
        <v>0</v>
      </c>
      <c r="O6" s="58">
        <v>0</v>
      </c>
      <c r="P6" s="58">
        <v>0</v>
      </c>
    </row>
    <row r="7" spans="1:16" x14ac:dyDescent="0.3">
      <c r="A7" s="11">
        <v>25004</v>
      </c>
      <c r="B7" s="11" t="s">
        <v>86</v>
      </c>
      <c r="C7" s="58">
        <v>0</v>
      </c>
      <c r="D7" s="58">
        <v>0</v>
      </c>
      <c r="E7" s="58">
        <v>0</v>
      </c>
      <c r="F7" s="58">
        <v>0</v>
      </c>
      <c r="G7" s="58">
        <v>0</v>
      </c>
      <c r="H7" s="58">
        <v>0</v>
      </c>
      <c r="I7" s="58">
        <v>0</v>
      </c>
      <c r="J7" s="58">
        <v>0</v>
      </c>
      <c r="K7" s="58">
        <v>0</v>
      </c>
      <c r="L7" s="58">
        <v>0</v>
      </c>
      <c r="M7" s="58">
        <v>0</v>
      </c>
      <c r="N7" s="58">
        <v>0</v>
      </c>
      <c r="O7" s="58">
        <v>0</v>
      </c>
      <c r="P7" s="58">
        <v>0</v>
      </c>
    </row>
    <row r="8" spans="1:16" x14ac:dyDescent="0.3">
      <c r="A8" s="11">
        <v>25005</v>
      </c>
      <c r="B8" s="11" t="s">
        <v>85</v>
      </c>
      <c r="C8" s="58">
        <v>0</v>
      </c>
      <c r="D8" s="58">
        <v>0</v>
      </c>
      <c r="E8" s="58">
        <v>0</v>
      </c>
      <c r="F8" s="58">
        <v>0</v>
      </c>
      <c r="G8" s="58">
        <v>0</v>
      </c>
      <c r="H8" s="58">
        <v>0</v>
      </c>
      <c r="I8" s="58">
        <v>0</v>
      </c>
      <c r="J8" s="58">
        <v>0</v>
      </c>
      <c r="K8" s="58">
        <v>0</v>
      </c>
      <c r="L8" s="58">
        <v>0</v>
      </c>
      <c r="M8" s="58">
        <v>0</v>
      </c>
      <c r="N8" s="58">
        <v>0</v>
      </c>
      <c r="O8" s="58">
        <v>0</v>
      </c>
      <c r="P8" s="58">
        <v>0</v>
      </c>
    </row>
    <row r="9" spans="1:16" x14ac:dyDescent="0.3">
      <c r="A9" s="11">
        <v>25006</v>
      </c>
      <c r="B9" s="11" t="s">
        <v>84</v>
      </c>
      <c r="C9" s="58">
        <v>569313.05726349016</v>
      </c>
      <c r="D9" s="58">
        <v>569313.05726349016</v>
      </c>
      <c r="E9" s="58">
        <v>830941.06420867355</v>
      </c>
      <c r="F9" s="58">
        <v>704585.19826327951</v>
      </c>
      <c r="G9" s="58">
        <v>611037.97726256726</v>
      </c>
      <c r="H9" s="58">
        <v>954060.96934563352</v>
      </c>
      <c r="I9" s="58">
        <v>952389.63671838515</v>
      </c>
      <c r="J9" s="58">
        <v>1117583.1259140656</v>
      </c>
      <c r="K9" s="58">
        <v>1132772.4515680796</v>
      </c>
      <c r="L9" s="58">
        <v>1092454.8692063091</v>
      </c>
      <c r="M9" s="58">
        <v>1019184.344357117</v>
      </c>
      <c r="N9" s="58">
        <v>870276.65776233154</v>
      </c>
      <c r="O9" s="58">
        <v>1113483.7948140651</v>
      </c>
      <c r="P9" s="58">
        <v>1155183.8356431271</v>
      </c>
    </row>
    <row r="10" spans="1:16" x14ac:dyDescent="0.3">
      <c r="A10" s="11">
        <v>25007</v>
      </c>
      <c r="B10" s="11" t="s">
        <v>83</v>
      </c>
      <c r="C10" s="58">
        <v>562045.49559745309</v>
      </c>
      <c r="D10" s="58">
        <v>562045.49559745309</v>
      </c>
      <c r="E10" s="58">
        <v>730547.96377853083</v>
      </c>
      <c r="F10" s="58">
        <v>667371.83551038883</v>
      </c>
      <c r="G10" s="58">
        <v>605860.67412109557</v>
      </c>
      <c r="H10" s="58">
        <v>773336.46411602595</v>
      </c>
      <c r="I10" s="58">
        <v>772139.80064096127</v>
      </c>
      <c r="J10" s="58">
        <v>900098.91136001819</v>
      </c>
      <c r="K10" s="58">
        <v>918375.71326391492</v>
      </c>
      <c r="L10" s="58">
        <v>881453.13507648557</v>
      </c>
      <c r="M10" s="58">
        <v>826465.01471394429</v>
      </c>
      <c r="N10" s="58">
        <v>704649.79254991491</v>
      </c>
      <c r="O10" s="58">
        <v>896798.14722151274</v>
      </c>
      <c r="P10" s="58">
        <v>929125.44608579611</v>
      </c>
    </row>
    <row r="11" spans="1:16" x14ac:dyDescent="0.3">
      <c r="A11" s="11">
        <v>25008</v>
      </c>
      <c r="B11" s="11" t="s">
        <v>82</v>
      </c>
      <c r="C11" s="58">
        <v>2388569.7124843132</v>
      </c>
      <c r="D11" s="58">
        <v>2388569.7124843132</v>
      </c>
      <c r="E11" s="58">
        <v>2261743.323611544</v>
      </c>
      <c r="F11" s="58">
        <v>2416584.5024570939</v>
      </c>
      <c r="G11" s="58">
        <v>2534827.9130139649</v>
      </c>
      <c r="H11" s="58">
        <v>2661378.418579217</v>
      </c>
      <c r="I11" s="58">
        <v>2762877.6640301971</v>
      </c>
      <c r="J11" s="58">
        <v>2695621.6397688398</v>
      </c>
      <c r="K11" s="58">
        <v>2672972.9816915789</v>
      </c>
      <c r="L11" s="58">
        <v>2749093.7743047629</v>
      </c>
      <c r="M11" s="58">
        <v>2929052.872287502</v>
      </c>
      <c r="N11" s="58">
        <v>3075243.2519880659</v>
      </c>
      <c r="O11" s="58">
        <v>3147246.704246039</v>
      </c>
      <c r="P11" s="58">
        <v>3042823.448576482</v>
      </c>
    </row>
    <row r="12" spans="1:16" x14ac:dyDescent="0.3">
      <c r="A12" s="11">
        <v>25009</v>
      </c>
      <c r="B12" s="11" t="s">
        <v>81</v>
      </c>
      <c r="C12" s="58">
        <v>770076.53736900003</v>
      </c>
      <c r="D12" s="58">
        <v>770076.53736900003</v>
      </c>
      <c r="E12" s="58">
        <v>1055058.3318540002</v>
      </c>
      <c r="F12" s="58">
        <v>765089.64939200005</v>
      </c>
      <c r="G12" s="58">
        <v>1030039.5648350001</v>
      </c>
      <c r="H12" s="58">
        <v>930020.02970850014</v>
      </c>
      <c r="I12" s="58">
        <v>1035001.7465205</v>
      </c>
      <c r="J12" s="58">
        <v>609939.77562700002</v>
      </c>
      <c r="K12" s="58">
        <v>915056.8</v>
      </c>
      <c r="L12" s="58">
        <v>734974.44805800007</v>
      </c>
      <c r="M12" s="58">
        <v>965821.71944400005</v>
      </c>
      <c r="N12" s="58">
        <v>835023.15426200011</v>
      </c>
      <c r="O12" s="58">
        <v>925359.9965445</v>
      </c>
      <c r="P12" s="58">
        <v>1075080.907346</v>
      </c>
    </row>
    <row r="13" spans="1:16" x14ac:dyDescent="0.3">
      <c r="A13" s="11">
        <v>25010</v>
      </c>
      <c r="B13" s="11" t="s">
        <v>80</v>
      </c>
      <c r="C13" s="58">
        <v>0</v>
      </c>
      <c r="D13" s="58">
        <v>0</v>
      </c>
      <c r="E13" s="58">
        <v>0</v>
      </c>
      <c r="F13" s="58">
        <v>0</v>
      </c>
      <c r="G13" s="58">
        <v>0</v>
      </c>
      <c r="H13" s="58">
        <v>0</v>
      </c>
      <c r="I13" s="58">
        <v>0</v>
      </c>
      <c r="J13" s="58">
        <v>0</v>
      </c>
      <c r="K13" s="58">
        <v>0</v>
      </c>
      <c r="L13" s="58">
        <v>0</v>
      </c>
      <c r="M13" s="58">
        <v>0</v>
      </c>
      <c r="N13" s="58">
        <v>0</v>
      </c>
      <c r="O13" s="58">
        <v>0</v>
      </c>
      <c r="P13" s="58">
        <v>0</v>
      </c>
    </row>
    <row r="14" spans="1:16" x14ac:dyDescent="0.3">
      <c r="A14" s="11">
        <v>25011</v>
      </c>
      <c r="B14" s="11" t="s">
        <v>79</v>
      </c>
      <c r="C14" s="58">
        <v>0</v>
      </c>
      <c r="D14" s="58">
        <v>0</v>
      </c>
      <c r="E14" s="58">
        <v>0</v>
      </c>
      <c r="F14" s="58">
        <v>0</v>
      </c>
      <c r="G14" s="58">
        <v>0</v>
      </c>
      <c r="H14" s="58">
        <v>0</v>
      </c>
      <c r="I14" s="58">
        <v>0</v>
      </c>
      <c r="J14" s="58">
        <v>0</v>
      </c>
      <c r="K14" s="58">
        <v>0</v>
      </c>
      <c r="L14" s="58">
        <v>0</v>
      </c>
      <c r="M14" s="58">
        <v>0</v>
      </c>
      <c r="N14" s="58">
        <v>0</v>
      </c>
      <c r="O14" s="58">
        <v>0</v>
      </c>
      <c r="P14" s="58">
        <v>0</v>
      </c>
    </row>
    <row r="15" spans="1:16" x14ac:dyDescent="0.3">
      <c r="A15" s="11">
        <v>25012</v>
      </c>
      <c r="B15" s="11" t="s">
        <v>78</v>
      </c>
      <c r="C15" s="58">
        <v>0</v>
      </c>
      <c r="D15" s="58">
        <v>0</v>
      </c>
      <c r="E15" s="58">
        <v>0</v>
      </c>
      <c r="F15" s="58">
        <v>0</v>
      </c>
      <c r="G15" s="58">
        <v>0</v>
      </c>
      <c r="H15" s="58">
        <v>0</v>
      </c>
      <c r="I15" s="58">
        <v>0</v>
      </c>
      <c r="J15" s="58">
        <v>0</v>
      </c>
      <c r="K15" s="58">
        <v>0</v>
      </c>
      <c r="L15" s="58">
        <v>0</v>
      </c>
      <c r="M15" s="58">
        <v>0</v>
      </c>
      <c r="N15" s="58">
        <v>0</v>
      </c>
      <c r="O15" s="58">
        <v>0</v>
      </c>
      <c r="P15" s="58">
        <v>0</v>
      </c>
    </row>
    <row r="16" spans="1:16" x14ac:dyDescent="0.3">
      <c r="A16" s="11">
        <v>25013</v>
      </c>
      <c r="B16" s="11" t="s">
        <v>77</v>
      </c>
      <c r="C16" s="58">
        <v>1367570.3356955724</v>
      </c>
      <c r="D16" s="58">
        <v>1367570.3356955724</v>
      </c>
      <c r="E16" s="58">
        <v>953540.77688556607</v>
      </c>
      <c r="F16" s="58">
        <v>1402907.7253391731</v>
      </c>
      <c r="G16" s="58">
        <v>1258622.2605015258</v>
      </c>
      <c r="H16" s="58">
        <v>1483072.6296501062</v>
      </c>
      <c r="I16" s="58">
        <v>1487194.896594604</v>
      </c>
      <c r="J16" s="58">
        <v>1843270.5340931397</v>
      </c>
      <c r="K16" s="58">
        <v>1513609.4742099084</v>
      </c>
      <c r="L16" s="58">
        <v>1767888.288568631</v>
      </c>
      <c r="M16" s="58">
        <v>1715196.220715584</v>
      </c>
      <c r="N16" s="58">
        <v>1990322.377903817</v>
      </c>
      <c r="O16" s="58">
        <v>1970576.860830884</v>
      </c>
      <c r="P16" s="58">
        <v>1714687.183268697</v>
      </c>
    </row>
    <row r="17" spans="1:16" x14ac:dyDescent="0.3">
      <c r="A17" s="11">
        <v>25014</v>
      </c>
      <c r="B17" s="11" t="s">
        <v>76</v>
      </c>
      <c r="C17" s="58">
        <v>0</v>
      </c>
      <c r="D17" s="58">
        <v>0</v>
      </c>
      <c r="E17" s="58">
        <v>0</v>
      </c>
      <c r="F17" s="58">
        <v>0</v>
      </c>
      <c r="G17" s="58">
        <v>0</v>
      </c>
      <c r="H17" s="58">
        <v>0</v>
      </c>
      <c r="I17" s="58">
        <v>0</v>
      </c>
      <c r="J17" s="58">
        <v>0</v>
      </c>
      <c r="K17" s="58">
        <v>0</v>
      </c>
      <c r="L17" s="58">
        <v>0</v>
      </c>
      <c r="M17" s="58">
        <v>0</v>
      </c>
      <c r="N17" s="58">
        <v>0</v>
      </c>
      <c r="O17" s="58">
        <v>0</v>
      </c>
      <c r="P17" s="58">
        <v>0</v>
      </c>
    </row>
    <row r="18" spans="1:16" x14ac:dyDescent="0.3">
      <c r="A18" s="11">
        <v>25015</v>
      </c>
      <c r="B18" s="11" t="s">
        <v>75</v>
      </c>
      <c r="C18" s="58">
        <v>250922.83941974049</v>
      </c>
      <c r="D18" s="58">
        <v>250922.83941974049</v>
      </c>
      <c r="E18" s="58">
        <v>253144.21487197749</v>
      </c>
      <c r="F18" s="58">
        <v>248587.12772592049</v>
      </c>
      <c r="G18" s="58">
        <v>246166.08767743851</v>
      </c>
      <c r="H18" s="58">
        <v>248285.75922061098</v>
      </c>
      <c r="I18" s="58">
        <v>240681.02091509302</v>
      </c>
      <c r="J18" s="58">
        <v>242411.33004870001</v>
      </c>
      <c r="K18" s="58">
        <v>244306.70748167048</v>
      </c>
      <c r="L18" s="58">
        <v>246231.03767813201</v>
      </c>
      <c r="M18" s="58">
        <v>248034.932127918</v>
      </c>
      <c r="N18" s="58">
        <v>249897.719822249</v>
      </c>
      <c r="O18" s="58">
        <v>251309.8468706545</v>
      </c>
      <c r="P18" s="58">
        <v>253055.3579617845</v>
      </c>
    </row>
    <row r="19" spans="1:16" x14ac:dyDescent="0.3">
      <c r="A19" s="11">
        <v>25016</v>
      </c>
      <c r="B19" s="11" t="s">
        <v>74</v>
      </c>
      <c r="C19" s="58">
        <v>903757.49025783618</v>
      </c>
      <c r="D19" s="58">
        <v>903757.49025783618</v>
      </c>
      <c r="E19" s="58">
        <v>908785.60296291427</v>
      </c>
      <c r="F19" s="58">
        <v>911681.84941311274</v>
      </c>
      <c r="G19" s="58">
        <v>974472.66754171159</v>
      </c>
      <c r="H19" s="58">
        <v>998069.87482266745</v>
      </c>
      <c r="I19" s="58">
        <v>976672.08515925379</v>
      </c>
      <c r="J19" s="58">
        <v>934128.75682492612</v>
      </c>
      <c r="K19" s="58">
        <v>925420.15260020283</v>
      </c>
      <c r="L19" s="58">
        <v>934874.31647958665</v>
      </c>
      <c r="M19" s="58">
        <v>1039511.286400534</v>
      </c>
      <c r="N19" s="58">
        <v>1012962.667886739</v>
      </c>
      <c r="O19" s="58">
        <v>988649.14613700658</v>
      </c>
      <c r="P19" s="58">
        <v>911915.25652392884</v>
      </c>
    </row>
    <row r="20" spans="1:16" x14ac:dyDescent="0.3">
      <c r="A20" s="11">
        <v>25017</v>
      </c>
      <c r="B20" s="11" t="s">
        <v>73</v>
      </c>
      <c r="C20" s="58">
        <v>401229.26983487979</v>
      </c>
      <c r="D20" s="58">
        <v>401229.26983487979</v>
      </c>
      <c r="E20" s="58">
        <v>365422.3615050856</v>
      </c>
      <c r="F20" s="58">
        <v>355882.01989489421</v>
      </c>
      <c r="G20" s="58">
        <v>372221.25121735223</v>
      </c>
      <c r="H20" s="58">
        <v>396760.77375310473</v>
      </c>
      <c r="I20" s="58">
        <v>223653.41486083344</v>
      </c>
      <c r="J20" s="58">
        <v>196127.07080707885</v>
      </c>
      <c r="K20" s="58">
        <v>199509.48324604891</v>
      </c>
      <c r="L20" s="58">
        <v>225670.4420781247</v>
      </c>
      <c r="M20" s="58">
        <v>271655.48420750158</v>
      </c>
      <c r="N20" s="58">
        <v>277723.6544548776</v>
      </c>
      <c r="O20" s="58">
        <v>409945.72293279879</v>
      </c>
      <c r="P20" s="58">
        <v>372998.73824800178</v>
      </c>
    </row>
    <row r="21" spans="1:16" x14ac:dyDescent="0.3">
      <c r="A21" s="11">
        <v>25018</v>
      </c>
      <c r="B21" s="11" t="s">
        <v>72</v>
      </c>
      <c r="C21" s="58">
        <v>502528.22042295645</v>
      </c>
      <c r="D21" s="58">
        <v>502528.22042295645</v>
      </c>
      <c r="E21" s="58">
        <v>543363.24145782867</v>
      </c>
      <c r="F21" s="58">
        <v>555799.82951821852</v>
      </c>
      <c r="G21" s="58">
        <v>602251.41632435936</v>
      </c>
      <c r="H21" s="58">
        <v>601309.10106956272</v>
      </c>
      <c r="I21" s="58">
        <v>753018.67029842036</v>
      </c>
      <c r="J21" s="58">
        <v>738001.68601784727</v>
      </c>
      <c r="K21" s="58">
        <v>725910.66935415391</v>
      </c>
      <c r="L21" s="58">
        <v>709203.87440146192</v>
      </c>
      <c r="M21" s="58">
        <v>767855.80219303188</v>
      </c>
      <c r="N21" s="58">
        <v>735239.01343186188</v>
      </c>
      <c r="O21" s="58">
        <v>578703.42320420779</v>
      </c>
      <c r="P21" s="58">
        <v>538916.51827592705</v>
      </c>
    </row>
    <row r="22" spans="1:16" x14ac:dyDescent="0.3">
      <c r="A22" s="11">
        <v>25019</v>
      </c>
      <c r="B22" s="11" t="s">
        <v>71</v>
      </c>
      <c r="C22" s="58">
        <v>0</v>
      </c>
      <c r="D22" s="58">
        <v>0</v>
      </c>
      <c r="E22" s="58">
        <v>0</v>
      </c>
      <c r="F22" s="58">
        <v>0</v>
      </c>
      <c r="G22" s="58">
        <v>0</v>
      </c>
      <c r="H22" s="58">
        <v>0</v>
      </c>
      <c r="I22" s="58">
        <v>0</v>
      </c>
      <c r="J22" s="58">
        <v>0</v>
      </c>
      <c r="K22" s="58">
        <v>0</v>
      </c>
      <c r="L22" s="58">
        <v>0</v>
      </c>
      <c r="M22" s="58">
        <v>0</v>
      </c>
      <c r="N22" s="58">
        <v>0</v>
      </c>
      <c r="O22" s="58">
        <v>0</v>
      </c>
      <c r="P22" s="58">
        <v>0</v>
      </c>
    </row>
    <row r="23" spans="1:16" x14ac:dyDescent="0.3">
      <c r="A23" s="11">
        <v>25020</v>
      </c>
      <c r="B23" s="11" t="s">
        <v>70</v>
      </c>
      <c r="C23" s="58">
        <v>120684560.60136554</v>
      </c>
      <c r="D23" s="58">
        <v>120675219.2846427</v>
      </c>
      <c r="E23" s="58">
        <v>121444398.67054555</v>
      </c>
      <c r="F23" s="58">
        <v>121501576.21485418</v>
      </c>
      <c r="G23" s="58">
        <v>122271224.76343246</v>
      </c>
      <c r="H23" s="58">
        <v>122213716.75705066</v>
      </c>
      <c r="I23" s="58">
        <v>123969808.90155163</v>
      </c>
      <c r="J23" s="58">
        <v>122699923.37343387</v>
      </c>
      <c r="K23" s="58">
        <v>123052589.78774717</v>
      </c>
      <c r="L23" s="58">
        <v>123895551.2581314</v>
      </c>
      <c r="M23" s="58">
        <v>124836325.68260451</v>
      </c>
      <c r="N23" s="58">
        <v>121567244.8918426</v>
      </c>
      <c r="O23" s="58">
        <v>125696953.35010441</v>
      </c>
      <c r="P23" s="58">
        <v>128258644.8165597</v>
      </c>
    </row>
    <row r="24" spans="1:16" x14ac:dyDescent="0.3">
      <c r="A24" s="11">
        <v>25021</v>
      </c>
      <c r="B24" s="11" t="s">
        <v>31</v>
      </c>
      <c r="C24" s="58">
        <v>25949589.123874515</v>
      </c>
      <c r="D24" s="58">
        <v>26060695.556342386</v>
      </c>
      <c r="E24" s="58">
        <v>25680537.759868477</v>
      </c>
      <c r="F24" s="58">
        <v>25630702.473581143</v>
      </c>
      <c r="G24" s="58">
        <v>25740139.678827818</v>
      </c>
      <c r="H24" s="58">
        <v>25856115.181969497</v>
      </c>
      <c r="I24" s="58">
        <v>26720826.751922384</v>
      </c>
      <c r="J24" s="58">
        <v>26202602.975569263</v>
      </c>
      <c r="K24" s="58">
        <v>26571333.501338992</v>
      </c>
      <c r="L24" s="58">
        <v>26854840.580741249</v>
      </c>
      <c r="M24" s="58">
        <v>26872740.365843009</v>
      </c>
      <c r="N24" s="58">
        <v>23620350.373300292</v>
      </c>
      <c r="O24" s="58">
        <v>27342513.81976188</v>
      </c>
      <c r="P24" s="58">
        <v>27427625.976488478</v>
      </c>
    </row>
    <row r="25" spans="1:16" x14ac:dyDescent="0.3">
      <c r="A25" s="11">
        <v>25022</v>
      </c>
      <c r="B25" s="11" t="s">
        <v>69</v>
      </c>
      <c r="C25" s="58">
        <v>5646627.072270371</v>
      </c>
      <c r="D25" s="58">
        <v>5853131.3047438962</v>
      </c>
      <c r="E25" s="58">
        <v>5929385.9840016654</v>
      </c>
      <c r="F25" s="58">
        <v>6069901.5494611049</v>
      </c>
      <c r="G25" s="58">
        <v>6182183.2186632343</v>
      </c>
      <c r="H25" s="58">
        <v>6242474.4157669442</v>
      </c>
      <c r="I25" s="58">
        <v>3586074.2085984452</v>
      </c>
      <c r="J25" s="58">
        <v>6500874.5144531643</v>
      </c>
      <c r="K25" s="58">
        <v>6664031.0215571811</v>
      </c>
      <c r="L25" s="58">
        <v>6790993.4063560348</v>
      </c>
      <c r="M25" s="58">
        <v>7659051.9995146096</v>
      </c>
      <c r="N25" s="58">
        <v>7651461.1449188702</v>
      </c>
      <c r="O25" s="58">
        <v>7721009.8428453896</v>
      </c>
      <c r="P25" s="58">
        <v>7589982.5992964758</v>
      </c>
    </row>
    <row r="26" spans="1:16" x14ac:dyDescent="0.3">
      <c r="A26" s="11">
        <v>25023</v>
      </c>
      <c r="B26" s="11" t="s">
        <v>68</v>
      </c>
      <c r="C26" s="58">
        <v>5940445.0159474621</v>
      </c>
      <c r="D26" s="58">
        <v>5668429.1189139178</v>
      </c>
      <c r="E26" s="58">
        <v>5587567.072527634</v>
      </c>
      <c r="F26" s="58">
        <v>5509228.2184333317</v>
      </c>
      <c r="G26" s="58">
        <v>5461103.5585479457</v>
      </c>
      <c r="H26" s="58">
        <v>5398490.1823534044</v>
      </c>
      <c r="I26" s="58">
        <v>8922491.1685914658</v>
      </c>
      <c r="J26" s="58">
        <v>5280932.3459298834</v>
      </c>
      <c r="K26" s="58">
        <v>5240963.1969497902</v>
      </c>
      <c r="L26" s="58">
        <v>5182387.9466203237</v>
      </c>
      <c r="M26" s="58">
        <v>4117363.6087403852</v>
      </c>
      <c r="N26" s="58">
        <v>4135614.9130154871</v>
      </c>
      <c r="O26" s="58">
        <v>4110859.1400398458</v>
      </c>
      <c r="P26" s="58">
        <v>4412760.4736954765</v>
      </c>
    </row>
    <row r="27" spans="1:16" x14ac:dyDescent="0.3">
      <c r="A27" s="11">
        <v>25024</v>
      </c>
      <c r="B27" s="11" t="s">
        <v>67</v>
      </c>
      <c r="C27" s="58">
        <v>0</v>
      </c>
      <c r="D27" s="58">
        <v>0</v>
      </c>
      <c r="E27" s="58">
        <v>0</v>
      </c>
      <c r="F27" s="58">
        <v>0</v>
      </c>
      <c r="G27" s="58">
        <v>0</v>
      </c>
      <c r="H27" s="58">
        <v>0</v>
      </c>
      <c r="I27" s="58">
        <v>0</v>
      </c>
      <c r="J27" s="58">
        <v>0</v>
      </c>
      <c r="K27" s="58">
        <v>0</v>
      </c>
      <c r="L27" s="58">
        <v>0</v>
      </c>
      <c r="M27" s="58">
        <v>0</v>
      </c>
      <c r="N27" s="58">
        <v>0</v>
      </c>
      <c r="O27" s="58">
        <v>0</v>
      </c>
      <c r="P27" s="58">
        <v>0</v>
      </c>
    </row>
    <row r="28" spans="1:16" x14ac:dyDescent="0.3">
      <c r="A28" s="11">
        <v>25025</v>
      </c>
      <c r="B28" s="11" t="s">
        <v>66</v>
      </c>
      <c r="C28" s="58">
        <v>7713897.2083488945</v>
      </c>
      <c r="D28" s="58">
        <v>7905822.568445906</v>
      </c>
      <c r="E28" s="58">
        <v>7605015.3545014653</v>
      </c>
      <c r="F28" s="58">
        <v>7619353.6448880592</v>
      </c>
      <c r="G28" s="58">
        <v>7672639.7812819146</v>
      </c>
      <c r="H28" s="58">
        <v>7734216.7207867056</v>
      </c>
      <c r="I28" s="58">
        <v>7793064.9173355689</v>
      </c>
      <c r="J28" s="58">
        <v>7957519.6752052708</v>
      </c>
      <c r="K28" s="58">
        <v>8050507.929306021</v>
      </c>
      <c r="L28" s="58">
        <v>8172484.6956342589</v>
      </c>
      <c r="M28" s="58">
        <v>8243416.0619631158</v>
      </c>
      <c r="N28" s="58">
        <v>4915980.1317682499</v>
      </c>
      <c r="O28" s="58">
        <v>8529740.9348203037</v>
      </c>
      <c r="P28" s="58">
        <v>8408762.0294490196</v>
      </c>
    </row>
    <row r="29" spans="1:16" x14ac:dyDescent="0.3">
      <c r="A29" s="11">
        <v>25026</v>
      </c>
      <c r="B29" s="11" t="s">
        <v>65</v>
      </c>
      <c r="C29" s="58">
        <v>6648619.8273077905</v>
      </c>
      <c r="D29" s="58">
        <v>6633312.5642386694</v>
      </c>
      <c r="E29" s="58">
        <v>6558569.3488377146</v>
      </c>
      <c r="F29" s="58">
        <v>6432219.0607986497</v>
      </c>
      <c r="G29" s="58">
        <v>6424213.1203347258</v>
      </c>
      <c r="H29" s="58">
        <v>6480933.8630624441</v>
      </c>
      <c r="I29" s="58">
        <v>6419196.4573969003</v>
      </c>
      <c r="J29" s="58">
        <v>6463276.4399809409</v>
      </c>
      <c r="K29" s="58">
        <v>6615831.3535259999</v>
      </c>
      <c r="L29" s="58">
        <v>6708974.5321306307</v>
      </c>
      <c r="M29" s="58">
        <v>6852908.6956249001</v>
      </c>
      <c r="N29" s="58">
        <v>6917294.1835976792</v>
      </c>
      <c r="O29" s="58">
        <v>6980903.9020563392</v>
      </c>
      <c r="P29" s="58">
        <v>7016120.8740475057</v>
      </c>
    </row>
    <row r="30" spans="1:16" x14ac:dyDescent="0.3">
      <c r="A30" s="11">
        <v>25027</v>
      </c>
      <c r="B30" s="11" t="s">
        <v>56</v>
      </c>
      <c r="C30" s="58">
        <v>94734971.477491021</v>
      </c>
      <c r="D30" s="58">
        <v>94614523.728300318</v>
      </c>
      <c r="E30" s="58">
        <v>95763860.910677075</v>
      </c>
      <c r="F30" s="58">
        <v>95870873.741273046</v>
      </c>
      <c r="G30" s="58">
        <v>96531085.084604636</v>
      </c>
      <c r="H30" s="58">
        <v>96357601.57508117</v>
      </c>
      <c r="I30" s="58">
        <v>97248982.14962925</v>
      </c>
      <c r="J30" s="58">
        <v>96497320.39786461</v>
      </c>
      <c r="K30" s="58">
        <v>96481256.286408171</v>
      </c>
      <c r="L30" s="58">
        <v>97040710.677390128</v>
      </c>
      <c r="M30" s="58">
        <v>97963585.316761479</v>
      </c>
      <c r="N30" s="58">
        <v>97946894.518542275</v>
      </c>
      <c r="O30" s="58">
        <v>98354439.530342475</v>
      </c>
      <c r="P30" s="58">
        <v>100831018.84007131</v>
      </c>
    </row>
    <row r="31" spans="1:16" x14ac:dyDescent="0.3">
      <c r="A31" s="11">
        <v>25028</v>
      </c>
      <c r="B31" s="11" t="s">
        <v>55</v>
      </c>
      <c r="C31" s="58">
        <v>3153883.7288084207</v>
      </c>
      <c r="D31" s="58">
        <v>3146174.3214465203</v>
      </c>
      <c r="E31" s="58">
        <v>3348010.6415441157</v>
      </c>
      <c r="F31" s="58">
        <v>3299040.7822188139</v>
      </c>
      <c r="G31" s="58">
        <v>3440240.2506265361</v>
      </c>
      <c r="H31" s="58">
        <v>3397125.9312890247</v>
      </c>
      <c r="I31" s="58">
        <v>3252571.8552290001</v>
      </c>
      <c r="J31" s="58">
        <v>2796752.7679983499</v>
      </c>
      <c r="K31" s="58">
        <v>2647626.0997966696</v>
      </c>
      <c r="L31" s="58">
        <v>2583189.2436211938</v>
      </c>
      <c r="M31" s="58">
        <v>2493162.0364347561</v>
      </c>
      <c r="N31" s="58">
        <v>2993632.3592031701</v>
      </c>
      <c r="O31" s="58">
        <v>2599930.3603138509</v>
      </c>
      <c r="P31" s="58">
        <v>5082811.48994397</v>
      </c>
    </row>
    <row r="32" spans="1:16" x14ac:dyDescent="0.3">
      <c r="A32" s="11">
        <v>25029</v>
      </c>
      <c r="B32" s="11" t="s">
        <v>54</v>
      </c>
      <c r="C32" s="58">
        <v>0</v>
      </c>
      <c r="D32" s="58">
        <v>0</v>
      </c>
      <c r="E32" s="58">
        <v>0</v>
      </c>
      <c r="F32" s="58">
        <v>0</v>
      </c>
      <c r="G32" s="58">
        <v>0</v>
      </c>
      <c r="H32" s="58">
        <v>0</v>
      </c>
      <c r="I32" s="58">
        <v>0</v>
      </c>
      <c r="J32" s="58">
        <v>0</v>
      </c>
      <c r="K32" s="58">
        <v>0</v>
      </c>
      <c r="L32" s="58">
        <v>0</v>
      </c>
      <c r="M32" s="58">
        <v>0</v>
      </c>
      <c r="N32" s="58">
        <v>0</v>
      </c>
      <c r="O32" s="58">
        <v>0</v>
      </c>
      <c r="P32" s="58">
        <v>0</v>
      </c>
    </row>
    <row r="33" spans="1:16" x14ac:dyDescent="0.3">
      <c r="A33" s="11">
        <v>25030</v>
      </c>
      <c r="B33" s="11" t="s">
        <v>64</v>
      </c>
      <c r="C33" s="58">
        <v>0</v>
      </c>
      <c r="D33" s="58">
        <v>0</v>
      </c>
      <c r="E33" s="58">
        <v>0</v>
      </c>
      <c r="F33" s="58">
        <v>0</v>
      </c>
      <c r="G33" s="58">
        <v>0</v>
      </c>
      <c r="H33" s="58">
        <v>0</v>
      </c>
      <c r="I33" s="58">
        <v>0</v>
      </c>
      <c r="J33" s="58">
        <v>0</v>
      </c>
      <c r="K33" s="58">
        <v>0</v>
      </c>
      <c r="L33" s="58">
        <v>0</v>
      </c>
      <c r="M33" s="58">
        <v>0</v>
      </c>
      <c r="N33" s="58">
        <v>0</v>
      </c>
      <c r="O33" s="58">
        <v>0</v>
      </c>
      <c r="P33" s="58">
        <v>0</v>
      </c>
    </row>
    <row r="34" spans="1:16" x14ac:dyDescent="0.3">
      <c r="A34" s="11">
        <v>25031</v>
      </c>
      <c r="B34" s="11" t="s">
        <v>63</v>
      </c>
      <c r="C34" s="58">
        <v>91581087.748682603</v>
      </c>
      <c r="D34" s="58">
        <v>91468349.406853795</v>
      </c>
      <c r="E34" s="58">
        <v>92415850.269132957</v>
      </c>
      <c r="F34" s="58">
        <v>92571832.959054232</v>
      </c>
      <c r="G34" s="58">
        <v>93090844.833978102</v>
      </c>
      <c r="H34" s="58">
        <v>92960475.643792138</v>
      </c>
      <c r="I34" s="58">
        <v>93996410.294400245</v>
      </c>
      <c r="J34" s="58">
        <v>93700567.629866257</v>
      </c>
      <c r="K34" s="58">
        <v>93833630.186611503</v>
      </c>
      <c r="L34" s="58">
        <v>94457521.433768928</v>
      </c>
      <c r="M34" s="58">
        <v>95470423.280326724</v>
      </c>
      <c r="N34" s="58">
        <v>94953262.1593391</v>
      </c>
      <c r="O34" s="58">
        <v>95754509.170028627</v>
      </c>
      <c r="P34" s="58">
        <v>95748207.350127295</v>
      </c>
    </row>
    <row r="35" spans="1:16" x14ac:dyDescent="0.3">
      <c r="A35" s="11">
        <v>25032</v>
      </c>
      <c r="B35" s="11" t="s">
        <v>62</v>
      </c>
      <c r="C35" s="58">
        <v>0</v>
      </c>
      <c r="D35" s="58">
        <v>0</v>
      </c>
      <c r="E35" s="58">
        <v>0</v>
      </c>
      <c r="F35" s="58">
        <v>0</v>
      </c>
      <c r="G35" s="58">
        <v>0</v>
      </c>
      <c r="H35" s="58">
        <v>0</v>
      </c>
      <c r="I35" s="58">
        <v>0</v>
      </c>
      <c r="J35" s="58">
        <v>0</v>
      </c>
      <c r="K35" s="58">
        <v>0</v>
      </c>
      <c r="L35" s="58">
        <v>0</v>
      </c>
      <c r="M35" s="58">
        <v>0</v>
      </c>
      <c r="N35" s="58">
        <v>0</v>
      </c>
      <c r="O35" s="58">
        <v>0</v>
      </c>
      <c r="P35" s="58">
        <v>0</v>
      </c>
    </row>
    <row r="36" spans="1:16" x14ac:dyDescent="0.3">
      <c r="A36" s="11">
        <v>25033</v>
      </c>
      <c r="B36" s="11" t="s">
        <v>61</v>
      </c>
      <c r="C36" s="58">
        <v>0</v>
      </c>
      <c r="D36" s="58">
        <v>0</v>
      </c>
      <c r="E36" s="58">
        <v>0</v>
      </c>
      <c r="F36" s="58">
        <v>0</v>
      </c>
      <c r="G36" s="58">
        <v>0</v>
      </c>
      <c r="H36" s="58">
        <v>0</v>
      </c>
      <c r="I36" s="58">
        <v>0</v>
      </c>
      <c r="J36" s="58">
        <v>0</v>
      </c>
      <c r="K36" s="58">
        <v>0</v>
      </c>
      <c r="L36" s="58">
        <v>0</v>
      </c>
      <c r="M36" s="58">
        <v>0</v>
      </c>
      <c r="N36" s="58">
        <v>0</v>
      </c>
      <c r="O36" s="58">
        <v>0</v>
      </c>
      <c r="P36" s="58">
        <v>0</v>
      </c>
    </row>
    <row r="37" spans="1:16" x14ac:dyDescent="0.3">
      <c r="A37" s="11">
        <v>25034</v>
      </c>
      <c r="B37" s="11" t="s">
        <v>60</v>
      </c>
      <c r="C37" s="58">
        <v>1291346.217224479</v>
      </c>
      <c r="D37" s="58">
        <v>1230669.6205856821</v>
      </c>
      <c r="E37" s="58">
        <v>1171343.8901165151</v>
      </c>
      <c r="F37" s="58">
        <v>1240020.4458191558</v>
      </c>
      <c r="G37" s="58">
        <v>1344091.416527757</v>
      </c>
      <c r="H37" s="58">
        <v>1377888.1815707989</v>
      </c>
      <c r="I37" s="58">
        <v>1506764.5460129802</v>
      </c>
      <c r="J37" s="58">
        <v>1447378.322483124</v>
      </c>
      <c r="K37" s="58">
        <v>1407355.342273019</v>
      </c>
      <c r="L37" s="58">
        <v>1608567.400707271</v>
      </c>
      <c r="M37" s="58">
        <v>1640100.4984427709</v>
      </c>
      <c r="N37" s="58">
        <v>1707832.7013562149</v>
      </c>
      <c r="O37" s="58">
        <v>1898943.783333682</v>
      </c>
      <c r="P37" s="58">
        <v>1387741.095257282</v>
      </c>
    </row>
    <row r="38" spans="1:16" x14ac:dyDescent="0.3">
      <c r="A38" s="11">
        <v>25035</v>
      </c>
      <c r="B38" s="11" t="s">
        <v>31</v>
      </c>
      <c r="C38" s="58">
        <v>260599.19884227897</v>
      </c>
      <c r="D38" s="58">
        <v>245839.34496138201</v>
      </c>
      <c r="E38" s="58">
        <v>243975.35441311501</v>
      </c>
      <c r="F38" s="58">
        <v>254388.78949395602</v>
      </c>
      <c r="G38" s="58">
        <v>265267.16397705697</v>
      </c>
      <c r="H38" s="58">
        <v>262629.61305189901</v>
      </c>
      <c r="I38" s="58">
        <v>276024.86371498002</v>
      </c>
      <c r="J38" s="58">
        <v>274984.41450922401</v>
      </c>
      <c r="K38" s="58">
        <v>285897.90327501902</v>
      </c>
      <c r="L38" s="58">
        <v>283813.12740417098</v>
      </c>
      <c r="M38" s="58">
        <v>286336.95598047099</v>
      </c>
      <c r="N38" s="58">
        <v>239662.71661581501</v>
      </c>
      <c r="O38" s="58">
        <v>294876.36749518203</v>
      </c>
      <c r="P38" s="58">
        <v>335047.17225388199</v>
      </c>
    </row>
    <row r="39" spans="1:16" x14ac:dyDescent="0.3">
      <c r="A39" s="11">
        <v>25036</v>
      </c>
      <c r="B39" s="11" t="s">
        <v>59</v>
      </c>
      <c r="C39" s="58">
        <v>150235.66720397898</v>
      </c>
      <c r="D39" s="58">
        <v>147715.86289248199</v>
      </c>
      <c r="E39" s="58">
        <v>143214.54159131501</v>
      </c>
      <c r="F39" s="58">
        <v>144528.471926556</v>
      </c>
      <c r="G39" s="58">
        <v>152835.42052145698</v>
      </c>
      <c r="H39" s="58">
        <v>151240.25898479897</v>
      </c>
      <c r="I39" s="58">
        <v>157165.73983198003</v>
      </c>
      <c r="J39" s="58">
        <v>147106.03934982402</v>
      </c>
      <c r="K39" s="58">
        <v>151733.241388119</v>
      </c>
      <c r="L39" s="58">
        <v>149409.00434507101</v>
      </c>
      <c r="M39" s="58">
        <v>152320.08463787101</v>
      </c>
      <c r="N39" s="58">
        <v>139073.84711331499</v>
      </c>
      <c r="O39" s="58">
        <v>146515.16360828199</v>
      </c>
      <c r="P39" s="58">
        <v>144545.13571458199</v>
      </c>
    </row>
    <row r="40" spans="1:16" x14ac:dyDescent="0.3">
      <c r="A40" s="11">
        <v>25037</v>
      </c>
      <c r="B40" s="11" t="s">
        <v>58</v>
      </c>
      <c r="C40" s="58">
        <v>49772.757903500002</v>
      </c>
      <c r="D40" s="58">
        <v>39435.838534399998</v>
      </c>
      <c r="E40" s="58">
        <v>38969.793965799996</v>
      </c>
      <c r="F40" s="58">
        <v>47083.206708800004</v>
      </c>
      <c r="G40" s="58">
        <v>51392.367295600001</v>
      </c>
      <c r="H40" s="58">
        <v>55409.480783500003</v>
      </c>
      <c r="I40" s="58">
        <v>56734.969713099999</v>
      </c>
      <c r="J40" s="58">
        <v>57683.65852769999</v>
      </c>
      <c r="K40" s="58">
        <v>56905.902458099998</v>
      </c>
      <c r="L40" s="58">
        <v>57348.556876499999</v>
      </c>
      <c r="M40" s="58">
        <v>57010.231138799987</v>
      </c>
      <c r="N40" s="58">
        <v>18976.259904400002</v>
      </c>
      <c r="O40" s="58">
        <v>60080.520613399996</v>
      </c>
      <c r="P40" s="58">
        <v>78400.641448000009</v>
      </c>
    </row>
    <row r="41" spans="1:16" x14ac:dyDescent="0.3">
      <c r="A41" s="11">
        <v>25038</v>
      </c>
      <c r="B41" s="11" t="s">
        <v>57</v>
      </c>
      <c r="C41" s="58">
        <v>60590.773734800001</v>
      </c>
      <c r="D41" s="58">
        <v>58687.643534499999</v>
      </c>
      <c r="E41" s="58">
        <v>61791.018855999995</v>
      </c>
      <c r="F41" s="58">
        <v>62777.110858599997</v>
      </c>
      <c r="G41" s="58">
        <v>61039.37616</v>
      </c>
      <c r="H41" s="58">
        <v>55979.873283599998</v>
      </c>
      <c r="I41" s="58">
        <v>62124.154169899994</v>
      </c>
      <c r="J41" s="58">
        <v>70194.716631699994</v>
      </c>
      <c r="K41" s="58">
        <v>77258.759428799996</v>
      </c>
      <c r="L41" s="58">
        <v>77055.5661826</v>
      </c>
      <c r="M41" s="58">
        <v>77006.640203800009</v>
      </c>
      <c r="N41" s="58">
        <v>81612.609598099996</v>
      </c>
      <c r="O41" s="58">
        <v>88280.683273500006</v>
      </c>
      <c r="P41" s="58">
        <v>112101.3950913</v>
      </c>
    </row>
    <row r="42" spans="1:16" x14ac:dyDescent="0.3">
      <c r="A42" s="11">
        <v>25039</v>
      </c>
      <c r="B42" s="11" t="s">
        <v>56</v>
      </c>
      <c r="C42" s="58">
        <v>1030747.0183822</v>
      </c>
      <c r="D42" s="58">
        <v>984830.2756243</v>
      </c>
      <c r="E42" s="58">
        <v>927368.53570340003</v>
      </c>
      <c r="F42" s="58">
        <v>985631.65632519987</v>
      </c>
      <c r="G42" s="58">
        <v>1078824.2525507</v>
      </c>
      <c r="H42" s="58">
        <v>1115258.5685188998</v>
      </c>
      <c r="I42" s="58">
        <v>1230739.6822980002</v>
      </c>
      <c r="J42" s="58">
        <v>1172393.9079739</v>
      </c>
      <c r="K42" s="58">
        <v>1121457.438998</v>
      </c>
      <c r="L42" s="58">
        <v>1324754.2733030999</v>
      </c>
      <c r="M42" s="58">
        <v>1353763.5424623</v>
      </c>
      <c r="N42" s="58">
        <v>1468169.9847404</v>
      </c>
      <c r="O42" s="58">
        <v>1604067.4158385</v>
      </c>
      <c r="P42" s="58">
        <v>1052693.9230034</v>
      </c>
    </row>
    <row r="43" spans="1:16" x14ac:dyDescent="0.3">
      <c r="A43" s="11">
        <v>25040</v>
      </c>
      <c r="B43" s="11" t="s">
        <v>55</v>
      </c>
      <c r="C43" s="58">
        <v>0</v>
      </c>
      <c r="D43" s="58">
        <v>0</v>
      </c>
      <c r="E43" s="58">
        <v>0</v>
      </c>
      <c r="F43" s="58">
        <v>42839.308002700003</v>
      </c>
      <c r="G43" s="58">
        <v>0</v>
      </c>
      <c r="H43" s="58">
        <v>0</v>
      </c>
      <c r="I43" s="58">
        <v>0</v>
      </c>
      <c r="J43" s="58">
        <v>0</v>
      </c>
      <c r="K43" s="58">
        <v>0</v>
      </c>
      <c r="L43" s="58">
        <v>0</v>
      </c>
      <c r="M43" s="58">
        <v>0</v>
      </c>
      <c r="N43" s="58">
        <v>0</v>
      </c>
      <c r="O43" s="58">
        <v>0</v>
      </c>
      <c r="P43" s="58">
        <v>0</v>
      </c>
    </row>
    <row r="44" spans="1:16" x14ac:dyDescent="0.3">
      <c r="A44" s="11">
        <v>25041</v>
      </c>
      <c r="B44" s="11" t="s">
        <v>54</v>
      </c>
      <c r="C44" s="58">
        <v>0</v>
      </c>
      <c r="D44" s="58">
        <v>0</v>
      </c>
      <c r="E44" s="58">
        <v>0</v>
      </c>
      <c r="F44" s="58">
        <v>0</v>
      </c>
      <c r="G44" s="58">
        <v>0</v>
      </c>
      <c r="H44" s="58">
        <v>0</v>
      </c>
      <c r="I44" s="58">
        <v>0</v>
      </c>
      <c r="J44" s="58">
        <v>0</v>
      </c>
      <c r="K44" s="58">
        <v>0</v>
      </c>
      <c r="L44" s="58">
        <v>0</v>
      </c>
      <c r="M44" s="58">
        <v>0</v>
      </c>
      <c r="N44" s="58">
        <v>0</v>
      </c>
      <c r="O44" s="58">
        <v>0</v>
      </c>
      <c r="P44" s="58">
        <v>0</v>
      </c>
    </row>
    <row r="45" spans="1:16" x14ac:dyDescent="0.3">
      <c r="A45" s="11">
        <v>25042</v>
      </c>
      <c r="B45" s="11" t="s">
        <v>10</v>
      </c>
      <c r="C45" s="58">
        <v>0</v>
      </c>
      <c r="D45" s="58">
        <v>0</v>
      </c>
      <c r="E45" s="58">
        <v>0</v>
      </c>
      <c r="F45" s="58">
        <v>0</v>
      </c>
      <c r="G45" s="58">
        <v>0</v>
      </c>
      <c r="H45" s="58">
        <v>0</v>
      </c>
      <c r="I45" s="58">
        <v>0</v>
      </c>
      <c r="J45" s="58">
        <v>0</v>
      </c>
      <c r="K45" s="58">
        <v>0</v>
      </c>
      <c r="L45" s="58">
        <v>0</v>
      </c>
      <c r="M45" s="58">
        <v>0</v>
      </c>
      <c r="N45" s="58">
        <v>0</v>
      </c>
      <c r="O45" s="58">
        <v>0</v>
      </c>
      <c r="P45" s="58">
        <v>0</v>
      </c>
    </row>
    <row r="46" spans="1:16" x14ac:dyDescent="0.3">
      <c r="A46" s="11">
        <v>25043</v>
      </c>
      <c r="B46" s="11" t="s">
        <v>53</v>
      </c>
      <c r="C46" s="58">
        <v>1030747.0183822</v>
      </c>
      <c r="D46" s="58">
        <v>984830.2756243</v>
      </c>
      <c r="E46" s="58">
        <v>927368.53570340003</v>
      </c>
      <c r="F46" s="58">
        <v>942792.34832249989</v>
      </c>
      <c r="G46" s="58">
        <v>1078824.2525507</v>
      </c>
      <c r="H46" s="58">
        <v>1115258.5685188998</v>
      </c>
      <c r="I46" s="58">
        <v>1230739.6822980002</v>
      </c>
      <c r="J46" s="58">
        <v>1172393.9079739</v>
      </c>
      <c r="K46" s="58">
        <v>1121457.438998</v>
      </c>
      <c r="L46" s="58">
        <v>1324754.2733030999</v>
      </c>
      <c r="M46" s="58">
        <v>1353763.5424623</v>
      </c>
      <c r="N46" s="58">
        <v>1468169.9847404</v>
      </c>
      <c r="O46" s="58">
        <v>1604067.4158385</v>
      </c>
      <c r="P46" s="58">
        <v>1052693.9230034</v>
      </c>
    </row>
    <row r="47" spans="1:16" x14ac:dyDescent="0.3">
      <c r="A47" s="11">
        <v>25044</v>
      </c>
      <c r="B47" s="11" t="s">
        <v>52</v>
      </c>
      <c r="C47" s="58">
        <v>0</v>
      </c>
      <c r="D47" s="58">
        <v>0</v>
      </c>
      <c r="E47" s="58">
        <v>0</v>
      </c>
      <c r="F47" s="58">
        <v>0</v>
      </c>
      <c r="G47" s="58">
        <v>0</v>
      </c>
      <c r="H47" s="58">
        <v>0</v>
      </c>
      <c r="I47" s="58">
        <v>0</v>
      </c>
      <c r="J47" s="58">
        <v>0</v>
      </c>
      <c r="K47" s="58">
        <v>0</v>
      </c>
      <c r="L47" s="58">
        <v>0</v>
      </c>
      <c r="M47" s="58">
        <v>0</v>
      </c>
      <c r="N47" s="58">
        <v>0</v>
      </c>
      <c r="O47" s="58">
        <v>0</v>
      </c>
      <c r="P47" s="58">
        <v>0</v>
      </c>
    </row>
    <row r="48" spans="1:16" x14ac:dyDescent="0.3">
      <c r="A48" s="11">
        <v>25045</v>
      </c>
      <c r="B48" s="11" t="s">
        <v>51</v>
      </c>
      <c r="C48" s="58">
        <v>0</v>
      </c>
      <c r="D48" s="58">
        <v>0</v>
      </c>
      <c r="E48" s="58">
        <v>0</v>
      </c>
      <c r="F48" s="58">
        <v>0</v>
      </c>
      <c r="G48" s="58">
        <v>0</v>
      </c>
      <c r="H48" s="58">
        <v>0</v>
      </c>
      <c r="I48" s="58">
        <v>0</v>
      </c>
      <c r="J48" s="58">
        <v>0</v>
      </c>
      <c r="K48" s="58">
        <v>0</v>
      </c>
      <c r="L48" s="58">
        <v>0</v>
      </c>
      <c r="M48" s="58">
        <v>0</v>
      </c>
      <c r="N48" s="58">
        <v>0</v>
      </c>
      <c r="O48" s="58">
        <v>0</v>
      </c>
      <c r="P48" s="58">
        <v>0</v>
      </c>
    </row>
    <row r="49" spans="1:16" x14ac:dyDescent="0.3">
      <c r="A49" s="11">
        <v>25046</v>
      </c>
      <c r="B49" s="11" t="s">
        <v>50</v>
      </c>
      <c r="C49" s="58">
        <v>37016.343546075004</v>
      </c>
      <c r="D49" s="58">
        <v>37016.343546075004</v>
      </c>
      <c r="E49" s="58">
        <v>0</v>
      </c>
      <c r="F49" s="58">
        <v>33956.096000000005</v>
      </c>
      <c r="G49" s="58">
        <v>0</v>
      </c>
      <c r="H49" s="58">
        <v>0</v>
      </c>
      <c r="I49" s="58">
        <v>0</v>
      </c>
      <c r="J49" s="58">
        <v>0</v>
      </c>
      <c r="K49" s="58">
        <v>0</v>
      </c>
      <c r="L49" s="58">
        <v>0</v>
      </c>
      <c r="M49" s="58">
        <v>42648.069240249999</v>
      </c>
      <c r="N49" s="58">
        <v>0</v>
      </c>
      <c r="O49" s="58">
        <v>0</v>
      </c>
      <c r="P49" s="58">
        <v>0</v>
      </c>
    </row>
    <row r="50" spans="1:16" x14ac:dyDescent="0.3">
      <c r="A50" s="11">
        <v>25047</v>
      </c>
      <c r="B50" s="11" t="s">
        <v>49</v>
      </c>
      <c r="C50" s="58">
        <v>37016.343546075004</v>
      </c>
      <c r="D50" s="58">
        <v>37016.343546075004</v>
      </c>
      <c r="E50" s="58">
        <v>0</v>
      </c>
      <c r="F50" s="58">
        <v>33956.096000000005</v>
      </c>
      <c r="G50" s="58">
        <v>0</v>
      </c>
      <c r="H50" s="58">
        <v>0</v>
      </c>
      <c r="I50" s="58">
        <v>0</v>
      </c>
      <c r="J50" s="58">
        <v>0</v>
      </c>
      <c r="K50" s="58">
        <v>0</v>
      </c>
      <c r="L50" s="58">
        <v>0</v>
      </c>
      <c r="M50" s="58">
        <v>42648.069240249999</v>
      </c>
      <c r="N50" s="58">
        <v>0</v>
      </c>
      <c r="O50" s="58">
        <v>0</v>
      </c>
      <c r="P50" s="58">
        <v>0</v>
      </c>
    </row>
    <row r="51" spans="1:16" x14ac:dyDescent="0.3">
      <c r="A51" s="11">
        <v>25048</v>
      </c>
      <c r="B51" s="11" t="s">
        <v>48</v>
      </c>
      <c r="C51" s="58">
        <v>0</v>
      </c>
      <c r="D51" s="58">
        <v>0</v>
      </c>
      <c r="E51" s="58">
        <v>0</v>
      </c>
      <c r="F51" s="58">
        <v>0</v>
      </c>
      <c r="G51" s="58">
        <v>0</v>
      </c>
      <c r="H51" s="58">
        <v>0</v>
      </c>
      <c r="I51" s="58">
        <v>0</v>
      </c>
      <c r="J51" s="58">
        <v>0</v>
      </c>
      <c r="K51" s="58">
        <v>0</v>
      </c>
      <c r="L51" s="58">
        <v>0</v>
      </c>
      <c r="M51" s="58">
        <v>0</v>
      </c>
      <c r="N51" s="58">
        <v>0</v>
      </c>
      <c r="O51" s="58">
        <v>0</v>
      </c>
      <c r="P51" s="58">
        <v>0</v>
      </c>
    </row>
    <row r="52" spans="1:16" x14ac:dyDescent="0.3">
      <c r="A52" s="11">
        <v>25049</v>
      </c>
      <c r="B52" s="11" t="s">
        <v>47</v>
      </c>
      <c r="C52" s="58">
        <v>18144951.119925816</v>
      </c>
      <c r="D52" s="58">
        <v>16296710.403325211</v>
      </c>
      <c r="E52" s="58">
        <v>17365658.686227888</v>
      </c>
      <c r="F52" s="58">
        <v>21638009.949328255</v>
      </c>
      <c r="G52" s="58">
        <v>17942689.627201691</v>
      </c>
      <c r="H52" s="58">
        <v>17338682.905927107</v>
      </c>
      <c r="I52" s="58">
        <v>17686000.430548351</v>
      </c>
      <c r="J52" s="58">
        <v>17507254.050889432</v>
      </c>
      <c r="K52" s="58">
        <v>17416687.098457385</v>
      </c>
      <c r="L52" s="58">
        <v>17382017.68002893</v>
      </c>
      <c r="M52" s="58">
        <v>16860777.118467551</v>
      </c>
      <c r="N52" s="58">
        <v>17850214.196699601</v>
      </c>
      <c r="O52" s="58">
        <v>17842638.86015081</v>
      </c>
      <c r="P52" s="58">
        <v>18048888.047275629</v>
      </c>
    </row>
    <row r="53" spans="1:16" x14ac:dyDescent="0.3">
      <c r="A53" s="11">
        <v>25050</v>
      </c>
      <c r="B53" s="11" t="s">
        <v>46</v>
      </c>
      <c r="C53" s="58">
        <v>8017127.6328989808</v>
      </c>
      <c r="D53" s="58">
        <v>8191283.4449831117</v>
      </c>
      <c r="E53" s="58">
        <v>8370009.2504049605</v>
      </c>
      <c r="F53" s="58">
        <v>8458134.0420275312</v>
      </c>
      <c r="G53" s="58">
        <v>8600107.6123792306</v>
      </c>
      <c r="H53" s="58">
        <v>8723782.0353865698</v>
      </c>
      <c r="I53" s="58">
        <v>8847650.5547551308</v>
      </c>
      <c r="J53" s="58">
        <v>8896644.6290678605</v>
      </c>
      <c r="K53" s="58">
        <v>8994674.9693284724</v>
      </c>
      <c r="L53" s="58">
        <v>9071897.2382859401</v>
      </c>
      <c r="M53" s="58">
        <v>9179435.0381967295</v>
      </c>
      <c r="N53" s="58">
        <v>9266911.6002583634</v>
      </c>
      <c r="O53" s="58">
        <v>9367138.5074831825</v>
      </c>
      <c r="P53" s="58">
        <v>9436127.380214341</v>
      </c>
    </row>
    <row r="54" spans="1:16" x14ac:dyDescent="0.3">
      <c r="A54" s="11">
        <v>25051</v>
      </c>
      <c r="B54" s="11" t="s">
        <v>45</v>
      </c>
      <c r="C54" s="58">
        <v>61634.742776499996</v>
      </c>
      <c r="D54" s="58">
        <v>58024.750106500003</v>
      </c>
      <c r="E54" s="58">
        <v>54199.444922499999</v>
      </c>
      <c r="F54" s="58">
        <v>50917.810057499999</v>
      </c>
      <c r="G54" s="58">
        <v>51766.995392000004</v>
      </c>
      <c r="H54" s="58">
        <v>47086.099877000001</v>
      </c>
      <c r="I54" s="58">
        <v>40791.193370999994</v>
      </c>
      <c r="J54" s="58">
        <v>34852.478914499996</v>
      </c>
      <c r="K54" s="58">
        <v>32990.232010999993</v>
      </c>
      <c r="L54" s="58">
        <v>26987.061944000001</v>
      </c>
      <c r="M54" s="58">
        <v>25858.897165999999</v>
      </c>
      <c r="N54" s="58">
        <v>64173.165300499997</v>
      </c>
      <c r="O54" s="58">
        <v>55952.157247499999</v>
      </c>
      <c r="P54" s="58">
        <v>55952.157247499999</v>
      </c>
    </row>
    <row r="55" spans="1:16" x14ac:dyDescent="0.3">
      <c r="A55" s="11">
        <v>25052</v>
      </c>
      <c r="B55" s="11" t="s">
        <v>44</v>
      </c>
      <c r="C55" s="58">
        <v>0</v>
      </c>
      <c r="D55" s="58">
        <v>0</v>
      </c>
      <c r="E55" s="58">
        <v>0</v>
      </c>
      <c r="F55" s="58">
        <v>0</v>
      </c>
      <c r="G55" s="58">
        <v>0</v>
      </c>
      <c r="H55" s="58">
        <v>0</v>
      </c>
      <c r="I55" s="58">
        <v>0</v>
      </c>
      <c r="J55" s="58">
        <v>0</v>
      </c>
      <c r="K55" s="58">
        <v>0</v>
      </c>
      <c r="L55" s="58">
        <v>0</v>
      </c>
      <c r="M55" s="58">
        <v>0</v>
      </c>
      <c r="N55" s="58">
        <v>0</v>
      </c>
      <c r="O55" s="58">
        <v>0</v>
      </c>
      <c r="P55" s="58">
        <v>0</v>
      </c>
    </row>
    <row r="56" spans="1:16" x14ac:dyDescent="0.3">
      <c r="A56" s="11">
        <v>25053</v>
      </c>
      <c r="B56" s="11" t="s">
        <v>43</v>
      </c>
      <c r="C56" s="58">
        <v>2873453.8834799994</v>
      </c>
      <c r="D56" s="58">
        <v>1894414.12968</v>
      </c>
      <c r="E56" s="58">
        <v>2488990.54024</v>
      </c>
      <c r="F56" s="58">
        <v>6389474.3649700005</v>
      </c>
      <c r="G56" s="58">
        <v>2517669.6519700005</v>
      </c>
      <c r="H56" s="58">
        <v>1785967.4988799999</v>
      </c>
      <c r="I56" s="58">
        <v>2082487.9645599998</v>
      </c>
      <c r="J56" s="58">
        <v>1699273.7476900001</v>
      </c>
      <c r="K56" s="58">
        <v>1755416.49401</v>
      </c>
      <c r="L56" s="58">
        <v>1641953.32115</v>
      </c>
      <c r="M56" s="58">
        <v>989344.85985999997</v>
      </c>
      <c r="N56" s="58">
        <v>1791569.5440499999</v>
      </c>
      <c r="O56" s="58">
        <v>1721597.5862400001</v>
      </c>
      <c r="P56" s="58">
        <v>1721597.5862400001</v>
      </c>
    </row>
    <row r="57" spans="1:16" x14ac:dyDescent="0.3">
      <c r="A57" s="11">
        <v>25054</v>
      </c>
      <c r="B57" s="11" t="s">
        <v>42</v>
      </c>
      <c r="C57" s="58">
        <v>732036.38072000002</v>
      </c>
      <c r="D57" s="58">
        <v>602480.08860999998</v>
      </c>
      <c r="E57" s="58">
        <v>728294.59689999989</v>
      </c>
      <c r="F57" s="58">
        <v>759158.59835999995</v>
      </c>
      <c r="G57" s="58">
        <v>756604.51348999992</v>
      </c>
      <c r="H57" s="58">
        <v>664263.88424000004</v>
      </c>
      <c r="I57" s="58">
        <v>667859.58369</v>
      </c>
      <c r="J57" s="58">
        <v>726131.47423999989</v>
      </c>
      <c r="K57" s="58">
        <v>728074.48746999993</v>
      </c>
      <c r="L57" s="58">
        <v>703467.16096999997</v>
      </c>
      <c r="M57" s="58">
        <v>722602.08136000007</v>
      </c>
      <c r="N57" s="58">
        <v>709722.04669999995</v>
      </c>
      <c r="O57" s="58">
        <v>729217.89710000006</v>
      </c>
      <c r="P57" s="58">
        <v>729217.89710000006</v>
      </c>
    </row>
    <row r="58" spans="1:16" x14ac:dyDescent="0.3">
      <c r="A58" s="11">
        <v>25055</v>
      </c>
      <c r="B58" s="11" t="s">
        <v>41</v>
      </c>
      <c r="C58" s="58">
        <v>1917861.7340899999</v>
      </c>
      <c r="D58" s="58">
        <v>1811635.54513</v>
      </c>
      <c r="E58" s="58">
        <v>1793230.8553899997</v>
      </c>
      <c r="F58" s="58">
        <v>1939093.9147399997</v>
      </c>
      <c r="G58" s="58">
        <v>1926227.0439900002</v>
      </c>
      <c r="H58" s="58">
        <v>1951040.4062099999</v>
      </c>
      <c r="I58" s="58">
        <v>1868885.1461000002</v>
      </c>
      <c r="J58" s="58">
        <v>1871340.8776100003</v>
      </c>
      <c r="K58" s="58">
        <v>1846761.6824099999</v>
      </c>
      <c r="L58" s="58">
        <v>1851475.62583</v>
      </c>
      <c r="M58" s="58">
        <v>1888585.53476</v>
      </c>
      <c r="N58" s="58">
        <v>1872362.32702</v>
      </c>
      <c r="O58" s="58">
        <v>1856915.0621699989</v>
      </c>
      <c r="P58" s="58">
        <v>1856915.0621699989</v>
      </c>
    </row>
    <row r="59" spans="1:16" x14ac:dyDescent="0.3">
      <c r="A59" s="11">
        <v>25056</v>
      </c>
      <c r="B59" s="11" t="s">
        <v>40</v>
      </c>
      <c r="C59" s="58">
        <v>1705630.4450599998</v>
      </c>
      <c r="D59" s="58">
        <v>1496487.2287900001</v>
      </c>
      <c r="E59" s="58">
        <v>1475763.5735800001</v>
      </c>
      <c r="F59" s="58">
        <v>1481864.89111</v>
      </c>
      <c r="G59" s="58">
        <v>1451434.93188</v>
      </c>
      <c r="H59" s="58">
        <v>1482579.1471899999</v>
      </c>
      <c r="I59" s="58">
        <v>1491754.6151800002</v>
      </c>
      <c r="J59" s="58">
        <v>1489055.5905499998</v>
      </c>
      <c r="K59" s="58">
        <v>1495060.4239299996</v>
      </c>
      <c r="L59" s="58">
        <v>1463053.7181599999</v>
      </c>
      <c r="M59" s="58">
        <v>1435952.3427899999</v>
      </c>
      <c r="N59" s="58">
        <v>1439005.70288</v>
      </c>
      <c r="O59" s="58">
        <v>1382040.56583</v>
      </c>
      <c r="P59" s="58">
        <v>1382040.56583</v>
      </c>
    </row>
    <row r="60" spans="1:16" x14ac:dyDescent="0.3">
      <c r="A60" s="11">
        <v>25057</v>
      </c>
      <c r="B60" s="11" t="s">
        <v>39</v>
      </c>
      <c r="C60" s="58">
        <v>146285.63740000001</v>
      </c>
      <c r="D60" s="58">
        <v>171980.99176</v>
      </c>
      <c r="E60" s="58">
        <v>128049.96342999999</v>
      </c>
      <c r="F60" s="58">
        <v>158546.82300999999</v>
      </c>
      <c r="G60" s="58">
        <v>186050.65987</v>
      </c>
      <c r="H60" s="58">
        <v>214646.24708999999</v>
      </c>
      <c r="I60" s="58">
        <v>240708.41244000001</v>
      </c>
      <c r="J60" s="58">
        <v>270923.74375999998</v>
      </c>
      <c r="K60" s="58">
        <v>40664.671559999995</v>
      </c>
      <c r="L60" s="58">
        <v>72205.824489999999</v>
      </c>
      <c r="M60" s="58">
        <v>99197.425179999991</v>
      </c>
      <c r="N60" s="58">
        <v>127412.29398</v>
      </c>
      <c r="O60" s="58">
        <v>155626.43557</v>
      </c>
      <c r="P60" s="58">
        <v>155626.43557</v>
      </c>
    </row>
    <row r="61" spans="1:16" x14ac:dyDescent="0.3">
      <c r="A61" s="11">
        <v>25058</v>
      </c>
      <c r="B61" s="11" t="s">
        <v>38</v>
      </c>
      <c r="C61" s="58">
        <v>0</v>
      </c>
      <c r="D61" s="58">
        <v>0</v>
      </c>
      <c r="E61" s="58">
        <v>0</v>
      </c>
      <c r="F61" s="58">
        <v>0</v>
      </c>
      <c r="G61" s="58">
        <v>0</v>
      </c>
      <c r="H61" s="58">
        <v>0</v>
      </c>
      <c r="I61" s="58">
        <v>0</v>
      </c>
      <c r="J61" s="58">
        <v>0</v>
      </c>
      <c r="K61" s="58">
        <v>0</v>
      </c>
      <c r="L61" s="58">
        <v>0</v>
      </c>
      <c r="M61" s="58">
        <v>0</v>
      </c>
      <c r="N61" s="58">
        <v>0</v>
      </c>
      <c r="O61" s="58">
        <v>0</v>
      </c>
      <c r="P61" s="58">
        <v>0</v>
      </c>
    </row>
    <row r="62" spans="1:16" x14ac:dyDescent="0.3">
      <c r="A62" s="11">
        <v>25059</v>
      </c>
      <c r="B62" s="11" t="s">
        <v>37</v>
      </c>
      <c r="C62" s="58">
        <v>0</v>
      </c>
      <c r="D62" s="58">
        <v>0</v>
      </c>
      <c r="E62" s="58">
        <v>0</v>
      </c>
      <c r="F62" s="58">
        <v>0</v>
      </c>
      <c r="G62" s="58">
        <v>0</v>
      </c>
      <c r="H62" s="58">
        <v>0</v>
      </c>
      <c r="I62" s="58">
        <v>0</v>
      </c>
      <c r="J62" s="58">
        <v>0</v>
      </c>
      <c r="K62" s="58">
        <v>0</v>
      </c>
      <c r="L62" s="58">
        <v>0</v>
      </c>
      <c r="M62" s="58">
        <v>0</v>
      </c>
      <c r="N62" s="58">
        <v>0</v>
      </c>
      <c r="O62" s="58">
        <v>0</v>
      </c>
      <c r="P62" s="58">
        <v>0</v>
      </c>
    </row>
    <row r="63" spans="1:16" x14ac:dyDescent="0.3">
      <c r="A63" s="11">
        <v>25060</v>
      </c>
      <c r="B63" s="11" t="s">
        <v>36</v>
      </c>
      <c r="C63" s="58">
        <v>2573008.5880751433</v>
      </c>
      <c r="D63" s="58">
        <v>1846253.4349564072</v>
      </c>
      <c r="E63" s="58">
        <v>2213220.7371766409</v>
      </c>
      <c r="F63" s="58">
        <v>2272210.2177586919</v>
      </c>
      <c r="G63" s="58">
        <v>2322797.2759112623</v>
      </c>
      <c r="H63" s="58">
        <v>2340047.9719756013</v>
      </c>
      <c r="I63" s="58">
        <v>2314246.3129727133</v>
      </c>
      <c r="J63" s="58">
        <v>2388936.4502570028</v>
      </c>
      <c r="K63" s="58">
        <v>2392681.1832890622</v>
      </c>
      <c r="L63" s="58">
        <v>2424415.1373098898</v>
      </c>
      <c r="M63" s="58">
        <v>2393238.1996482401</v>
      </c>
      <c r="N63" s="58">
        <v>2453099.2888756031</v>
      </c>
      <c r="O63" s="58">
        <v>2437454.448575736</v>
      </c>
      <c r="P63" s="58">
        <v>2578581.5889358758</v>
      </c>
    </row>
    <row r="64" spans="1:16" x14ac:dyDescent="0.3">
      <c r="A64" s="11">
        <v>25061</v>
      </c>
      <c r="B64" s="11" t="s">
        <v>35</v>
      </c>
      <c r="C64" s="58">
        <v>117912.0754251911</v>
      </c>
      <c r="D64" s="58">
        <v>117912.0754251911</v>
      </c>
      <c r="E64" s="58">
        <v>113899.72418378573</v>
      </c>
      <c r="F64" s="58">
        <v>128609.28729452821</v>
      </c>
      <c r="G64" s="58">
        <v>130030.942319197</v>
      </c>
      <c r="H64" s="58">
        <v>129269.615077936</v>
      </c>
      <c r="I64" s="58">
        <v>131616.64747950586</v>
      </c>
      <c r="J64" s="58">
        <v>130095.05880007069</v>
      </c>
      <c r="K64" s="58">
        <v>130362.95444885403</v>
      </c>
      <c r="L64" s="58">
        <v>126562.5918890935</v>
      </c>
      <c r="M64" s="58">
        <v>126562.7395065812</v>
      </c>
      <c r="N64" s="58">
        <v>125958.2276351316</v>
      </c>
      <c r="O64" s="58">
        <v>136696.19993438659</v>
      </c>
      <c r="P64" s="58">
        <v>132829.37396791601</v>
      </c>
    </row>
    <row r="65" spans="1:16" x14ac:dyDescent="0.3">
      <c r="A65" s="57">
        <v>25062</v>
      </c>
      <c r="B65" s="57" t="s">
        <v>34</v>
      </c>
      <c r="C65" s="59">
        <v>194494807.30591512</v>
      </c>
      <c r="D65" s="59">
        <v>189756021.85210487</v>
      </c>
      <c r="E65" s="59">
        <v>189650137.89541891</v>
      </c>
      <c r="F65" s="59">
        <v>192600482.88050997</v>
      </c>
      <c r="G65" s="59">
        <v>189864168.37208959</v>
      </c>
      <c r="H65" s="59">
        <v>194853363.66046688</v>
      </c>
      <c r="I65" s="59">
        <v>194796334.10268497</v>
      </c>
      <c r="J65" s="59">
        <v>197738967.24029377</v>
      </c>
      <c r="K65" s="59">
        <v>200036348.38728133</v>
      </c>
      <c r="L65" s="59">
        <v>200856717.90865779</v>
      </c>
      <c r="M65" s="59">
        <v>203202555.30772039</v>
      </c>
      <c r="N65" s="59">
        <v>204455058.28620031</v>
      </c>
      <c r="O65" s="59">
        <v>202834855.96116921</v>
      </c>
      <c r="P65" s="59">
        <v>208644344.57217789</v>
      </c>
    </row>
    <row r="66" spans="1:16" x14ac:dyDescent="0.3">
      <c r="A66" s="11">
        <v>25063</v>
      </c>
      <c r="B66" s="11" t="s">
        <v>33</v>
      </c>
      <c r="C66" s="58">
        <v>35118734.445</v>
      </c>
      <c r="D66" s="58">
        <v>35505244.053228885</v>
      </c>
      <c r="E66" s="58">
        <v>36171501.427000001</v>
      </c>
      <c r="F66" s="58">
        <v>36765176.707000002</v>
      </c>
      <c r="G66" s="58">
        <v>37468818.656000003</v>
      </c>
      <c r="H66" s="58">
        <v>38073599.589564294</v>
      </c>
      <c r="I66" s="58">
        <v>37185387.555</v>
      </c>
      <c r="J66" s="58">
        <v>37769366.984999999</v>
      </c>
      <c r="K66" s="58">
        <v>38381364.829475284</v>
      </c>
      <c r="L66" s="58">
        <v>38976985.908999987</v>
      </c>
      <c r="M66" s="58">
        <v>39633336.884000003</v>
      </c>
      <c r="N66" s="58">
        <v>40281636.670000002</v>
      </c>
      <c r="O66" s="58">
        <v>39703830.967999987</v>
      </c>
      <c r="P66" s="58">
        <v>40340335.667999998</v>
      </c>
    </row>
    <row r="67" spans="1:16" x14ac:dyDescent="0.3">
      <c r="A67" s="11">
        <v>25064</v>
      </c>
      <c r="B67" s="11" t="s">
        <v>32</v>
      </c>
      <c r="C67" s="58">
        <v>134266226.70398307</v>
      </c>
      <c r="D67" s="58">
        <v>134428158.22302395</v>
      </c>
      <c r="E67" s="58">
        <v>137435166.35327139</v>
      </c>
      <c r="F67" s="58">
        <v>134622847.96917081</v>
      </c>
      <c r="G67" s="58">
        <v>137640167.81066656</v>
      </c>
      <c r="H67" s="58">
        <v>137946274.1270355</v>
      </c>
      <c r="I67" s="58">
        <v>141062672.26285344</v>
      </c>
      <c r="J67" s="58">
        <v>137488367.87569702</v>
      </c>
      <c r="K67" s="58">
        <v>140976034.74013045</v>
      </c>
      <c r="L67" s="58">
        <v>139382690.18302211</v>
      </c>
      <c r="M67" s="58">
        <v>142848252.55704421</v>
      </c>
      <c r="N67" s="58">
        <v>141382761.75857109</v>
      </c>
      <c r="O67" s="58">
        <v>142299787.56515861</v>
      </c>
      <c r="P67" s="58">
        <v>147782558.87417471</v>
      </c>
    </row>
    <row r="68" spans="1:16" x14ac:dyDescent="0.3">
      <c r="A68" s="11">
        <v>25065</v>
      </c>
      <c r="B68" s="11" t="s">
        <v>31</v>
      </c>
      <c r="C68" s="58">
        <v>111315146.09078097</v>
      </c>
      <c r="D68" s="58">
        <v>111422633.76075634</v>
      </c>
      <c r="E68" s="58">
        <v>108643606.0531504</v>
      </c>
      <c r="F68" s="58">
        <v>110171061.57843272</v>
      </c>
      <c r="G68" s="58">
        <v>109301170.86557207</v>
      </c>
      <c r="H68" s="58">
        <v>110767032.50623164</v>
      </c>
      <c r="I68" s="58">
        <v>111850558.03329302</v>
      </c>
      <c r="J68" s="58">
        <v>111008801.5367434</v>
      </c>
      <c r="K68" s="58">
        <v>112886106.52501824</v>
      </c>
      <c r="L68" s="58">
        <v>111923279.4712172</v>
      </c>
      <c r="M68" s="58">
        <v>113337248.3067745</v>
      </c>
      <c r="N68" s="58">
        <v>115586758.9172793</v>
      </c>
      <c r="O68" s="58">
        <v>113341311.2488202</v>
      </c>
      <c r="P68" s="58">
        <v>117331813.0178618</v>
      </c>
    </row>
    <row r="69" spans="1:16" x14ac:dyDescent="0.3">
      <c r="A69" s="11">
        <v>25066</v>
      </c>
      <c r="B69" s="11" t="s">
        <v>30</v>
      </c>
      <c r="C69" s="58">
        <v>0</v>
      </c>
      <c r="D69" s="58">
        <v>0</v>
      </c>
      <c r="E69" s="58">
        <v>0</v>
      </c>
      <c r="F69" s="58">
        <v>0</v>
      </c>
      <c r="G69" s="58">
        <v>0</v>
      </c>
      <c r="H69" s="58">
        <v>0</v>
      </c>
      <c r="I69" s="58">
        <v>0</v>
      </c>
      <c r="J69" s="58">
        <v>0</v>
      </c>
      <c r="K69" s="58">
        <v>0</v>
      </c>
      <c r="L69" s="58">
        <v>0</v>
      </c>
      <c r="M69" s="58">
        <v>0</v>
      </c>
      <c r="N69" s="58">
        <v>0</v>
      </c>
      <c r="O69" s="58">
        <v>0</v>
      </c>
      <c r="P69" s="58">
        <v>0</v>
      </c>
    </row>
    <row r="70" spans="1:16" x14ac:dyDescent="0.3">
      <c r="A70" s="11">
        <v>25067</v>
      </c>
      <c r="B70" s="11" t="s">
        <v>29</v>
      </c>
      <c r="C70" s="58">
        <v>51047811.016438551</v>
      </c>
      <c r="D70" s="58">
        <v>51121912.506569803</v>
      </c>
      <c r="E70" s="58">
        <v>50335547.584893316</v>
      </c>
      <c r="F70" s="58">
        <v>50544519.040063925</v>
      </c>
      <c r="G70" s="58">
        <v>50247158.668022595</v>
      </c>
      <c r="H70" s="58">
        <v>50819235.504865468</v>
      </c>
      <c r="I70" s="58">
        <v>51054662.557154395</v>
      </c>
      <c r="J70" s="58">
        <v>51358877.550090834</v>
      </c>
      <c r="K70" s="58">
        <v>51473425.345995285</v>
      </c>
      <c r="L70" s="58">
        <v>51726806.617101148</v>
      </c>
      <c r="M70" s="58">
        <v>51253627.653538607</v>
      </c>
      <c r="N70" s="58">
        <v>51599959.335428737</v>
      </c>
      <c r="O70" s="58">
        <v>51682519.192100033</v>
      </c>
      <c r="P70" s="58">
        <v>52158906.176307827</v>
      </c>
    </row>
    <row r="71" spans="1:16" x14ac:dyDescent="0.3">
      <c r="A71" s="11">
        <v>25068</v>
      </c>
      <c r="B71" s="11" t="s">
        <v>28</v>
      </c>
      <c r="C71" s="58">
        <v>10880488.89860481</v>
      </c>
      <c r="D71" s="58">
        <v>10960407.675429299</v>
      </c>
      <c r="E71" s="58">
        <v>10960272.574290631</v>
      </c>
      <c r="F71" s="58">
        <v>10696808.771621192</v>
      </c>
      <c r="G71" s="58">
        <v>10765152.360836733</v>
      </c>
      <c r="H71" s="58">
        <v>10744935.172209991</v>
      </c>
      <c r="I71" s="58">
        <v>11128114.258357011</v>
      </c>
      <c r="J71" s="58">
        <v>10876666.020331768</v>
      </c>
      <c r="K71" s="58">
        <v>11168381.109923106</v>
      </c>
      <c r="L71" s="58">
        <v>11290734.35785207</v>
      </c>
      <c r="M71" s="58">
        <v>11131957.758546369</v>
      </c>
      <c r="N71" s="58">
        <v>11174287.095003311</v>
      </c>
      <c r="O71" s="58">
        <v>11554284.90395648</v>
      </c>
      <c r="P71" s="58">
        <v>12154584.63402888</v>
      </c>
    </row>
    <row r="72" spans="1:16" x14ac:dyDescent="0.3">
      <c r="A72" s="11">
        <v>25069</v>
      </c>
      <c r="B72" s="11" t="s">
        <v>27</v>
      </c>
      <c r="C72" s="58">
        <v>0</v>
      </c>
      <c r="D72" s="58">
        <v>0</v>
      </c>
      <c r="E72" s="58">
        <v>0</v>
      </c>
      <c r="F72" s="58">
        <v>0</v>
      </c>
      <c r="G72" s="58">
        <v>0</v>
      </c>
      <c r="H72" s="58">
        <v>0</v>
      </c>
      <c r="I72" s="58">
        <v>0</v>
      </c>
      <c r="J72" s="58">
        <v>0</v>
      </c>
      <c r="K72" s="58">
        <v>0</v>
      </c>
      <c r="L72" s="58">
        <v>0</v>
      </c>
      <c r="M72" s="58">
        <v>0</v>
      </c>
      <c r="N72" s="58">
        <v>0</v>
      </c>
      <c r="O72" s="58">
        <v>0</v>
      </c>
      <c r="P72" s="58">
        <v>0</v>
      </c>
    </row>
    <row r="73" spans="1:16" x14ac:dyDescent="0.3">
      <c r="A73" s="11">
        <v>25070</v>
      </c>
      <c r="B73" s="11" t="s">
        <v>26</v>
      </c>
      <c r="C73" s="58">
        <v>16416556.838603469</v>
      </c>
      <c r="D73" s="58">
        <v>16387473.739026107</v>
      </c>
      <c r="E73" s="58">
        <v>16078539.294477208</v>
      </c>
      <c r="F73" s="58">
        <v>16207704.997102903</v>
      </c>
      <c r="G73" s="58">
        <v>16186101.418669844</v>
      </c>
      <c r="H73" s="58">
        <v>16364034.805859547</v>
      </c>
      <c r="I73" s="58">
        <v>16395979.252916604</v>
      </c>
      <c r="J73" s="58">
        <v>16542798.127227662</v>
      </c>
      <c r="K73" s="58">
        <v>16515660.531052103</v>
      </c>
      <c r="L73" s="58">
        <v>16486831.46102705</v>
      </c>
      <c r="M73" s="58">
        <v>16764448.730341909</v>
      </c>
      <c r="N73" s="58">
        <v>17074309.92223746</v>
      </c>
      <c r="O73" s="58">
        <v>16645220.72321184</v>
      </c>
      <c r="P73" s="58">
        <v>17214480.86360272</v>
      </c>
    </row>
    <row r="74" spans="1:16" x14ac:dyDescent="0.3">
      <c r="A74" s="11">
        <v>25071</v>
      </c>
      <c r="B74" s="11" t="s">
        <v>25</v>
      </c>
      <c r="C74" s="58">
        <v>738338.99989292992</v>
      </c>
      <c r="D74" s="58">
        <v>738355.44401495997</v>
      </c>
      <c r="E74" s="58">
        <v>704960.60590980004</v>
      </c>
      <c r="F74" s="58">
        <v>720277.84314099001</v>
      </c>
      <c r="G74" s="58">
        <v>746859.14591832017</v>
      </c>
      <c r="H74" s="58">
        <v>701572.29527852999</v>
      </c>
      <c r="I74" s="58">
        <v>724801.19872968015</v>
      </c>
      <c r="J74" s="58">
        <v>771109.74850320001</v>
      </c>
      <c r="K74" s="58">
        <v>795823.64729559002</v>
      </c>
      <c r="L74" s="58">
        <v>781564.44863898004</v>
      </c>
      <c r="M74" s="58">
        <v>818163.35919872997</v>
      </c>
      <c r="N74" s="58">
        <v>808635.24702315009</v>
      </c>
      <c r="O74" s="58">
        <v>824477.74034282996</v>
      </c>
      <c r="P74" s="58">
        <v>884579.10138342006</v>
      </c>
    </row>
    <row r="75" spans="1:16" x14ac:dyDescent="0.3">
      <c r="A75" s="11">
        <v>25072</v>
      </c>
      <c r="B75" s="11" t="s">
        <v>24</v>
      </c>
      <c r="C75" s="58">
        <v>32231950.33724121</v>
      </c>
      <c r="D75" s="58">
        <v>32214484.395716157</v>
      </c>
      <c r="E75" s="58">
        <v>30564285.993579444</v>
      </c>
      <c r="F75" s="58">
        <v>32001750.926503722</v>
      </c>
      <c r="G75" s="58">
        <v>31355899.272124566</v>
      </c>
      <c r="H75" s="58">
        <v>32137254.728018094</v>
      </c>
      <c r="I75" s="58">
        <v>32547000.766135331</v>
      </c>
      <c r="J75" s="58">
        <v>31459350.090589933</v>
      </c>
      <c r="K75" s="58">
        <v>32932815.89075217</v>
      </c>
      <c r="L75" s="58">
        <v>31637342.58659799</v>
      </c>
      <c r="M75" s="58">
        <v>33369050.805148929</v>
      </c>
      <c r="N75" s="58">
        <v>34929567.31758669</v>
      </c>
      <c r="O75" s="58">
        <v>32634808.68920907</v>
      </c>
      <c r="P75" s="58">
        <v>34919262.242538959</v>
      </c>
    </row>
    <row r="76" spans="1:16" x14ac:dyDescent="0.3">
      <c r="A76" s="11">
        <v>25073</v>
      </c>
      <c r="B76" s="11" t="s">
        <v>23</v>
      </c>
      <c r="C76" s="58">
        <v>22951080.613202095</v>
      </c>
      <c r="D76" s="58">
        <v>23005524.4622676</v>
      </c>
      <c r="E76" s="58">
        <v>28791560.300120998</v>
      </c>
      <c r="F76" s="58">
        <v>24451786.3907381</v>
      </c>
      <c r="G76" s="58">
        <v>28338996.945094503</v>
      </c>
      <c r="H76" s="58">
        <v>27179241.620803855</v>
      </c>
      <c r="I76" s="58">
        <v>29212114.229560435</v>
      </c>
      <c r="J76" s="58">
        <v>26479566.338953599</v>
      </c>
      <c r="K76" s="58">
        <v>28089928.215112217</v>
      </c>
      <c r="L76" s="58">
        <v>27459410.7118049</v>
      </c>
      <c r="M76" s="58">
        <v>29511004.250269629</v>
      </c>
      <c r="N76" s="58">
        <v>25796002.8412917</v>
      </c>
      <c r="O76" s="58">
        <v>28958476.316338331</v>
      </c>
      <c r="P76" s="58">
        <v>30450745.856312931</v>
      </c>
    </row>
    <row r="77" spans="1:16" x14ac:dyDescent="0.3">
      <c r="A77" s="11">
        <v>25074</v>
      </c>
      <c r="B77" s="11" t="s">
        <v>22</v>
      </c>
      <c r="C77" s="58">
        <v>16594904.685936</v>
      </c>
      <c r="D77" s="58">
        <v>16649348.535001403</v>
      </c>
      <c r="E77" s="58">
        <v>18129244.253838852</v>
      </c>
      <c r="F77" s="58">
        <v>18377908.524118252</v>
      </c>
      <c r="G77" s="58">
        <v>19315896.338632099</v>
      </c>
      <c r="H77" s="58">
        <v>19015648.151948795</v>
      </c>
      <c r="I77" s="58">
        <v>17765528.036047656</v>
      </c>
      <c r="J77" s="58">
        <v>19321627.300732203</v>
      </c>
      <c r="K77" s="58">
        <v>19224836.159446172</v>
      </c>
      <c r="L77" s="58">
        <v>19800509.97525917</v>
      </c>
      <c r="M77" s="58">
        <v>19006800.87059645</v>
      </c>
      <c r="N77" s="58">
        <v>20409173.619015411</v>
      </c>
      <c r="O77" s="58">
        <v>20417359.323866721</v>
      </c>
      <c r="P77" s="58">
        <v>20085254.484013211</v>
      </c>
    </row>
    <row r="78" spans="1:16" x14ac:dyDescent="0.3">
      <c r="A78" s="11">
        <v>25075</v>
      </c>
      <c r="B78" s="11" t="s">
        <v>21</v>
      </c>
      <c r="C78" s="58">
        <v>958346.23371664993</v>
      </c>
      <c r="D78" s="58">
        <v>958346.23371664993</v>
      </c>
      <c r="E78" s="58">
        <v>941474.40281040012</v>
      </c>
      <c r="F78" s="58">
        <v>946706.46441560006</v>
      </c>
      <c r="G78" s="58">
        <v>586576.68191625003</v>
      </c>
      <c r="H78" s="58">
        <v>1203041.3027920404</v>
      </c>
      <c r="I78" s="58">
        <v>1193902.0026777496</v>
      </c>
      <c r="J78" s="58">
        <v>1069775.1638415186</v>
      </c>
      <c r="K78" s="58">
        <v>1032056.3131716015</v>
      </c>
      <c r="L78" s="58">
        <v>1129115.7066640409</v>
      </c>
      <c r="M78" s="58">
        <v>1127987.2812295069</v>
      </c>
      <c r="N78" s="58">
        <v>916297.32034026552</v>
      </c>
      <c r="O78" s="58">
        <v>1149759.302045855</v>
      </c>
      <c r="P78" s="58">
        <v>1130991.1686203689</v>
      </c>
    </row>
    <row r="79" spans="1:16" x14ac:dyDescent="0.3">
      <c r="A79" s="11">
        <v>25076</v>
      </c>
      <c r="B79" s="11" t="s">
        <v>20</v>
      </c>
      <c r="C79" s="58">
        <v>422798.75058399996</v>
      </c>
      <c r="D79" s="58">
        <v>422798.75058399996</v>
      </c>
      <c r="E79" s="58">
        <v>201570.29325849999</v>
      </c>
      <c r="F79" s="58">
        <v>61358.938124000008</v>
      </c>
      <c r="G79" s="58">
        <v>152753.39032885002</v>
      </c>
      <c r="H79" s="58">
        <v>122216.07846523076</v>
      </c>
      <c r="I79" s="58">
        <v>153306.95246852952</v>
      </c>
      <c r="J79" s="58">
        <v>115502.177233476</v>
      </c>
      <c r="K79" s="58">
        <v>114768.66468584201</v>
      </c>
      <c r="L79" s="58">
        <v>81232.855539235999</v>
      </c>
      <c r="M79" s="58">
        <v>123336.0114006775</v>
      </c>
      <c r="N79" s="58">
        <v>72314.389987576506</v>
      </c>
      <c r="O79" s="58">
        <v>105087.485429454</v>
      </c>
      <c r="P79" s="58">
        <v>61849.825070894512</v>
      </c>
    </row>
    <row r="80" spans="1:16" x14ac:dyDescent="0.3">
      <c r="A80" s="11">
        <v>25077</v>
      </c>
      <c r="B80" s="11" t="s">
        <v>19</v>
      </c>
      <c r="C80" s="58">
        <v>0</v>
      </c>
      <c r="D80" s="58">
        <v>0</v>
      </c>
      <c r="E80" s="58">
        <v>0</v>
      </c>
      <c r="F80" s="58">
        <v>0</v>
      </c>
      <c r="G80" s="58">
        <v>0</v>
      </c>
      <c r="H80" s="58">
        <v>0</v>
      </c>
      <c r="I80" s="58">
        <v>0</v>
      </c>
      <c r="J80" s="58">
        <v>0</v>
      </c>
      <c r="K80" s="58">
        <v>0</v>
      </c>
      <c r="L80" s="58">
        <v>0</v>
      </c>
      <c r="M80" s="58">
        <v>0</v>
      </c>
      <c r="N80" s="58">
        <v>0</v>
      </c>
      <c r="O80" s="58">
        <v>0</v>
      </c>
      <c r="P80" s="58">
        <v>10058.333334950001</v>
      </c>
    </row>
    <row r="81" spans="1:16" x14ac:dyDescent="0.3">
      <c r="A81" s="11">
        <v>25078</v>
      </c>
      <c r="B81" s="11" t="s">
        <v>18</v>
      </c>
      <c r="C81" s="58">
        <v>4975030.9429654488</v>
      </c>
      <c r="D81" s="58">
        <v>4975030.9429655494</v>
      </c>
      <c r="E81" s="58">
        <v>9519271.3502132483</v>
      </c>
      <c r="F81" s="58">
        <v>5065812.4640802499</v>
      </c>
      <c r="G81" s="58">
        <v>8283770.5342172999</v>
      </c>
      <c r="H81" s="58">
        <v>6838336.0875977892</v>
      </c>
      <c r="I81" s="58">
        <v>10099377.238366498</v>
      </c>
      <c r="J81" s="58">
        <v>5972661.6971463999</v>
      </c>
      <c r="K81" s="58">
        <v>7718267.0778085999</v>
      </c>
      <c r="L81" s="58">
        <v>6448552.1743424507</v>
      </c>
      <c r="M81" s="58">
        <v>9252880.0870430004</v>
      </c>
      <c r="N81" s="58">
        <v>4398217.5119484495</v>
      </c>
      <c r="O81" s="58">
        <v>7286270.2049962999</v>
      </c>
      <c r="P81" s="58">
        <v>9162592.0452734996</v>
      </c>
    </row>
    <row r="82" spans="1:16" x14ac:dyDescent="0.3">
      <c r="A82" s="11">
        <v>25079</v>
      </c>
      <c r="B82" s="11" t="s">
        <v>17</v>
      </c>
      <c r="C82" s="58">
        <v>121704.89603856151</v>
      </c>
      <c r="D82" s="58">
        <v>121704.89603856151</v>
      </c>
      <c r="E82" s="58">
        <v>110715.05731153549</v>
      </c>
      <c r="F82" s="58">
        <v>101653.432523884</v>
      </c>
      <c r="G82" s="58">
        <v>93935.172124601988</v>
      </c>
      <c r="H82" s="58">
        <v>85438.620200956007</v>
      </c>
      <c r="I82" s="58">
        <v>79162.473295474498</v>
      </c>
      <c r="J82" s="58">
        <v>70852.161273788006</v>
      </c>
      <c r="K82" s="58">
        <v>66287.084262499993</v>
      </c>
      <c r="L82" s="58">
        <v>61077.921672725002</v>
      </c>
      <c r="M82" s="58">
        <v>56624.968066979993</v>
      </c>
      <c r="N82" s="58">
        <v>54210.020819126003</v>
      </c>
      <c r="O82" s="58">
        <v>49642.056261227001</v>
      </c>
      <c r="P82" s="58">
        <v>44228.9534996</v>
      </c>
    </row>
    <row r="83" spans="1:16" x14ac:dyDescent="0.3">
      <c r="A83" s="11">
        <v>25080</v>
      </c>
      <c r="B83" s="11" t="s">
        <v>16</v>
      </c>
      <c r="C83" s="58">
        <v>0</v>
      </c>
      <c r="D83" s="58">
        <v>0</v>
      </c>
      <c r="E83" s="58">
        <v>0</v>
      </c>
      <c r="F83" s="58">
        <v>0</v>
      </c>
      <c r="G83" s="58">
        <v>0</v>
      </c>
      <c r="H83" s="58">
        <v>0</v>
      </c>
      <c r="I83" s="58">
        <v>0</v>
      </c>
      <c r="J83" s="58">
        <v>0</v>
      </c>
      <c r="K83" s="58">
        <v>0</v>
      </c>
      <c r="L83" s="58">
        <v>0</v>
      </c>
      <c r="M83" s="58">
        <v>0</v>
      </c>
      <c r="N83" s="58">
        <v>0</v>
      </c>
      <c r="O83" s="58">
        <v>0</v>
      </c>
      <c r="P83" s="58">
        <v>0</v>
      </c>
    </row>
    <row r="84" spans="1:16" x14ac:dyDescent="0.3">
      <c r="A84" s="11">
        <v>25081</v>
      </c>
      <c r="B84" s="11" t="s">
        <v>15</v>
      </c>
      <c r="C84" s="58">
        <v>121704.89603856151</v>
      </c>
      <c r="D84" s="58">
        <v>121704.89603856151</v>
      </c>
      <c r="E84" s="58">
        <v>110715.05731153549</v>
      </c>
      <c r="F84" s="58">
        <v>101653.432523884</v>
      </c>
      <c r="G84" s="58">
        <v>93935.172124601988</v>
      </c>
      <c r="H84" s="58">
        <v>85438.620200956007</v>
      </c>
      <c r="I84" s="58">
        <v>79162.473295474498</v>
      </c>
      <c r="J84" s="58">
        <v>70852.161273788006</v>
      </c>
      <c r="K84" s="58">
        <v>66287.084262499993</v>
      </c>
      <c r="L84" s="58">
        <v>61077.921672725002</v>
      </c>
      <c r="M84" s="58">
        <v>56624.968066979993</v>
      </c>
      <c r="N84" s="58">
        <v>54210.020819126003</v>
      </c>
      <c r="O84" s="58">
        <v>49642.056261227001</v>
      </c>
      <c r="P84" s="58">
        <v>44228.9534996</v>
      </c>
    </row>
    <row r="85" spans="1:16" x14ac:dyDescent="0.3">
      <c r="A85" s="11">
        <v>25082</v>
      </c>
      <c r="B85" s="11" t="s">
        <v>14</v>
      </c>
      <c r="C85" s="58">
        <v>0</v>
      </c>
      <c r="D85" s="58">
        <v>0</v>
      </c>
      <c r="E85" s="58">
        <v>0</v>
      </c>
      <c r="F85" s="58">
        <v>0</v>
      </c>
      <c r="G85" s="58">
        <v>0</v>
      </c>
      <c r="H85" s="58">
        <v>0</v>
      </c>
      <c r="I85" s="58">
        <v>0</v>
      </c>
      <c r="J85" s="58">
        <v>0</v>
      </c>
      <c r="K85" s="58">
        <v>0</v>
      </c>
      <c r="L85" s="58">
        <v>0</v>
      </c>
      <c r="M85" s="58">
        <v>0</v>
      </c>
      <c r="N85" s="58">
        <v>0</v>
      </c>
      <c r="O85" s="58">
        <v>0</v>
      </c>
      <c r="P85" s="58">
        <v>0</v>
      </c>
    </row>
    <row r="86" spans="1:16" x14ac:dyDescent="0.3">
      <c r="A86" s="11">
        <v>25083</v>
      </c>
      <c r="B86" s="11" t="s">
        <v>10</v>
      </c>
      <c r="C86" s="58">
        <v>0</v>
      </c>
      <c r="D86" s="58">
        <v>0</v>
      </c>
      <c r="E86" s="58">
        <v>0</v>
      </c>
      <c r="F86" s="58">
        <v>0</v>
      </c>
      <c r="G86" s="58">
        <v>0</v>
      </c>
      <c r="H86" s="58">
        <v>0</v>
      </c>
      <c r="I86" s="58">
        <v>0</v>
      </c>
      <c r="J86" s="58">
        <v>0</v>
      </c>
      <c r="K86" s="58">
        <v>0</v>
      </c>
      <c r="L86" s="58">
        <v>0</v>
      </c>
      <c r="M86" s="58">
        <v>0</v>
      </c>
      <c r="N86" s="58">
        <v>0</v>
      </c>
      <c r="O86" s="58">
        <v>0</v>
      </c>
      <c r="P86" s="58">
        <v>0</v>
      </c>
    </row>
    <row r="87" spans="1:16" x14ac:dyDescent="0.3">
      <c r="A87" s="11">
        <v>25084</v>
      </c>
      <c r="B87" s="11" t="s">
        <v>13</v>
      </c>
      <c r="C87" s="58">
        <v>411509.37350495002</v>
      </c>
      <c r="D87" s="58">
        <v>411509.37350495002</v>
      </c>
      <c r="E87" s="58">
        <v>415174.47765994997</v>
      </c>
      <c r="F87" s="58">
        <v>285477.08233</v>
      </c>
      <c r="G87" s="58">
        <v>130286.45775</v>
      </c>
      <c r="H87" s="58">
        <v>131380.20774499999</v>
      </c>
      <c r="I87" s="58">
        <v>50314.624704949994</v>
      </c>
      <c r="J87" s="58">
        <v>50664.208034950003</v>
      </c>
      <c r="K87" s="58">
        <v>51025.444144950001</v>
      </c>
      <c r="L87" s="58">
        <v>367553.09666985</v>
      </c>
      <c r="M87" s="58">
        <v>370000.17999984999</v>
      </c>
      <c r="N87" s="58">
        <v>672040.63808980002</v>
      </c>
      <c r="O87" s="58">
        <v>927445.6368947</v>
      </c>
      <c r="P87" s="58">
        <v>778215.34546475008</v>
      </c>
    </row>
    <row r="88" spans="1:16" x14ac:dyDescent="0.3">
      <c r="A88" s="11">
        <v>25085</v>
      </c>
      <c r="B88" s="11" t="s">
        <v>12</v>
      </c>
      <c r="C88" s="58">
        <v>13188989.611398537</v>
      </c>
      <c r="D88" s="58">
        <v>13188989.611398537</v>
      </c>
      <c r="E88" s="58">
        <v>8850974.1923360284</v>
      </c>
      <c r="F88" s="58">
        <v>13873324.580035226</v>
      </c>
      <c r="G88" s="58">
        <v>7862045.97623845</v>
      </c>
      <c r="H88" s="58">
        <v>11926417.984071143</v>
      </c>
      <c r="I88" s="58">
        <v>9858091.8689610846</v>
      </c>
      <c r="J88" s="58">
        <v>15502618.068068046</v>
      </c>
      <c r="K88" s="58">
        <v>14104805.059208134</v>
      </c>
      <c r="L88" s="58">
        <v>15345846.312242979</v>
      </c>
      <c r="M88" s="58">
        <v>13326324.083169371</v>
      </c>
      <c r="N88" s="58">
        <v>15120085.61872034</v>
      </c>
      <c r="O88" s="58">
        <v>12567580.10681475</v>
      </c>
      <c r="P88" s="58">
        <v>12431311.73599883</v>
      </c>
    </row>
    <row r="89" spans="1:16" x14ac:dyDescent="0.3">
      <c r="A89" s="11">
        <v>25086</v>
      </c>
      <c r="B89" s="11" t="s">
        <v>11</v>
      </c>
      <c r="C89" s="58">
        <v>2800153.3459235346</v>
      </c>
      <c r="D89" s="58">
        <v>2800153.3459235346</v>
      </c>
      <c r="E89" s="58">
        <v>5468343.3700960288</v>
      </c>
      <c r="F89" s="58">
        <v>3268636.9047152256</v>
      </c>
      <c r="G89" s="58">
        <v>2718042.6973734507</v>
      </c>
      <c r="H89" s="58">
        <v>5518332.5365661448</v>
      </c>
      <c r="I89" s="58">
        <v>6090393.8417960862</v>
      </c>
      <c r="J89" s="58">
        <v>5944376.3481080458</v>
      </c>
      <c r="K89" s="58">
        <v>6940298.8489581347</v>
      </c>
      <c r="L89" s="58">
        <v>6927747.6124579832</v>
      </c>
      <c r="M89" s="58">
        <v>8419967.7776843663</v>
      </c>
      <c r="N89" s="58">
        <v>3394894.719735337</v>
      </c>
      <c r="O89" s="58">
        <v>4779197.2439697525</v>
      </c>
      <c r="P89" s="58">
        <v>2754957.9112438308</v>
      </c>
    </row>
    <row r="90" spans="1:16" x14ac:dyDescent="0.3">
      <c r="A90" s="11">
        <v>25087</v>
      </c>
      <c r="B90" s="11" t="s">
        <v>10</v>
      </c>
      <c r="C90" s="58">
        <v>10388836.265475001</v>
      </c>
      <c r="D90" s="58">
        <v>10388836.265475001</v>
      </c>
      <c r="E90" s="58">
        <v>3382630.8222400001</v>
      </c>
      <c r="F90" s="58">
        <v>10604687.675320001</v>
      </c>
      <c r="G90" s="58">
        <v>5144003.2788649993</v>
      </c>
      <c r="H90" s="58">
        <v>6408085.4475049991</v>
      </c>
      <c r="I90" s="58">
        <v>3767698.0271649994</v>
      </c>
      <c r="J90" s="58">
        <v>9558241.7199600004</v>
      </c>
      <c r="K90" s="58">
        <v>7164506.2102499995</v>
      </c>
      <c r="L90" s="58">
        <v>8418098.6997850016</v>
      </c>
      <c r="M90" s="58">
        <v>4906356.3054849999</v>
      </c>
      <c r="N90" s="58">
        <v>11720181.65102</v>
      </c>
      <c r="O90" s="58">
        <v>7788382.8628449989</v>
      </c>
      <c r="P90" s="58">
        <v>9676353.8247549981</v>
      </c>
    </row>
    <row r="91" spans="1:16" x14ac:dyDescent="0.3">
      <c r="A91" s="11">
        <v>25088</v>
      </c>
      <c r="B91" s="11" t="s">
        <v>9</v>
      </c>
      <c r="C91" s="58">
        <v>0</v>
      </c>
      <c r="D91" s="58">
        <v>0</v>
      </c>
      <c r="E91" s="58">
        <v>0</v>
      </c>
      <c r="F91" s="58">
        <v>0</v>
      </c>
      <c r="G91" s="58">
        <v>0</v>
      </c>
      <c r="H91" s="58">
        <v>0</v>
      </c>
      <c r="I91" s="58">
        <v>0</v>
      </c>
      <c r="J91" s="58">
        <v>0</v>
      </c>
      <c r="K91" s="58">
        <v>0</v>
      </c>
      <c r="L91" s="58">
        <v>0</v>
      </c>
      <c r="M91" s="58">
        <v>0</v>
      </c>
      <c r="N91" s="58">
        <v>5009.2479649999996</v>
      </c>
      <c r="O91" s="58">
        <v>0</v>
      </c>
      <c r="P91" s="58">
        <v>0</v>
      </c>
    </row>
    <row r="92" spans="1:16" x14ac:dyDescent="0.3">
      <c r="A92" s="11">
        <v>25089</v>
      </c>
      <c r="B92" s="11" t="s">
        <v>8</v>
      </c>
      <c r="C92" s="58">
        <v>0</v>
      </c>
      <c r="D92" s="58">
        <v>0</v>
      </c>
      <c r="E92" s="58">
        <v>0</v>
      </c>
      <c r="F92" s="58">
        <v>0</v>
      </c>
      <c r="G92" s="58">
        <v>0</v>
      </c>
      <c r="H92" s="58">
        <v>0</v>
      </c>
      <c r="I92" s="58">
        <v>0</v>
      </c>
      <c r="J92" s="58">
        <v>0</v>
      </c>
      <c r="K92" s="58">
        <v>0</v>
      </c>
      <c r="L92" s="58">
        <v>0</v>
      </c>
      <c r="M92" s="58">
        <v>0</v>
      </c>
      <c r="N92" s="58">
        <v>0</v>
      </c>
      <c r="O92" s="58">
        <v>0</v>
      </c>
      <c r="P92" s="58">
        <v>0</v>
      </c>
    </row>
    <row r="93" spans="1:16" x14ac:dyDescent="0.3">
      <c r="A93" s="11">
        <v>25090</v>
      </c>
      <c r="B93" s="11" t="s">
        <v>7</v>
      </c>
      <c r="C93" s="58">
        <v>11387642.27599</v>
      </c>
      <c r="D93" s="58">
        <v>6100415.6949100001</v>
      </c>
      <c r="E93" s="58">
        <v>6666606.3878400009</v>
      </c>
      <c r="F93" s="58">
        <v>6952003.1094500022</v>
      </c>
      <c r="G93" s="58">
        <v>6668914.2993100015</v>
      </c>
      <c r="H93" s="58">
        <v>6690253.1318499986</v>
      </c>
      <c r="I93" s="58">
        <v>6560705.3178699985</v>
      </c>
      <c r="J93" s="58">
        <v>6857097.9422200006</v>
      </c>
      <c r="K93" s="58">
        <v>6456831.2300600009</v>
      </c>
      <c r="L93" s="58">
        <v>6722564.4860499986</v>
      </c>
      <c r="M93" s="58">
        <v>6968016.6354399975</v>
      </c>
      <c r="N93" s="58">
        <v>6944323.5800000001</v>
      </c>
      <c r="O93" s="58">
        <v>7286569.6280400008</v>
      </c>
      <c r="P93" s="58">
        <v>7267693.9950400004</v>
      </c>
    </row>
    <row r="94" spans="1:16" x14ac:dyDescent="0.3">
      <c r="A94" s="11">
        <v>25091</v>
      </c>
      <c r="B94" s="11" t="s">
        <v>6</v>
      </c>
      <c r="C94" s="58">
        <v>0</v>
      </c>
      <c r="D94" s="58">
        <v>0</v>
      </c>
      <c r="E94" s="58">
        <v>0</v>
      </c>
      <c r="F94" s="58">
        <v>0</v>
      </c>
      <c r="G94" s="58">
        <v>0</v>
      </c>
      <c r="H94" s="58">
        <v>0</v>
      </c>
      <c r="I94" s="58">
        <v>0</v>
      </c>
      <c r="J94" s="58">
        <v>0</v>
      </c>
      <c r="K94" s="58">
        <v>0</v>
      </c>
      <c r="L94" s="58">
        <v>0</v>
      </c>
      <c r="M94" s="58">
        <v>0</v>
      </c>
      <c r="N94" s="58">
        <v>0</v>
      </c>
      <c r="O94" s="58">
        <v>0</v>
      </c>
      <c r="P94" s="58">
        <v>0</v>
      </c>
    </row>
    <row r="95" spans="1:16" x14ac:dyDescent="0.3">
      <c r="A95" s="11">
        <v>25092</v>
      </c>
      <c r="B95" s="11" t="s">
        <v>5</v>
      </c>
      <c r="C95" s="58">
        <v>142289.64066999999</v>
      </c>
      <c r="D95" s="58">
        <v>90620.897939999995</v>
      </c>
      <c r="E95" s="58">
        <v>125419.56877</v>
      </c>
      <c r="F95" s="58">
        <v>111414.00526000002</v>
      </c>
      <c r="G95" s="58">
        <v>141144.16074999998</v>
      </c>
      <c r="H95" s="58">
        <v>216454.02473999999</v>
      </c>
      <c r="I95" s="58">
        <v>205875.76491999999</v>
      </c>
      <c r="J95" s="58">
        <v>170653.41738</v>
      </c>
      <c r="K95" s="58">
        <v>152518.46327000001</v>
      </c>
      <c r="L95" s="58">
        <v>143677.37471999999</v>
      </c>
      <c r="M95" s="58">
        <v>138384.61413</v>
      </c>
      <c r="N95" s="58">
        <v>147086.29589000001</v>
      </c>
      <c r="O95" s="58">
        <v>208901.81010999999</v>
      </c>
      <c r="P95" s="58">
        <v>208901.81010999999</v>
      </c>
    </row>
    <row r="96" spans="1:16" x14ac:dyDescent="0.3">
      <c r="A96" s="11">
        <v>25093</v>
      </c>
      <c r="B96" s="11" t="s">
        <v>4</v>
      </c>
      <c r="C96" s="58">
        <v>313440.12917999999</v>
      </c>
      <c r="D96" s="58">
        <v>355091.53007000004</v>
      </c>
      <c r="E96" s="58">
        <v>383564.00907000003</v>
      </c>
      <c r="F96" s="58">
        <v>412077.43807000003</v>
      </c>
      <c r="G96" s="58">
        <v>440521.65178000001</v>
      </c>
      <c r="H96" s="58">
        <v>178529.69892999998</v>
      </c>
      <c r="I96" s="58">
        <v>193995.29618999999</v>
      </c>
      <c r="J96" s="58">
        <v>198235.24016999998</v>
      </c>
      <c r="K96" s="58">
        <v>225457.61684</v>
      </c>
      <c r="L96" s="58">
        <v>253817.5668</v>
      </c>
      <c r="M96" s="58">
        <v>286856.83847000002</v>
      </c>
      <c r="N96" s="58">
        <v>321996.36713999999</v>
      </c>
      <c r="O96" s="58">
        <v>362195.03513999999</v>
      </c>
      <c r="P96" s="58">
        <v>362195.03513999999</v>
      </c>
    </row>
    <row r="97" spans="1:16" x14ac:dyDescent="0.3">
      <c r="A97" s="11">
        <v>25094</v>
      </c>
      <c r="B97" s="11" t="s">
        <v>3</v>
      </c>
      <c r="C97" s="58">
        <v>0</v>
      </c>
      <c r="D97" s="58">
        <v>0</v>
      </c>
      <c r="E97" s="58">
        <v>0</v>
      </c>
      <c r="F97" s="58">
        <v>0</v>
      </c>
      <c r="G97" s="58">
        <v>0</v>
      </c>
      <c r="H97" s="58">
        <v>0</v>
      </c>
      <c r="I97" s="58">
        <v>0</v>
      </c>
      <c r="J97" s="58">
        <v>0</v>
      </c>
      <c r="K97" s="58">
        <v>0</v>
      </c>
      <c r="L97" s="58">
        <v>0</v>
      </c>
      <c r="M97" s="58">
        <v>0</v>
      </c>
      <c r="N97" s="58">
        <v>0</v>
      </c>
      <c r="O97" s="58">
        <v>0</v>
      </c>
      <c r="P97" s="58">
        <v>0</v>
      </c>
    </row>
    <row r="98" spans="1:16" x14ac:dyDescent="0.3">
      <c r="A98" s="11">
        <v>25095</v>
      </c>
      <c r="B98" s="11" t="s">
        <v>2</v>
      </c>
      <c r="C98" s="58">
        <v>4307512.3896700004</v>
      </c>
      <c r="D98" s="58">
        <v>3634063.9612000003</v>
      </c>
      <c r="E98" s="58">
        <v>4161520.1787500004</v>
      </c>
      <c r="F98" s="58">
        <v>4405818.1382500008</v>
      </c>
      <c r="G98" s="58">
        <v>4094391.8553900002</v>
      </c>
      <c r="H98" s="58">
        <v>4300512.9273499995</v>
      </c>
      <c r="I98" s="58">
        <v>4153783.2599199996</v>
      </c>
      <c r="J98" s="58">
        <v>4436020.8635299997</v>
      </c>
      <c r="K98" s="58">
        <v>4040435.0336900004</v>
      </c>
      <c r="L98" s="58">
        <v>4315645.3214699998</v>
      </c>
      <c r="M98" s="58">
        <v>4507055.9402299998</v>
      </c>
      <c r="N98" s="58">
        <v>4438617.0552699994</v>
      </c>
      <c r="O98" s="58">
        <v>4668111.0332200006</v>
      </c>
      <c r="P98" s="58">
        <v>4668111.0332200006</v>
      </c>
    </row>
    <row r="99" spans="1:16" x14ac:dyDescent="0.3">
      <c r="A99" s="11">
        <v>25096</v>
      </c>
      <c r="B99" s="11" t="s">
        <v>1</v>
      </c>
      <c r="C99" s="58">
        <v>5793297.0294700004</v>
      </c>
      <c r="D99" s="58">
        <v>1172785.7627000003</v>
      </c>
      <c r="E99" s="58">
        <v>1167462.4442500006</v>
      </c>
      <c r="F99" s="58">
        <v>1165040.0038700013</v>
      </c>
      <c r="G99" s="58">
        <v>1163812.1303900005</v>
      </c>
      <c r="H99" s="58">
        <v>1158468.9378299997</v>
      </c>
      <c r="I99" s="58">
        <v>1184003.1468399996</v>
      </c>
      <c r="J99" s="58">
        <v>1214227.0131400002</v>
      </c>
      <c r="K99" s="58">
        <v>1209726.5922600003</v>
      </c>
      <c r="L99" s="58">
        <v>1214645.927059999</v>
      </c>
      <c r="M99" s="58">
        <v>1214363.926609999</v>
      </c>
      <c r="N99" s="58">
        <v>1212107.8187000011</v>
      </c>
      <c r="O99" s="58">
        <v>1207078.44557</v>
      </c>
      <c r="P99" s="58">
        <v>1207078.44557</v>
      </c>
    </row>
    <row r="100" spans="1:16" x14ac:dyDescent="0.3">
      <c r="A100" s="11">
        <v>25097</v>
      </c>
      <c r="B100" s="11" t="s">
        <v>0</v>
      </c>
      <c r="C100" s="58">
        <v>831103.08700000006</v>
      </c>
      <c r="D100" s="58">
        <v>847853.54299999995</v>
      </c>
      <c r="E100" s="58">
        <v>828640.18700000003</v>
      </c>
      <c r="F100" s="58">
        <v>857653.52399999998</v>
      </c>
      <c r="G100" s="58">
        <v>829044.50100000005</v>
      </c>
      <c r="H100" s="58">
        <v>836287.54299999995</v>
      </c>
      <c r="I100" s="58">
        <v>823047.85</v>
      </c>
      <c r="J100" s="58">
        <v>837961.40800000005</v>
      </c>
      <c r="K100" s="58">
        <v>828693.52399999998</v>
      </c>
      <c r="L100" s="58">
        <v>794778.29599999997</v>
      </c>
      <c r="M100" s="58">
        <v>821355.31599999999</v>
      </c>
      <c r="N100" s="58">
        <v>824516.04299999995</v>
      </c>
      <c r="O100" s="58">
        <v>840283.304</v>
      </c>
      <c r="P100" s="58">
        <v>821407.67099999997</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00"/>
  <sheetViews>
    <sheetView zoomScale="110" zoomScaleNormal="110" workbookViewId="0">
      <pane xSplit="2" ySplit="2" topLeftCell="M3" activePane="bottomRight" state="frozen"/>
      <selection pane="topRight" activeCell="C1" sqref="C1"/>
      <selection pane="bottomLeft" activeCell="A3" sqref="A3"/>
      <selection pane="bottomRight" activeCell="P1" sqref="P1:P1048576"/>
    </sheetView>
  </sheetViews>
  <sheetFormatPr baseColWidth="10" defaultRowHeight="14.4" x14ac:dyDescent="0.3"/>
  <cols>
    <col min="1" max="1" width="11.5546875" bestFit="1" customWidth="1"/>
    <col min="2" max="2" width="54.44140625" customWidth="1"/>
    <col min="3" max="3" width="13.5546875" style="1" hidden="1" customWidth="1"/>
    <col min="4" max="9" width="13.5546875" style="1" customWidth="1"/>
    <col min="10" max="10" width="12.44140625" bestFit="1" customWidth="1"/>
  </cols>
  <sheetData>
    <row r="1" spans="1:16"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v>26000</v>
      </c>
      <c r="B3" s="11" t="s">
        <v>90</v>
      </c>
      <c r="C3" s="49">
        <v>1.2939716629520921</v>
      </c>
      <c r="D3" s="49">
        <v>1.3310881850845864</v>
      </c>
      <c r="E3" s="49">
        <v>1.3105221267103926</v>
      </c>
      <c r="F3" s="49">
        <v>1.2916343144968334</v>
      </c>
      <c r="G3" s="49">
        <v>1.297912979199221</v>
      </c>
      <c r="H3" s="49">
        <v>1.3317193885934484</v>
      </c>
      <c r="I3" s="49">
        <v>1.3048937961214306</v>
      </c>
      <c r="J3" s="49">
        <v>1.3424052837478049</v>
      </c>
      <c r="K3" s="49">
        <v>1.355938025125119</v>
      </c>
      <c r="L3" s="49">
        <v>1.352169734865545</v>
      </c>
      <c r="M3" s="49">
        <v>1.362001601486549</v>
      </c>
      <c r="N3" s="49">
        <v>1.392855461567081</v>
      </c>
      <c r="O3" s="49">
        <v>1.3380957148984809</v>
      </c>
      <c r="P3" s="49">
        <v>1.3571747800440499</v>
      </c>
    </row>
    <row r="4" spans="1:16" x14ac:dyDescent="0.3">
      <c r="A4" s="11">
        <v>26001</v>
      </c>
      <c r="B4" s="11" t="s">
        <v>89</v>
      </c>
      <c r="C4" s="58">
        <f t="shared" ref="C4:G4" si="0">C5+C11+C19+C23+C37+C47+C49+C52</f>
        <v>329584239.6750859</v>
      </c>
      <c r="D4" s="58">
        <v>326970853.69958359</v>
      </c>
      <c r="E4" s="58">
        <f t="shared" si="0"/>
        <v>330948969.03490621</v>
      </c>
      <c r="F4" s="58">
        <f t="shared" si="0"/>
        <v>345945246.42630363</v>
      </c>
      <c r="G4" s="58">
        <f t="shared" si="0"/>
        <v>339218781.12454844</v>
      </c>
      <c r="H4" s="58">
        <v>341165542.64414316</v>
      </c>
      <c r="I4" s="58">
        <v>347243991.7234515</v>
      </c>
      <c r="J4" s="58">
        <v>349349700.1152333</v>
      </c>
      <c r="K4" s="58">
        <v>350645920.6718719</v>
      </c>
      <c r="L4" s="58">
        <v>353504260.60715258</v>
      </c>
      <c r="M4" s="58">
        <v>359931164.50629139</v>
      </c>
      <c r="N4" s="58">
        <v>356023262.84927648</v>
      </c>
      <c r="O4" s="58">
        <v>369062548.79850078</v>
      </c>
      <c r="P4" s="58">
        <v>371430793.02933443</v>
      </c>
    </row>
    <row r="5" spans="1:16" x14ac:dyDescent="0.3">
      <c r="A5" s="11">
        <v>26002</v>
      </c>
      <c r="B5" s="11" t="s">
        <v>88</v>
      </c>
      <c r="C5" s="58">
        <v>12874429.699014492</v>
      </c>
      <c r="D5" s="58">
        <v>12892811.885701951</v>
      </c>
      <c r="E5" s="58">
        <v>14355550.969516903</v>
      </c>
      <c r="F5" s="58">
        <v>13278500.377596047</v>
      </c>
      <c r="G5" s="58">
        <v>12436740.530984871</v>
      </c>
      <c r="H5" s="58">
        <v>14265271.240334593</v>
      </c>
      <c r="I5" s="58">
        <v>14401891.96606613</v>
      </c>
      <c r="J5" s="58">
        <v>16338313.028416138</v>
      </c>
      <c r="K5" s="58">
        <v>15782359.775920415</v>
      </c>
      <c r="L5" s="58">
        <v>16056173.31186357</v>
      </c>
      <c r="M5" s="58">
        <v>15733026.465779871</v>
      </c>
      <c r="N5" s="58">
        <v>13898134.659549359</v>
      </c>
      <c r="O5" s="58">
        <v>15567653.72000327</v>
      </c>
      <c r="P5" s="58">
        <v>17953857.845067389</v>
      </c>
    </row>
    <row r="6" spans="1:16" x14ac:dyDescent="0.3">
      <c r="A6" s="11">
        <v>26003</v>
      </c>
      <c r="B6" s="11" t="s">
        <v>87</v>
      </c>
      <c r="C6" s="58">
        <v>2222103.624886008</v>
      </c>
      <c r="D6" s="58">
        <v>2222103.6248860084</v>
      </c>
      <c r="E6" s="58">
        <v>1788721.5482858669</v>
      </c>
      <c r="F6" s="58">
        <v>1711419.3115644138</v>
      </c>
      <c r="G6" s="58">
        <v>1793600.0355760679</v>
      </c>
      <c r="H6" s="58">
        <v>1825830.0812844518</v>
      </c>
      <c r="I6" s="58">
        <v>1600005.2702303391</v>
      </c>
      <c r="J6" s="58">
        <v>1711987.5096739877</v>
      </c>
      <c r="K6" s="58">
        <v>1766991.59816151</v>
      </c>
      <c r="L6" s="58">
        <v>1434724.384771545</v>
      </c>
      <c r="M6" s="58">
        <v>1627218.0839399991</v>
      </c>
      <c r="N6" s="58">
        <v>1618674.028643447</v>
      </c>
      <c r="O6" s="58">
        <v>1768506.211791941</v>
      </c>
      <c r="P6" s="58">
        <v>2172318.9354431848</v>
      </c>
    </row>
    <row r="7" spans="1:16" x14ac:dyDescent="0.3">
      <c r="A7" s="11">
        <v>26004</v>
      </c>
      <c r="B7" s="11" t="s">
        <v>86</v>
      </c>
      <c r="C7" s="58">
        <v>1627723.7707892749</v>
      </c>
      <c r="D7" s="58">
        <v>1627723.7707892749</v>
      </c>
      <c r="E7" s="58">
        <v>1563145.1972201508</v>
      </c>
      <c r="F7" s="58">
        <v>1642068.8937258162</v>
      </c>
      <c r="G7" s="58">
        <v>1671563.2580963639</v>
      </c>
      <c r="H7" s="58">
        <v>1729866.4582586996</v>
      </c>
      <c r="I7" s="58">
        <v>1834078.6931892778</v>
      </c>
      <c r="J7" s="58">
        <v>1795503.4507772299</v>
      </c>
      <c r="K7" s="58">
        <v>1484662.6094399798</v>
      </c>
      <c r="L7" s="58">
        <v>2027788.4448361651</v>
      </c>
      <c r="M7" s="58">
        <v>1587102.862196011</v>
      </c>
      <c r="N7" s="58">
        <v>1948000.8437451441</v>
      </c>
      <c r="O7" s="58">
        <v>1230561.6818639</v>
      </c>
      <c r="P7" s="58">
        <v>1231256.7448839</v>
      </c>
    </row>
    <row r="8" spans="1:16" x14ac:dyDescent="0.3">
      <c r="A8" s="11">
        <v>26005</v>
      </c>
      <c r="B8" s="11" t="s">
        <v>85</v>
      </c>
      <c r="C8" s="58">
        <v>4157388.40485</v>
      </c>
      <c r="D8" s="58">
        <v>4157388.40485</v>
      </c>
      <c r="E8" s="58">
        <v>4471482.3370699994</v>
      </c>
      <c r="F8" s="58">
        <v>4066696.2057099999</v>
      </c>
      <c r="G8" s="58">
        <v>3710430.1219799998</v>
      </c>
      <c r="H8" s="58">
        <v>3645876.3346599997</v>
      </c>
      <c r="I8" s="58">
        <v>3915430.0582699999</v>
      </c>
      <c r="J8" s="58">
        <v>4594996.4070699997</v>
      </c>
      <c r="K8" s="58">
        <v>4142655.9100900004</v>
      </c>
      <c r="L8" s="58">
        <v>4532396.51</v>
      </c>
      <c r="M8" s="58">
        <v>4970570.0661699995</v>
      </c>
      <c r="N8" s="58">
        <v>3893241.1879699999</v>
      </c>
      <c r="O8" s="58">
        <v>4362963.9219092121</v>
      </c>
      <c r="P8" s="58">
        <v>6045744.8528820798</v>
      </c>
    </row>
    <row r="9" spans="1:16" x14ac:dyDescent="0.3">
      <c r="A9" s="11">
        <v>26006</v>
      </c>
      <c r="B9" s="11" t="s">
        <v>84</v>
      </c>
      <c r="C9" s="58">
        <v>1120657.5972056284</v>
      </c>
      <c r="D9" s="58">
        <v>1138626.1145269803</v>
      </c>
      <c r="E9" s="58">
        <v>1661882.1284173471</v>
      </c>
      <c r="F9" s="58">
        <v>1409170.396526559</v>
      </c>
      <c r="G9" s="58">
        <v>1222075.9545251345</v>
      </c>
      <c r="H9" s="58">
        <v>1908121.938691267</v>
      </c>
      <c r="I9" s="58">
        <v>1904779.2734367703</v>
      </c>
      <c r="J9" s="58">
        <v>2235166.2518281313</v>
      </c>
      <c r="K9" s="58">
        <v>2265544.9031361593</v>
      </c>
      <c r="L9" s="58">
        <v>2184909.7384126182</v>
      </c>
      <c r="M9" s="58">
        <v>2038368.6887142351</v>
      </c>
      <c r="N9" s="58">
        <v>1740553.3155246631</v>
      </c>
      <c r="O9" s="58">
        <v>2226967.5896281302</v>
      </c>
      <c r="P9" s="58">
        <v>2310367.6712862528</v>
      </c>
    </row>
    <row r="10" spans="1:16" x14ac:dyDescent="0.3">
      <c r="A10" s="11">
        <v>26007</v>
      </c>
      <c r="B10" s="11" t="s">
        <v>83</v>
      </c>
      <c r="C10" s="58">
        <v>3746556.3012835812</v>
      </c>
      <c r="D10" s="58">
        <v>3746969.9706496871</v>
      </c>
      <c r="E10" s="58">
        <v>4870319.7585235387</v>
      </c>
      <c r="F10" s="58">
        <v>4449145.570069259</v>
      </c>
      <c r="G10" s="58">
        <v>4039071.1608073041</v>
      </c>
      <c r="H10" s="58">
        <v>5155576.427440173</v>
      </c>
      <c r="I10" s="58">
        <v>5147598.6709397417</v>
      </c>
      <c r="J10" s="58">
        <v>6000659.4090667879</v>
      </c>
      <c r="K10" s="58">
        <v>6122504.7550927661</v>
      </c>
      <c r="L10" s="58">
        <v>5876354.2338432372</v>
      </c>
      <c r="M10" s="58">
        <v>5509766.764759629</v>
      </c>
      <c r="N10" s="58">
        <v>4697665.2836660994</v>
      </c>
      <c r="O10" s="58">
        <v>5978654.3148100851</v>
      </c>
      <c r="P10" s="58">
        <v>6194169.6405719742</v>
      </c>
    </row>
    <row r="11" spans="1:16" x14ac:dyDescent="0.3">
      <c r="A11" s="11">
        <v>26008</v>
      </c>
      <c r="B11" s="11" t="s">
        <v>82</v>
      </c>
      <c r="C11" s="58">
        <v>43186160.297519609</v>
      </c>
      <c r="D11" s="58">
        <v>43186160.297519609</v>
      </c>
      <c r="E11" s="58">
        <v>40608743.627269275</v>
      </c>
      <c r="F11" s="58">
        <v>43755228.745712668</v>
      </c>
      <c r="G11" s="58">
        <v>46162433.812744707</v>
      </c>
      <c r="H11" s="58">
        <v>48429368.414177053</v>
      </c>
      <c r="I11" s="58">
        <v>50593554.874015458</v>
      </c>
      <c r="J11" s="58">
        <v>49181701.604244679</v>
      </c>
      <c r="K11" s="58">
        <v>48550191.838918068</v>
      </c>
      <c r="L11" s="58">
        <v>50044498.315049939</v>
      </c>
      <c r="M11" s="58">
        <v>53606655.054381378</v>
      </c>
      <c r="N11" s="58">
        <v>56598436.005115546</v>
      </c>
      <c r="O11" s="58">
        <v>58021354.53655307</v>
      </c>
      <c r="P11" s="58">
        <v>56031503.240116313</v>
      </c>
    </row>
    <row r="12" spans="1:16" x14ac:dyDescent="0.3">
      <c r="A12" s="11">
        <v>26009</v>
      </c>
      <c r="B12" s="11" t="s">
        <v>81</v>
      </c>
      <c r="C12" s="58">
        <v>15401530.747380001</v>
      </c>
      <c r="D12" s="58">
        <v>15401530.747380001</v>
      </c>
      <c r="E12" s="58">
        <v>21101166.637079999</v>
      </c>
      <c r="F12" s="58">
        <v>15301792.987840001</v>
      </c>
      <c r="G12" s="58">
        <v>20600791.296700001</v>
      </c>
      <c r="H12" s="58">
        <v>18600400.59417</v>
      </c>
      <c r="I12" s="58">
        <v>20700034.930409998</v>
      </c>
      <c r="J12" s="58">
        <v>12198795.51254</v>
      </c>
      <c r="K12" s="58">
        <v>18301136</v>
      </c>
      <c r="L12" s="58">
        <v>14699488.96116</v>
      </c>
      <c r="M12" s="58">
        <v>19316434.38888</v>
      </c>
      <c r="N12" s="58">
        <v>16700463.085240001</v>
      </c>
      <c r="O12" s="58">
        <v>18507199.930890001</v>
      </c>
      <c r="P12" s="58">
        <v>21501618.146919999</v>
      </c>
    </row>
    <row r="13" spans="1:16" x14ac:dyDescent="0.3">
      <c r="A13" s="11">
        <v>26010</v>
      </c>
      <c r="B13" s="11" t="s">
        <v>80</v>
      </c>
      <c r="C13" s="58">
        <v>0</v>
      </c>
      <c r="D13" s="58">
        <v>0</v>
      </c>
      <c r="E13" s="58">
        <v>0</v>
      </c>
      <c r="F13" s="58">
        <v>0</v>
      </c>
      <c r="G13" s="58">
        <v>0</v>
      </c>
      <c r="H13" s="58">
        <v>0</v>
      </c>
      <c r="I13" s="58">
        <v>0</v>
      </c>
      <c r="J13" s="58">
        <v>0</v>
      </c>
      <c r="K13" s="58">
        <v>0</v>
      </c>
      <c r="L13" s="58">
        <v>0</v>
      </c>
      <c r="M13" s="58">
        <v>0</v>
      </c>
      <c r="N13" s="58">
        <v>0</v>
      </c>
      <c r="O13" s="58">
        <v>0</v>
      </c>
      <c r="P13" s="58">
        <v>0</v>
      </c>
    </row>
    <row r="14" spans="1:16" x14ac:dyDescent="0.3">
      <c r="A14" s="11">
        <v>26011</v>
      </c>
      <c r="B14" s="11" t="s">
        <v>79</v>
      </c>
      <c r="C14" s="58">
        <v>0</v>
      </c>
      <c r="D14" s="58">
        <v>0</v>
      </c>
      <c r="E14" s="58">
        <v>0</v>
      </c>
      <c r="F14" s="58">
        <v>0</v>
      </c>
      <c r="G14" s="58">
        <v>0</v>
      </c>
      <c r="H14" s="58">
        <v>0</v>
      </c>
      <c r="I14" s="58">
        <v>0</v>
      </c>
      <c r="J14" s="58">
        <v>0</v>
      </c>
      <c r="K14" s="58">
        <v>0</v>
      </c>
      <c r="L14" s="58">
        <v>0</v>
      </c>
      <c r="M14" s="58">
        <v>0</v>
      </c>
      <c r="N14" s="58">
        <v>0</v>
      </c>
      <c r="O14" s="58">
        <v>0</v>
      </c>
      <c r="P14" s="58">
        <v>0</v>
      </c>
    </row>
    <row r="15" spans="1:16" x14ac:dyDescent="0.3">
      <c r="A15" s="11">
        <v>26012</v>
      </c>
      <c r="B15" s="11" t="s">
        <v>78</v>
      </c>
      <c r="C15" s="58">
        <v>0</v>
      </c>
      <c r="D15" s="58">
        <v>0</v>
      </c>
      <c r="E15" s="58">
        <v>0</v>
      </c>
      <c r="F15" s="58">
        <v>0</v>
      </c>
      <c r="G15" s="58">
        <v>0</v>
      </c>
      <c r="H15" s="58">
        <v>0</v>
      </c>
      <c r="I15" s="58">
        <v>0</v>
      </c>
      <c r="J15" s="58">
        <v>0</v>
      </c>
      <c r="K15" s="58">
        <v>0</v>
      </c>
      <c r="L15" s="58">
        <v>0</v>
      </c>
      <c r="M15" s="58">
        <v>0</v>
      </c>
      <c r="N15" s="58">
        <v>0</v>
      </c>
      <c r="O15" s="58">
        <v>0</v>
      </c>
      <c r="P15" s="58">
        <v>0</v>
      </c>
    </row>
    <row r="16" spans="1:16" x14ac:dyDescent="0.3">
      <c r="A16" s="11">
        <v>26013</v>
      </c>
      <c r="B16" s="11" t="s">
        <v>77</v>
      </c>
      <c r="C16" s="58">
        <v>27282783.871300124</v>
      </c>
      <c r="D16" s="58">
        <v>27282783.871300124</v>
      </c>
      <c r="E16" s="58">
        <v>19001288.560445324</v>
      </c>
      <c r="F16" s="58">
        <v>27956261.50242082</v>
      </c>
      <c r="G16" s="58">
        <v>25069310.34068983</v>
      </c>
      <c r="H16" s="58">
        <v>29332396.301565826</v>
      </c>
      <c r="I16" s="58">
        <v>29412157.901775271</v>
      </c>
      <c r="J16" s="58">
        <v>36498083.431607284</v>
      </c>
      <c r="K16" s="58">
        <v>29760442.423954725</v>
      </c>
      <c r="L16" s="58">
        <v>34852547.278533667</v>
      </c>
      <c r="M16" s="58">
        <v>33794150.80124554</v>
      </c>
      <c r="N16" s="58">
        <v>39398177.480231047</v>
      </c>
      <c r="O16" s="58">
        <v>39011534.911921762</v>
      </c>
      <c r="P16" s="58">
        <v>34023774.37727274</v>
      </c>
    </row>
    <row r="17" spans="1:16" x14ac:dyDescent="0.3">
      <c r="A17" s="11">
        <v>26014</v>
      </c>
      <c r="B17" s="11" t="s">
        <v>76</v>
      </c>
      <c r="C17" s="58">
        <v>0</v>
      </c>
      <c r="D17" s="58">
        <v>0</v>
      </c>
      <c r="E17" s="58">
        <v>0</v>
      </c>
      <c r="F17" s="58">
        <v>0</v>
      </c>
      <c r="G17" s="58">
        <v>0</v>
      </c>
      <c r="H17" s="58">
        <v>0</v>
      </c>
      <c r="I17" s="58">
        <v>0</v>
      </c>
      <c r="J17" s="58">
        <v>0</v>
      </c>
      <c r="K17" s="58">
        <v>0</v>
      </c>
      <c r="L17" s="58">
        <v>0</v>
      </c>
      <c r="M17" s="58">
        <v>0</v>
      </c>
      <c r="N17" s="58">
        <v>0</v>
      </c>
      <c r="O17" s="58">
        <v>0</v>
      </c>
      <c r="P17" s="58">
        <v>0</v>
      </c>
    </row>
    <row r="18" spans="1:16" x14ac:dyDescent="0.3">
      <c r="A18" s="11">
        <v>26015</v>
      </c>
      <c r="B18" s="11" t="s">
        <v>75</v>
      </c>
      <c r="C18" s="58">
        <v>501845.67883948097</v>
      </c>
      <c r="D18" s="58">
        <v>501845.67883948097</v>
      </c>
      <c r="E18" s="58">
        <v>506288.42974395497</v>
      </c>
      <c r="F18" s="58">
        <v>497174.25545184099</v>
      </c>
      <c r="G18" s="58">
        <v>492332.17535487702</v>
      </c>
      <c r="H18" s="58">
        <v>496571.51844122197</v>
      </c>
      <c r="I18" s="58">
        <v>481362.04183018603</v>
      </c>
      <c r="J18" s="58">
        <v>484822.66009740002</v>
      </c>
      <c r="K18" s="58">
        <v>488613.41496334097</v>
      </c>
      <c r="L18" s="58">
        <v>492462.07535626402</v>
      </c>
      <c r="M18" s="58">
        <v>496069.864255836</v>
      </c>
      <c r="N18" s="58">
        <v>499795.43964449799</v>
      </c>
      <c r="O18" s="58">
        <v>502619.69374130899</v>
      </c>
      <c r="P18" s="58">
        <v>506110.71592356899</v>
      </c>
    </row>
    <row r="19" spans="1:16" x14ac:dyDescent="0.3">
      <c r="A19" s="11">
        <v>26016</v>
      </c>
      <c r="B19" s="11" t="s">
        <v>74</v>
      </c>
      <c r="C19" s="58">
        <v>903757.49025783618</v>
      </c>
      <c r="D19" s="58">
        <v>903757.49025783618</v>
      </c>
      <c r="E19" s="58">
        <v>908785.60296291427</v>
      </c>
      <c r="F19" s="58">
        <v>911681.84941311274</v>
      </c>
      <c r="G19" s="58">
        <v>974472.66754171159</v>
      </c>
      <c r="H19" s="58">
        <v>998069.87482266745</v>
      </c>
      <c r="I19" s="58">
        <v>976672.08515925379</v>
      </c>
      <c r="J19" s="58">
        <v>934128.75682492612</v>
      </c>
      <c r="K19" s="58">
        <v>925420.15260020283</v>
      </c>
      <c r="L19" s="58">
        <v>934874.31647958665</v>
      </c>
      <c r="M19" s="58">
        <v>1039511.286400534</v>
      </c>
      <c r="N19" s="58">
        <v>1012962.667886739</v>
      </c>
      <c r="O19" s="58">
        <v>988649.14613700658</v>
      </c>
      <c r="P19" s="58">
        <v>911915.25652392884</v>
      </c>
    </row>
    <row r="20" spans="1:16" x14ac:dyDescent="0.3">
      <c r="A20" s="11">
        <v>26017</v>
      </c>
      <c r="B20" s="11" t="s">
        <v>73</v>
      </c>
      <c r="C20" s="58">
        <v>401229.26983487979</v>
      </c>
      <c r="D20" s="58">
        <v>401229.26983487979</v>
      </c>
      <c r="E20" s="58">
        <v>365422.3615050856</v>
      </c>
      <c r="F20" s="58">
        <v>355882.01989489421</v>
      </c>
      <c r="G20" s="58">
        <v>372221.25121735223</v>
      </c>
      <c r="H20" s="58">
        <v>396760.77375310473</v>
      </c>
      <c r="I20" s="58">
        <v>223653.41486083344</v>
      </c>
      <c r="J20" s="58">
        <v>196127.07080707885</v>
      </c>
      <c r="K20" s="58">
        <v>199509.48324604891</v>
      </c>
      <c r="L20" s="58">
        <v>225670.4420781247</v>
      </c>
      <c r="M20" s="58">
        <v>271655.48420750158</v>
      </c>
      <c r="N20" s="58">
        <v>277723.6544548776</v>
      </c>
      <c r="O20" s="58">
        <v>409945.72293279879</v>
      </c>
      <c r="P20" s="58">
        <v>372998.73824800178</v>
      </c>
    </row>
    <row r="21" spans="1:16" x14ac:dyDescent="0.3">
      <c r="A21" s="11">
        <v>26018</v>
      </c>
      <c r="B21" s="11" t="s">
        <v>72</v>
      </c>
      <c r="C21" s="58">
        <v>502528.22042295645</v>
      </c>
      <c r="D21" s="58">
        <v>502528.22042295645</v>
      </c>
      <c r="E21" s="58">
        <v>543363.24145782867</v>
      </c>
      <c r="F21" s="58">
        <v>555799.82951821852</v>
      </c>
      <c r="G21" s="58">
        <v>602251.41632435936</v>
      </c>
      <c r="H21" s="58">
        <v>601309.10106956272</v>
      </c>
      <c r="I21" s="58">
        <v>753018.67029842036</v>
      </c>
      <c r="J21" s="58">
        <v>738001.68601784727</v>
      </c>
      <c r="K21" s="58">
        <v>725910.66935415391</v>
      </c>
      <c r="L21" s="58">
        <v>709203.87440146192</v>
      </c>
      <c r="M21" s="58">
        <v>767855.80219303188</v>
      </c>
      <c r="N21" s="58">
        <v>735239.01343186188</v>
      </c>
      <c r="O21" s="58">
        <v>578703.42320420779</v>
      </c>
      <c r="P21" s="58">
        <v>538916.51827592705</v>
      </c>
    </row>
    <row r="22" spans="1:16" x14ac:dyDescent="0.3">
      <c r="A22" s="11">
        <v>26019</v>
      </c>
      <c r="B22" s="11" t="s">
        <v>71</v>
      </c>
      <c r="C22" s="58">
        <v>0</v>
      </c>
      <c r="D22" s="58">
        <v>0</v>
      </c>
      <c r="E22" s="58">
        <v>0</v>
      </c>
      <c r="F22" s="58">
        <v>0</v>
      </c>
      <c r="G22" s="58">
        <v>0</v>
      </c>
      <c r="H22" s="58">
        <v>0</v>
      </c>
      <c r="I22" s="58">
        <v>0</v>
      </c>
      <c r="J22" s="58">
        <v>0</v>
      </c>
      <c r="K22" s="58">
        <v>0</v>
      </c>
      <c r="L22" s="58">
        <v>0</v>
      </c>
      <c r="M22" s="58">
        <v>0</v>
      </c>
      <c r="N22" s="58">
        <v>0</v>
      </c>
      <c r="O22" s="58">
        <v>0</v>
      </c>
      <c r="P22" s="58">
        <v>0</v>
      </c>
    </row>
    <row r="23" spans="1:16" x14ac:dyDescent="0.3">
      <c r="A23" s="11">
        <v>26020</v>
      </c>
      <c r="B23" s="11" t="s">
        <v>70</v>
      </c>
      <c r="C23" s="58">
        <v>172345319.28067708</v>
      </c>
      <c r="D23" s="58">
        <v>172408590.51941824</v>
      </c>
      <c r="E23" s="58">
        <v>174463200.19199112</v>
      </c>
      <c r="F23" s="58">
        <v>173814238.94187093</v>
      </c>
      <c r="G23" s="58">
        <v>175982919.40374911</v>
      </c>
      <c r="H23" s="58">
        <v>175930455.0144591</v>
      </c>
      <c r="I23" s="58">
        <v>178088436.30899757</v>
      </c>
      <c r="J23" s="58">
        <v>178253678.28492045</v>
      </c>
      <c r="K23" s="91">
        <v>178876555.68731999</v>
      </c>
      <c r="L23" s="58">
        <v>180164631.25249889</v>
      </c>
      <c r="M23" s="58">
        <v>182205992.13870141</v>
      </c>
      <c r="N23" s="58">
        <v>175303713.3001425</v>
      </c>
      <c r="O23" s="58">
        <v>182552286.30835691</v>
      </c>
      <c r="P23" s="58">
        <v>185277207.95451379</v>
      </c>
    </row>
    <row r="24" spans="1:16" x14ac:dyDescent="0.3">
      <c r="A24" s="11">
        <v>26021</v>
      </c>
      <c r="B24" s="11" t="s">
        <v>31</v>
      </c>
      <c r="C24" s="58">
        <v>37168015.572561964</v>
      </c>
      <c r="D24" s="58">
        <v>37371629.561993033</v>
      </c>
      <c r="E24" s="58">
        <v>37302179.292762816</v>
      </c>
      <c r="F24" s="58">
        <v>37146056.923142821</v>
      </c>
      <c r="G24" s="58">
        <v>37318082.86480362</v>
      </c>
      <c r="H24" s="58">
        <v>37518266.593247622</v>
      </c>
      <c r="I24" s="58">
        <v>37653448.331873775</v>
      </c>
      <c r="J24" s="58">
        <v>38221241.327181838</v>
      </c>
      <c r="K24" s="58">
        <v>38766024.253482826</v>
      </c>
      <c r="L24" s="58">
        <v>39168877.526442282</v>
      </c>
      <c r="M24" s="58">
        <v>39592077.432899073</v>
      </c>
      <c r="N24" s="58">
        <v>34006950.645126902</v>
      </c>
      <c r="O24" s="58">
        <v>40285681.0825627</v>
      </c>
      <c r="P24" s="58">
        <v>40347744.17859187</v>
      </c>
    </row>
    <row r="25" spans="1:16" x14ac:dyDescent="0.3">
      <c r="A25" s="11">
        <v>26022</v>
      </c>
      <c r="B25" s="11" t="s">
        <v>69</v>
      </c>
      <c r="C25" s="58">
        <v>8783592.6262391005</v>
      </c>
      <c r="D25" s="58">
        <v>9103561.0317714009</v>
      </c>
      <c r="E25" s="58">
        <v>9221666.8283143006</v>
      </c>
      <c r="F25" s="58">
        <v>9438697.1013554987</v>
      </c>
      <c r="G25" s="58">
        <v>9615763.2751488984</v>
      </c>
      <c r="H25" s="58">
        <v>9709093.8839806989</v>
      </c>
      <c r="I25" s="58">
        <v>5587434.7437213007</v>
      </c>
      <c r="J25" s="58">
        <v>10111651.194843199</v>
      </c>
      <c r="K25" s="58">
        <v>10366189.179013101</v>
      </c>
      <c r="L25" s="58">
        <v>10564479.720792601</v>
      </c>
      <c r="M25" s="58">
        <v>11908970.205894999</v>
      </c>
      <c r="N25" s="58">
        <v>11899642.7546205</v>
      </c>
      <c r="O25" s="58">
        <v>12007378.0825647</v>
      </c>
      <c r="P25" s="58">
        <v>11805847.0950337</v>
      </c>
    </row>
    <row r="26" spans="1:16" x14ac:dyDescent="0.3">
      <c r="A26" s="11">
        <v>26023</v>
      </c>
      <c r="B26" s="11" t="s">
        <v>68</v>
      </c>
      <c r="C26" s="58">
        <v>7243004.9028729638</v>
      </c>
      <c r="D26" s="58">
        <v>6918864.490268332</v>
      </c>
      <c r="E26" s="58">
        <v>6823117.0703132134</v>
      </c>
      <c r="F26" s="58">
        <v>6726965.3631807184</v>
      </c>
      <c r="G26" s="58">
        <v>6671461.6233189208</v>
      </c>
      <c r="H26" s="58">
        <v>6596115.5562542221</v>
      </c>
      <c r="I26" s="58">
        <v>10809784.017433679</v>
      </c>
      <c r="J26" s="58">
        <v>6456194.282256037</v>
      </c>
      <c r="K26" s="58">
        <v>6407874.2053894224</v>
      </c>
      <c r="L26" s="58">
        <v>6339190.8711023852</v>
      </c>
      <c r="M26" s="58">
        <v>5069545.7627028739</v>
      </c>
      <c r="N26" s="58">
        <v>5090557.5850319061</v>
      </c>
      <c r="O26" s="58">
        <v>5062641.800491604</v>
      </c>
      <c r="P26" s="58">
        <v>5421371.1236648653</v>
      </c>
    </row>
    <row r="27" spans="1:16" x14ac:dyDescent="0.3">
      <c r="A27" s="11">
        <v>26024</v>
      </c>
      <c r="B27" s="11" t="s">
        <v>67</v>
      </c>
      <c r="C27" s="58">
        <v>0</v>
      </c>
      <c r="D27" s="58">
        <v>0</v>
      </c>
      <c r="E27" s="58">
        <v>0</v>
      </c>
      <c r="F27" s="58">
        <v>0</v>
      </c>
      <c r="G27" s="58">
        <v>0</v>
      </c>
      <c r="H27" s="58">
        <v>0</v>
      </c>
      <c r="I27" s="58">
        <v>0</v>
      </c>
      <c r="J27" s="58">
        <v>0</v>
      </c>
      <c r="K27" s="58">
        <v>0</v>
      </c>
      <c r="L27" s="58">
        <v>0</v>
      </c>
      <c r="M27" s="58">
        <v>0</v>
      </c>
      <c r="N27" s="58">
        <v>0</v>
      </c>
      <c r="O27" s="58">
        <v>0</v>
      </c>
      <c r="P27" s="58">
        <v>0</v>
      </c>
    </row>
    <row r="28" spans="1:16" x14ac:dyDescent="0.3">
      <c r="A28" s="11">
        <v>26025</v>
      </c>
      <c r="B28" s="11" t="s">
        <v>66</v>
      </c>
      <c r="C28" s="58">
        <v>11346242.705729099</v>
      </c>
      <c r="D28" s="58">
        <v>11572037.247019701</v>
      </c>
      <c r="E28" s="58">
        <v>11588344.589154702</v>
      </c>
      <c r="F28" s="58">
        <v>11533046.7265823</v>
      </c>
      <c r="G28" s="58">
        <v>11641694.228420101</v>
      </c>
      <c r="H28" s="58">
        <v>11730844.5801822</v>
      </c>
      <c r="I28" s="58">
        <v>11865604.211005799</v>
      </c>
      <c r="J28" s="58">
        <v>12086185.989931401</v>
      </c>
      <c r="K28" s="58">
        <v>12212992.9003981</v>
      </c>
      <c r="L28" s="58">
        <v>12322982.9152494</v>
      </c>
      <c r="M28" s="58">
        <v>12457611.6528806</v>
      </c>
      <c r="N28" s="58">
        <v>6782507.2829855997</v>
      </c>
      <c r="O28" s="58">
        <v>12874389.7412176</v>
      </c>
      <c r="P28" s="58">
        <v>12753925.063243801</v>
      </c>
    </row>
    <row r="29" spans="1:16" x14ac:dyDescent="0.3">
      <c r="A29" s="11">
        <v>26026</v>
      </c>
      <c r="B29" s="11" t="s">
        <v>65</v>
      </c>
      <c r="C29" s="58">
        <v>9795175.3377208002</v>
      </c>
      <c r="D29" s="58">
        <v>9777166.7929336</v>
      </c>
      <c r="E29" s="58">
        <v>9669050.8049805984</v>
      </c>
      <c r="F29" s="58">
        <v>9447347.7320243008</v>
      </c>
      <c r="G29" s="58">
        <v>9389163.7379157003</v>
      </c>
      <c r="H29" s="58">
        <v>9482212.5728304982</v>
      </c>
      <c r="I29" s="58">
        <v>9390625.3597129993</v>
      </c>
      <c r="J29" s="58">
        <v>9567209.8601512015</v>
      </c>
      <c r="K29" s="58">
        <v>9778967.9686821997</v>
      </c>
      <c r="L29" s="58">
        <v>9942224.0192978997</v>
      </c>
      <c r="M29" s="58">
        <v>10155949.811420601</v>
      </c>
      <c r="N29" s="58">
        <v>10234243.0224889</v>
      </c>
      <c r="O29" s="58">
        <v>10341271.4582888</v>
      </c>
      <c r="P29" s="58">
        <v>10366600.8966495</v>
      </c>
    </row>
    <row r="30" spans="1:16" x14ac:dyDescent="0.3">
      <c r="A30" s="11">
        <v>26027</v>
      </c>
      <c r="B30" s="11" t="s">
        <v>56</v>
      </c>
      <c r="C30" s="58">
        <v>135177303.7081151</v>
      </c>
      <c r="D30" s="58">
        <v>135036960.95742521</v>
      </c>
      <c r="E30" s="58">
        <v>137161020.8992283</v>
      </c>
      <c r="F30" s="58">
        <v>136668182.01872811</v>
      </c>
      <c r="G30" s="58">
        <v>138664836.5389455</v>
      </c>
      <c r="H30" s="58">
        <v>138412188.42121148</v>
      </c>
      <c r="I30" s="58">
        <v>140434987.9771238</v>
      </c>
      <c r="J30" s="58">
        <v>140032436.95773861</v>
      </c>
      <c r="K30" s="58">
        <v>140110531.43383712</v>
      </c>
      <c r="L30" s="58">
        <v>140995753.72605661</v>
      </c>
      <c r="M30" s="58">
        <v>142613914.70580229</v>
      </c>
      <c r="N30" s="58">
        <v>141296762.65501559</v>
      </c>
      <c r="O30" s="58">
        <v>142266605.2257942</v>
      </c>
      <c r="P30" s="58">
        <v>144929463.77592191</v>
      </c>
    </row>
    <row r="31" spans="1:16" x14ac:dyDescent="0.3">
      <c r="A31" s="11">
        <v>26028</v>
      </c>
      <c r="B31" s="11" t="s">
        <v>55</v>
      </c>
      <c r="C31" s="58">
        <v>5560830.8791297004</v>
      </c>
      <c r="D31" s="58">
        <v>5553121.4717677999</v>
      </c>
      <c r="E31" s="58">
        <v>5995473.5439644009</v>
      </c>
      <c r="F31" s="58">
        <v>5594716.4557045996</v>
      </c>
      <c r="G31" s="58">
        <v>6782949.3747965023</v>
      </c>
      <c r="H31" s="58">
        <v>6592935.4284256995</v>
      </c>
      <c r="I31" s="58">
        <v>6499918.6846175008</v>
      </c>
      <c r="J31" s="58">
        <v>6553784.5464591999</v>
      </c>
      <c r="K31" s="58">
        <v>6515354.0267404988</v>
      </c>
      <c r="L31" s="58">
        <v>6511088.3875914998</v>
      </c>
      <c r="M31" s="58">
        <v>6364350.5301014008</v>
      </c>
      <c r="N31" s="58">
        <v>6331830.5079522002</v>
      </c>
      <c r="O31" s="58">
        <v>5813578.9606853016</v>
      </c>
      <c r="P31" s="58">
        <v>8287301.5820538988</v>
      </c>
    </row>
    <row r="32" spans="1:16" x14ac:dyDescent="0.3">
      <c r="A32" s="11">
        <v>26029</v>
      </c>
      <c r="B32" s="11" t="s">
        <v>54</v>
      </c>
      <c r="C32" s="58">
        <v>0</v>
      </c>
      <c r="D32" s="58">
        <v>0</v>
      </c>
      <c r="E32" s="58">
        <v>0</v>
      </c>
      <c r="F32" s="58">
        <v>0</v>
      </c>
      <c r="G32" s="58">
        <v>0</v>
      </c>
      <c r="H32" s="58">
        <v>0</v>
      </c>
      <c r="I32" s="58">
        <v>0</v>
      </c>
      <c r="J32" s="58">
        <v>0</v>
      </c>
      <c r="K32" s="58">
        <v>0</v>
      </c>
      <c r="L32" s="58">
        <v>0</v>
      </c>
      <c r="M32" s="58">
        <v>0</v>
      </c>
      <c r="N32" s="58">
        <v>0</v>
      </c>
      <c r="O32" s="58">
        <v>0</v>
      </c>
      <c r="P32" s="58">
        <v>0</v>
      </c>
    </row>
    <row r="33" spans="1:16" x14ac:dyDescent="0.3">
      <c r="A33" s="11">
        <v>26030</v>
      </c>
      <c r="B33" s="11" t="s">
        <v>64</v>
      </c>
      <c r="C33" s="58">
        <v>0</v>
      </c>
      <c r="D33" s="58">
        <v>0</v>
      </c>
      <c r="E33" s="58">
        <v>0</v>
      </c>
      <c r="F33" s="58">
        <v>0</v>
      </c>
      <c r="G33" s="58">
        <v>0</v>
      </c>
      <c r="H33" s="58">
        <v>0</v>
      </c>
      <c r="I33" s="58">
        <v>0</v>
      </c>
      <c r="J33" s="58">
        <v>0</v>
      </c>
      <c r="K33" s="58">
        <v>0</v>
      </c>
      <c r="L33" s="58">
        <v>0</v>
      </c>
      <c r="M33" s="58">
        <v>0</v>
      </c>
      <c r="N33" s="58">
        <v>0</v>
      </c>
      <c r="O33" s="58">
        <v>0</v>
      </c>
      <c r="P33" s="58">
        <v>0</v>
      </c>
    </row>
    <row r="34" spans="1:16" x14ac:dyDescent="0.3">
      <c r="A34" s="11">
        <v>26031</v>
      </c>
      <c r="B34" s="11" t="s">
        <v>63</v>
      </c>
      <c r="C34" s="58">
        <v>129616472.82898541</v>
      </c>
      <c r="D34" s="58">
        <v>129483839.48565739</v>
      </c>
      <c r="E34" s="58">
        <v>131165547.3552639</v>
      </c>
      <c r="F34" s="58">
        <v>131073465.56302351</v>
      </c>
      <c r="G34" s="58">
        <v>131881887.16414899</v>
      </c>
      <c r="H34" s="58">
        <v>131819252.99278578</v>
      </c>
      <c r="I34" s="58">
        <v>133935069.29250629</v>
      </c>
      <c r="J34" s="58">
        <v>133478652.41127941</v>
      </c>
      <c r="K34" s="58">
        <v>133595177.40709661</v>
      </c>
      <c r="L34" s="58">
        <v>134484665.33846509</v>
      </c>
      <c r="M34" s="58">
        <v>136249564.1757009</v>
      </c>
      <c r="N34" s="58">
        <v>134964932.1470634</v>
      </c>
      <c r="O34" s="58">
        <v>136453026.26510891</v>
      </c>
      <c r="P34" s="58">
        <v>136642162.19386801</v>
      </c>
    </row>
    <row r="35" spans="1:16" x14ac:dyDescent="0.3">
      <c r="A35" s="11">
        <v>26032</v>
      </c>
      <c r="B35" s="11" t="s">
        <v>62</v>
      </c>
      <c r="C35" s="58">
        <v>0</v>
      </c>
      <c r="D35" s="58">
        <v>0</v>
      </c>
      <c r="E35" s="58">
        <v>0</v>
      </c>
      <c r="F35" s="58">
        <v>0</v>
      </c>
      <c r="G35" s="58">
        <v>0</v>
      </c>
      <c r="H35" s="58">
        <v>0</v>
      </c>
      <c r="I35" s="58">
        <v>0</v>
      </c>
      <c r="J35" s="58">
        <v>0</v>
      </c>
      <c r="K35" s="58">
        <v>0</v>
      </c>
      <c r="L35" s="58">
        <v>0</v>
      </c>
      <c r="M35" s="58">
        <v>0</v>
      </c>
      <c r="N35" s="58">
        <v>0</v>
      </c>
      <c r="O35" s="58">
        <v>0</v>
      </c>
      <c r="P35" s="58">
        <v>0</v>
      </c>
    </row>
    <row r="36" spans="1:16" x14ac:dyDescent="0.3">
      <c r="A36" s="11">
        <v>26033</v>
      </c>
      <c r="B36" s="11" t="s">
        <v>61</v>
      </c>
      <c r="C36" s="58">
        <v>0</v>
      </c>
      <c r="D36" s="58">
        <v>0</v>
      </c>
      <c r="E36" s="58">
        <v>0</v>
      </c>
      <c r="F36" s="58">
        <v>0</v>
      </c>
      <c r="G36" s="58">
        <v>0</v>
      </c>
      <c r="H36" s="58">
        <v>0</v>
      </c>
      <c r="I36" s="58">
        <v>0</v>
      </c>
      <c r="J36" s="58">
        <v>0</v>
      </c>
      <c r="K36" s="58">
        <v>0</v>
      </c>
      <c r="L36" s="58">
        <v>0</v>
      </c>
      <c r="M36" s="58">
        <v>0</v>
      </c>
      <c r="N36" s="58">
        <v>0</v>
      </c>
      <c r="O36" s="58">
        <v>0</v>
      </c>
      <c r="P36" s="58">
        <v>0</v>
      </c>
    </row>
    <row r="37" spans="1:16" x14ac:dyDescent="0.3">
      <c r="A37" s="11">
        <v>26034</v>
      </c>
      <c r="B37" s="11" t="s">
        <v>60</v>
      </c>
      <c r="C37" s="58">
        <v>1291346.217224479</v>
      </c>
      <c r="D37" s="58">
        <v>1230669.6205856821</v>
      </c>
      <c r="E37" s="58">
        <v>1171343.8901165151</v>
      </c>
      <c r="F37" s="58">
        <v>1240020.4458191558</v>
      </c>
      <c r="G37" s="58">
        <v>1344091.416527757</v>
      </c>
      <c r="H37" s="58">
        <v>1377888.1815707989</v>
      </c>
      <c r="I37" s="58">
        <v>1506764.5460129802</v>
      </c>
      <c r="J37" s="58">
        <v>1447378.322483124</v>
      </c>
      <c r="K37" s="58">
        <v>1407355.342273019</v>
      </c>
      <c r="L37" s="58">
        <v>1608567.400707271</v>
      </c>
      <c r="M37" s="58">
        <v>1640100.4984427709</v>
      </c>
      <c r="N37" s="58">
        <v>1707832.7013562149</v>
      </c>
      <c r="O37" s="58">
        <v>1898943.783333682</v>
      </c>
      <c r="P37" s="58">
        <v>1387741.095257282</v>
      </c>
    </row>
    <row r="38" spans="1:16" x14ac:dyDescent="0.3">
      <c r="A38" s="11">
        <v>26035</v>
      </c>
      <c r="B38" s="11" t="s">
        <v>31</v>
      </c>
      <c r="C38" s="58">
        <v>260599.19884227897</v>
      </c>
      <c r="D38" s="58">
        <v>245839.34496138201</v>
      </c>
      <c r="E38" s="58">
        <v>243975.35441311501</v>
      </c>
      <c r="F38" s="58">
        <v>254388.78949395602</v>
      </c>
      <c r="G38" s="58">
        <v>265267.16397705697</v>
      </c>
      <c r="H38" s="58">
        <v>262629.61305189901</v>
      </c>
      <c r="I38" s="58">
        <v>276024.86371498002</v>
      </c>
      <c r="J38" s="58">
        <v>274984.41450922401</v>
      </c>
      <c r="K38" s="58">
        <v>285897.90327501902</v>
      </c>
      <c r="L38" s="58">
        <v>283813.12740417098</v>
      </c>
      <c r="M38" s="58">
        <v>286336.95598047099</v>
      </c>
      <c r="N38" s="58">
        <v>239662.71661581501</v>
      </c>
      <c r="O38" s="58">
        <v>294876.36749518203</v>
      </c>
      <c r="P38" s="58">
        <v>335047.17225388199</v>
      </c>
    </row>
    <row r="39" spans="1:16" x14ac:dyDescent="0.3">
      <c r="A39" s="11">
        <v>26036</v>
      </c>
      <c r="B39" s="11" t="s">
        <v>59</v>
      </c>
      <c r="C39" s="58">
        <v>150235.66720397898</v>
      </c>
      <c r="D39" s="58">
        <v>147715.86289248199</v>
      </c>
      <c r="E39" s="58">
        <v>143214.54159131501</v>
      </c>
      <c r="F39" s="58">
        <v>144528.471926556</v>
      </c>
      <c r="G39" s="58">
        <v>152835.42052145698</v>
      </c>
      <c r="H39" s="58">
        <v>151240.25898479897</v>
      </c>
      <c r="I39" s="58">
        <v>157165.73983198003</v>
      </c>
      <c r="J39" s="58">
        <v>147106.03934982402</v>
      </c>
      <c r="K39" s="58">
        <v>151733.241388119</v>
      </c>
      <c r="L39" s="58">
        <v>149409.00434507101</v>
      </c>
      <c r="M39" s="58">
        <v>152320.08463787101</v>
      </c>
      <c r="N39" s="58">
        <v>139073.84711331499</v>
      </c>
      <c r="O39" s="58">
        <v>146515.16360828199</v>
      </c>
      <c r="P39" s="58">
        <v>144545.13571458199</v>
      </c>
    </row>
    <row r="40" spans="1:16" x14ac:dyDescent="0.3">
      <c r="A40" s="11">
        <v>26037</v>
      </c>
      <c r="B40" s="11" t="s">
        <v>58</v>
      </c>
      <c r="C40" s="58">
        <v>49772.757903500002</v>
      </c>
      <c r="D40" s="58">
        <v>39435.838534399998</v>
      </c>
      <c r="E40" s="58">
        <v>38969.793965799996</v>
      </c>
      <c r="F40" s="58">
        <v>47083.206708800004</v>
      </c>
      <c r="G40" s="58">
        <v>51392.367295600001</v>
      </c>
      <c r="H40" s="58">
        <v>55409.480783500003</v>
      </c>
      <c r="I40" s="58">
        <v>56734.969713099999</v>
      </c>
      <c r="J40" s="58">
        <v>57683.65852769999</v>
      </c>
      <c r="K40" s="58">
        <v>56905.902458099998</v>
      </c>
      <c r="L40" s="58">
        <v>57348.556876499999</v>
      </c>
      <c r="M40" s="58">
        <v>57010.231138799987</v>
      </c>
      <c r="N40" s="58">
        <v>18976.259904400002</v>
      </c>
      <c r="O40" s="58">
        <v>60080.520613399996</v>
      </c>
      <c r="P40" s="58">
        <v>78400.641448000009</v>
      </c>
    </row>
    <row r="41" spans="1:16" x14ac:dyDescent="0.3">
      <c r="A41" s="11">
        <v>26038</v>
      </c>
      <c r="B41" s="11" t="s">
        <v>57</v>
      </c>
      <c r="C41" s="58">
        <v>60590.773734800001</v>
      </c>
      <c r="D41" s="58">
        <v>58687.643534499999</v>
      </c>
      <c r="E41" s="58">
        <v>61791.018855999995</v>
      </c>
      <c r="F41" s="58">
        <v>62777.110858599997</v>
      </c>
      <c r="G41" s="58">
        <v>61039.37616</v>
      </c>
      <c r="H41" s="58">
        <v>55979.873283599998</v>
      </c>
      <c r="I41" s="58">
        <v>62124.154169899994</v>
      </c>
      <c r="J41" s="58">
        <v>70194.716631699994</v>
      </c>
      <c r="K41" s="58">
        <v>77258.759428799996</v>
      </c>
      <c r="L41" s="58">
        <v>77055.5661826</v>
      </c>
      <c r="M41" s="58">
        <v>77006.640203800009</v>
      </c>
      <c r="N41" s="58">
        <v>81612.609598099996</v>
      </c>
      <c r="O41" s="58">
        <v>88280.683273500006</v>
      </c>
      <c r="P41" s="58">
        <v>112101.3950913</v>
      </c>
    </row>
    <row r="42" spans="1:16" x14ac:dyDescent="0.3">
      <c r="A42" s="11">
        <v>26039</v>
      </c>
      <c r="B42" s="11" t="s">
        <v>56</v>
      </c>
      <c r="C42" s="58">
        <v>1030747.0183822</v>
      </c>
      <c r="D42" s="58">
        <v>984830.2756243</v>
      </c>
      <c r="E42" s="58">
        <v>927368.53570340003</v>
      </c>
      <c r="F42" s="58">
        <v>985631.65632519987</v>
      </c>
      <c r="G42" s="58">
        <v>1078824.2525507</v>
      </c>
      <c r="H42" s="58">
        <v>1115258.5685188998</v>
      </c>
      <c r="I42" s="58">
        <v>1230739.6822980002</v>
      </c>
      <c r="J42" s="58">
        <v>1172393.9079739</v>
      </c>
      <c r="K42" s="58">
        <v>1121457.438998</v>
      </c>
      <c r="L42" s="58">
        <v>1324754.2733030999</v>
      </c>
      <c r="M42" s="58">
        <v>1353763.5424623</v>
      </c>
      <c r="N42" s="58">
        <v>1468169.9847404</v>
      </c>
      <c r="O42" s="58">
        <v>1604067.4158385</v>
      </c>
      <c r="P42" s="58">
        <v>1052693.9230034</v>
      </c>
    </row>
    <row r="43" spans="1:16" x14ac:dyDescent="0.3">
      <c r="A43" s="11">
        <v>26040</v>
      </c>
      <c r="B43" s="11" t="s">
        <v>55</v>
      </c>
      <c r="C43" s="58">
        <v>0</v>
      </c>
      <c r="D43" s="58">
        <v>0</v>
      </c>
      <c r="E43" s="58">
        <v>0</v>
      </c>
      <c r="F43" s="58">
        <v>42839.308002700003</v>
      </c>
      <c r="G43" s="58">
        <v>0</v>
      </c>
      <c r="H43" s="58">
        <v>0</v>
      </c>
      <c r="I43" s="58">
        <v>0</v>
      </c>
      <c r="J43" s="58">
        <v>0</v>
      </c>
      <c r="K43" s="58">
        <v>0</v>
      </c>
      <c r="L43" s="58">
        <v>0</v>
      </c>
      <c r="M43" s="58">
        <v>0</v>
      </c>
      <c r="N43" s="58">
        <v>0</v>
      </c>
      <c r="O43" s="58">
        <v>0</v>
      </c>
      <c r="P43" s="58">
        <v>0</v>
      </c>
    </row>
    <row r="44" spans="1:16" x14ac:dyDescent="0.3">
      <c r="A44" s="11">
        <v>26041</v>
      </c>
      <c r="B44" s="11" t="s">
        <v>54</v>
      </c>
      <c r="C44" s="58">
        <v>0</v>
      </c>
      <c r="D44" s="58">
        <v>0</v>
      </c>
      <c r="E44" s="58">
        <v>0</v>
      </c>
      <c r="F44" s="58">
        <v>0</v>
      </c>
      <c r="G44" s="58">
        <v>0</v>
      </c>
      <c r="H44" s="58">
        <v>0</v>
      </c>
      <c r="I44" s="58">
        <v>0</v>
      </c>
      <c r="J44" s="58">
        <v>0</v>
      </c>
      <c r="K44" s="58">
        <v>0</v>
      </c>
      <c r="L44" s="58">
        <v>0</v>
      </c>
      <c r="M44" s="58">
        <v>0</v>
      </c>
      <c r="N44" s="58">
        <v>0</v>
      </c>
      <c r="O44" s="58">
        <v>0</v>
      </c>
      <c r="P44" s="58">
        <v>0</v>
      </c>
    </row>
    <row r="45" spans="1:16" x14ac:dyDescent="0.3">
      <c r="A45" s="11">
        <v>26042</v>
      </c>
      <c r="B45" s="11" t="s">
        <v>10</v>
      </c>
      <c r="C45" s="58">
        <v>0</v>
      </c>
      <c r="D45" s="58">
        <v>0</v>
      </c>
      <c r="E45" s="58">
        <v>0</v>
      </c>
      <c r="F45" s="58">
        <v>0</v>
      </c>
      <c r="G45" s="58">
        <v>0</v>
      </c>
      <c r="H45" s="58">
        <v>0</v>
      </c>
      <c r="I45" s="58">
        <v>0</v>
      </c>
      <c r="J45" s="58">
        <v>0</v>
      </c>
      <c r="K45" s="58">
        <v>0</v>
      </c>
      <c r="L45" s="58">
        <v>0</v>
      </c>
      <c r="M45" s="58">
        <v>0</v>
      </c>
      <c r="N45" s="58">
        <v>0</v>
      </c>
      <c r="O45" s="58">
        <v>0</v>
      </c>
      <c r="P45" s="58">
        <v>0</v>
      </c>
    </row>
    <row r="46" spans="1:16" x14ac:dyDescent="0.3">
      <c r="A46" s="11">
        <v>26043</v>
      </c>
      <c r="B46" s="11" t="s">
        <v>53</v>
      </c>
      <c r="C46" s="58">
        <v>1030747.0183822</v>
      </c>
      <c r="D46" s="58">
        <v>984830.2756243</v>
      </c>
      <c r="E46" s="58">
        <v>927368.53570340003</v>
      </c>
      <c r="F46" s="58">
        <v>942792.34832249989</v>
      </c>
      <c r="G46" s="58">
        <v>1078824.2525507</v>
      </c>
      <c r="H46" s="58">
        <v>1115258.5685188998</v>
      </c>
      <c r="I46" s="58">
        <v>1230739.6822980002</v>
      </c>
      <c r="J46" s="58">
        <v>1172393.9079739</v>
      </c>
      <c r="K46" s="58">
        <v>1121457.438998</v>
      </c>
      <c r="L46" s="58">
        <v>1324754.2733030999</v>
      </c>
      <c r="M46" s="58">
        <v>1353763.5424623</v>
      </c>
      <c r="N46" s="58">
        <v>1468169.9847404</v>
      </c>
      <c r="O46" s="58">
        <v>1604067.4158385</v>
      </c>
      <c r="P46" s="58">
        <v>1052693.9230034</v>
      </c>
    </row>
    <row r="47" spans="1:16" x14ac:dyDescent="0.3">
      <c r="A47" s="11">
        <v>26044</v>
      </c>
      <c r="B47" s="11" t="s">
        <v>52</v>
      </c>
      <c r="C47" s="58">
        <v>0</v>
      </c>
      <c r="D47" s="58">
        <v>0</v>
      </c>
      <c r="E47" s="58">
        <v>0</v>
      </c>
      <c r="F47" s="58">
        <v>0</v>
      </c>
      <c r="G47" s="58">
        <v>0</v>
      </c>
      <c r="H47" s="58">
        <v>0</v>
      </c>
      <c r="I47" s="58">
        <v>0</v>
      </c>
      <c r="J47" s="58">
        <v>0</v>
      </c>
      <c r="K47" s="58">
        <v>0</v>
      </c>
      <c r="L47" s="58">
        <v>0</v>
      </c>
      <c r="M47" s="58">
        <v>0</v>
      </c>
      <c r="N47" s="58">
        <v>0</v>
      </c>
      <c r="O47" s="58">
        <v>0</v>
      </c>
      <c r="P47" s="58">
        <v>0</v>
      </c>
    </row>
    <row r="48" spans="1:16" x14ac:dyDescent="0.3">
      <c r="A48" s="11">
        <v>26045</v>
      </c>
      <c r="B48" s="11" t="s">
        <v>51</v>
      </c>
      <c r="C48" s="58">
        <v>0</v>
      </c>
      <c r="D48" s="58">
        <v>0</v>
      </c>
      <c r="E48" s="58">
        <v>0</v>
      </c>
      <c r="F48" s="58">
        <v>0</v>
      </c>
      <c r="G48" s="58">
        <v>0</v>
      </c>
      <c r="H48" s="58">
        <v>0</v>
      </c>
      <c r="I48" s="58">
        <v>0</v>
      </c>
      <c r="J48" s="58">
        <v>0</v>
      </c>
      <c r="K48" s="58">
        <v>0</v>
      </c>
      <c r="L48" s="58">
        <v>0</v>
      </c>
      <c r="M48" s="58">
        <v>0</v>
      </c>
      <c r="N48" s="58">
        <v>0</v>
      </c>
      <c r="O48" s="58">
        <v>0</v>
      </c>
      <c r="P48" s="58">
        <v>0</v>
      </c>
    </row>
    <row r="49" spans="1:16" x14ac:dyDescent="0.3">
      <c r="A49" s="11">
        <v>26046</v>
      </c>
      <c r="B49" s="11" t="s">
        <v>50</v>
      </c>
      <c r="C49" s="58">
        <v>4378915.6936623696</v>
      </c>
      <c r="D49" s="58">
        <v>4378915.6936623696</v>
      </c>
      <c r="E49" s="58">
        <v>4580084.6670325305</v>
      </c>
      <c r="F49" s="58">
        <v>12268796.482941709</v>
      </c>
      <c r="G49" s="58">
        <v>4465106.3369395705</v>
      </c>
      <c r="H49" s="58">
        <v>2802216.70234069</v>
      </c>
      <c r="I49" s="58">
        <v>3317603.7234366303</v>
      </c>
      <c r="J49" s="58">
        <v>2967446.8163791196</v>
      </c>
      <c r="K49" s="58">
        <v>2974311.2594115897</v>
      </c>
      <c r="L49" s="58">
        <v>2518000.6943306499</v>
      </c>
      <c r="M49" s="58">
        <v>2404867.4818128431</v>
      </c>
      <c r="N49" s="58">
        <v>2751798.37561899</v>
      </c>
      <c r="O49" s="58">
        <v>2611396.76988735</v>
      </c>
      <c r="P49" s="58">
        <v>1005071.934215</v>
      </c>
    </row>
    <row r="50" spans="1:16" x14ac:dyDescent="0.3">
      <c r="A50" s="11">
        <v>26047</v>
      </c>
      <c r="B50" s="11" t="s">
        <v>49</v>
      </c>
      <c r="C50" s="58">
        <v>740326.87092150003</v>
      </c>
      <c r="D50" s="58">
        <v>740326.87092150003</v>
      </c>
      <c r="E50" s="58">
        <v>0</v>
      </c>
      <c r="F50" s="58">
        <v>679121.92000000004</v>
      </c>
      <c r="G50" s="58">
        <v>0</v>
      </c>
      <c r="H50" s="58">
        <v>0</v>
      </c>
      <c r="I50" s="58">
        <v>0</v>
      </c>
      <c r="J50" s="58">
        <v>0</v>
      </c>
      <c r="K50" s="58">
        <v>0</v>
      </c>
      <c r="L50" s="58">
        <v>0</v>
      </c>
      <c r="M50" s="58">
        <v>852961.38480499992</v>
      </c>
      <c r="N50" s="58">
        <v>0</v>
      </c>
      <c r="O50" s="58">
        <v>0</v>
      </c>
      <c r="P50" s="58">
        <v>0</v>
      </c>
    </row>
    <row r="51" spans="1:16" x14ac:dyDescent="0.3">
      <c r="A51" s="11">
        <v>26048</v>
      </c>
      <c r="B51" s="11" t="s">
        <v>48</v>
      </c>
      <c r="C51" s="58">
        <v>3638588.8227408701</v>
      </c>
      <c r="D51" s="58">
        <v>3638588.8227408701</v>
      </c>
      <c r="E51" s="58">
        <v>4580084.6670325305</v>
      </c>
      <c r="F51" s="58">
        <v>11589674.56294171</v>
      </c>
      <c r="G51" s="58">
        <v>4465106.3369395705</v>
      </c>
      <c r="H51" s="58">
        <v>2802216.70234069</v>
      </c>
      <c r="I51" s="58">
        <v>3317603.7234366303</v>
      </c>
      <c r="J51" s="58">
        <v>2967446.8163791196</v>
      </c>
      <c r="K51" s="58">
        <v>2974311.2594115897</v>
      </c>
      <c r="L51" s="58">
        <v>2518000.6943306499</v>
      </c>
      <c r="M51" s="58">
        <v>1551906.097007843</v>
      </c>
      <c r="N51" s="58">
        <v>2751798.37561899</v>
      </c>
      <c r="O51" s="58">
        <v>2611396.76988735</v>
      </c>
      <c r="P51" s="58">
        <v>1005071.934215</v>
      </c>
    </row>
    <row r="52" spans="1:16" x14ac:dyDescent="0.3">
      <c r="A52" s="11">
        <v>26049</v>
      </c>
      <c r="B52" s="11" t="s">
        <v>47</v>
      </c>
      <c r="C52" s="58">
        <v>94604310.996730044</v>
      </c>
      <c r="D52" s="58">
        <v>91969948.192437917</v>
      </c>
      <c r="E52" s="58">
        <v>94861260.086016953</v>
      </c>
      <c r="F52" s="58">
        <v>100676779.58295</v>
      </c>
      <c r="G52" s="58">
        <v>97853016.956060708</v>
      </c>
      <c r="H52" s="58">
        <v>97362273.216438279</v>
      </c>
      <c r="I52" s="58">
        <v>98359068.219763502</v>
      </c>
      <c r="J52" s="58">
        <v>100227053.30196483</v>
      </c>
      <c r="K52" s="58">
        <v>102129726.61542864</v>
      </c>
      <c r="L52" s="58">
        <v>102177515.3162228</v>
      </c>
      <c r="M52" s="58">
        <v>103301011.58077259</v>
      </c>
      <c r="N52" s="58">
        <v>104750385.1396071</v>
      </c>
      <c r="O52" s="58">
        <v>107422264.5342295</v>
      </c>
      <c r="P52" s="58">
        <v>108863495.7036408</v>
      </c>
    </row>
    <row r="53" spans="1:16" x14ac:dyDescent="0.3">
      <c r="A53" s="11">
        <v>26050</v>
      </c>
      <c r="B53" s="11" t="s">
        <v>46</v>
      </c>
      <c r="C53" s="58">
        <v>8017127.6328989808</v>
      </c>
      <c r="D53" s="58">
        <v>8191283.4449831117</v>
      </c>
      <c r="E53" s="58">
        <v>8370009.2504049605</v>
      </c>
      <c r="F53" s="58">
        <v>8458134.0420275312</v>
      </c>
      <c r="G53" s="58">
        <v>8600107.6123792306</v>
      </c>
      <c r="H53" s="58">
        <v>8723782.0353865698</v>
      </c>
      <c r="I53" s="58">
        <v>8847650.5547551308</v>
      </c>
      <c r="J53" s="58">
        <v>8896644.6290678605</v>
      </c>
      <c r="K53" s="58">
        <v>8994674.9693284724</v>
      </c>
      <c r="L53" s="58">
        <v>9071897.2382859401</v>
      </c>
      <c r="M53" s="58">
        <v>9179435.0381967295</v>
      </c>
      <c r="N53" s="58">
        <v>9266911.6002583634</v>
      </c>
      <c r="O53" s="58">
        <v>9367138.5074831825</v>
      </c>
      <c r="P53" s="58">
        <v>9436127.380214341</v>
      </c>
    </row>
    <row r="54" spans="1:16" x14ac:dyDescent="0.3">
      <c r="A54" s="11">
        <v>26051</v>
      </c>
      <c r="B54" s="11" t="s">
        <v>45</v>
      </c>
      <c r="C54" s="58">
        <v>72511.462090000001</v>
      </c>
      <c r="D54" s="58">
        <v>68264.411890000003</v>
      </c>
      <c r="E54" s="58">
        <v>63764.05285</v>
      </c>
      <c r="F54" s="58">
        <v>59903.305950000002</v>
      </c>
      <c r="G54" s="58">
        <v>60902.347520000003</v>
      </c>
      <c r="H54" s="58">
        <v>55395.411619999999</v>
      </c>
      <c r="I54" s="58">
        <v>47989.639259999996</v>
      </c>
      <c r="J54" s="58">
        <v>41002.916369999999</v>
      </c>
      <c r="K54" s="58">
        <v>38812.037659999995</v>
      </c>
      <c r="L54" s="58">
        <v>31749.484639999999</v>
      </c>
      <c r="M54" s="58">
        <v>30422.231960000001</v>
      </c>
      <c r="N54" s="58">
        <v>75497.841530000005</v>
      </c>
      <c r="O54" s="58">
        <v>65826.067349999998</v>
      </c>
      <c r="P54" s="58">
        <v>65826.067349999998</v>
      </c>
    </row>
    <row r="55" spans="1:16" x14ac:dyDescent="0.3">
      <c r="A55" s="11">
        <v>26052</v>
      </c>
      <c r="B55" s="11" t="s">
        <v>44</v>
      </c>
      <c r="C55" s="58">
        <v>0</v>
      </c>
      <c r="D55" s="58">
        <v>0</v>
      </c>
      <c r="E55" s="58">
        <v>0</v>
      </c>
      <c r="F55" s="58">
        <v>0</v>
      </c>
      <c r="G55" s="58">
        <v>0</v>
      </c>
      <c r="H55" s="58">
        <v>0</v>
      </c>
      <c r="I55" s="58">
        <v>0</v>
      </c>
      <c r="J55" s="58">
        <v>0</v>
      </c>
      <c r="K55" s="58">
        <v>0</v>
      </c>
      <c r="L55" s="58">
        <v>0</v>
      </c>
      <c r="M55" s="58">
        <v>0</v>
      </c>
      <c r="N55" s="58">
        <v>0</v>
      </c>
      <c r="O55" s="58">
        <v>0</v>
      </c>
      <c r="P55" s="58">
        <v>0</v>
      </c>
    </row>
    <row r="56" spans="1:16" x14ac:dyDescent="0.3">
      <c r="A56" s="11">
        <v>26053</v>
      </c>
      <c r="B56" s="11" t="s">
        <v>43</v>
      </c>
      <c r="C56" s="58">
        <v>2873453.8834799994</v>
      </c>
      <c r="D56" s="58">
        <v>1894414.12968</v>
      </c>
      <c r="E56" s="58">
        <v>2488990.54024</v>
      </c>
      <c r="F56" s="58">
        <v>6389474.3649700005</v>
      </c>
      <c r="G56" s="58">
        <v>2517669.6519700005</v>
      </c>
      <c r="H56" s="58">
        <v>1785967.4988799999</v>
      </c>
      <c r="I56" s="58">
        <v>2082487.9645599998</v>
      </c>
      <c r="J56" s="58">
        <v>1699273.7476900001</v>
      </c>
      <c r="K56" s="58">
        <v>1755416.49401</v>
      </c>
      <c r="L56" s="58">
        <v>1641953.32115</v>
      </c>
      <c r="M56" s="58">
        <v>989344.85985999997</v>
      </c>
      <c r="N56" s="58">
        <v>1791569.5440499999</v>
      </c>
      <c r="O56" s="58">
        <v>1721597.5862400001</v>
      </c>
      <c r="P56" s="58">
        <v>1721597.5862400001</v>
      </c>
    </row>
    <row r="57" spans="1:16" x14ac:dyDescent="0.3">
      <c r="A57" s="11">
        <v>26054</v>
      </c>
      <c r="B57" s="11" t="s">
        <v>42</v>
      </c>
      <c r="C57" s="58">
        <v>732036.38072000002</v>
      </c>
      <c r="D57" s="58">
        <v>602480.08860999998</v>
      </c>
      <c r="E57" s="58">
        <v>728294.59689999989</v>
      </c>
      <c r="F57" s="58">
        <v>759158.59835999995</v>
      </c>
      <c r="G57" s="58">
        <v>756604.51348999992</v>
      </c>
      <c r="H57" s="58">
        <v>664263.88424000004</v>
      </c>
      <c r="I57" s="58">
        <v>667859.58369</v>
      </c>
      <c r="J57" s="58">
        <v>726131.47423999989</v>
      </c>
      <c r="K57" s="58">
        <v>728074.48746999993</v>
      </c>
      <c r="L57" s="58">
        <v>703467.16096999997</v>
      </c>
      <c r="M57" s="58">
        <v>722602.08136000007</v>
      </c>
      <c r="N57" s="58">
        <v>709722.04669999995</v>
      </c>
      <c r="O57" s="58">
        <v>729217.89710000006</v>
      </c>
      <c r="P57" s="58">
        <v>729217.89710000006</v>
      </c>
    </row>
    <row r="58" spans="1:16" x14ac:dyDescent="0.3">
      <c r="A58" s="11">
        <v>26055</v>
      </c>
      <c r="B58" s="11" t="s">
        <v>41</v>
      </c>
      <c r="C58" s="58">
        <v>1917861.7340899999</v>
      </c>
      <c r="D58" s="58">
        <v>1811635.54513</v>
      </c>
      <c r="E58" s="58">
        <v>1793230.8553899997</v>
      </c>
      <c r="F58" s="58">
        <v>1939093.9147399997</v>
      </c>
      <c r="G58" s="58">
        <v>1926227.0439900002</v>
      </c>
      <c r="H58" s="58">
        <v>1951040.4062099999</v>
      </c>
      <c r="I58" s="58">
        <v>1868885.1461000002</v>
      </c>
      <c r="J58" s="58">
        <v>1871340.8776100003</v>
      </c>
      <c r="K58" s="58">
        <v>1846761.6824099999</v>
      </c>
      <c r="L58" s="58">
        <v>1851475.62583</v>
      </c>
      <c r="M58" s="58">
        <v>1888585.53476</v>
      </c>
      <c r="N58" s="58">
        <v>1872362.32702</v>
      </c>
      <c r="O58" s="58">
        <v>1856915.0621699989</v>
      </c>
      <c r="P58" s="58">
        <v>1856915.0621699989</v>
      </c>
    </row>
    <row r="59" spans="1:16" x14ac:dyDescent="0.3">
      <c r="A59" s="11">
        <v>26056</v>
      </c>
      <c r="B59" s="11" t="s">
        <v>40</v>
      </c>
      <c r="C59" s="58">
        <v>1705630.4450599998</v>
      </c>
      <c r="D59" s="58">
        <v>1496487.2287900001</v>
      </c>
      <c r="E59" s="58">
        <v>1475763.5735800001</v>
      </c>
      <c r="F59" s="58">
        <v>1481864.89111</v>
      </c>
      <c r="G59" s="58">
        <v>1451434.93188</v>
      </c>
      <c r="H59" s="58">
        <v>1482579.1471899999</v>
      </c>
      <c r="I59" s="58">
        <v>1491754.6151800002</v>
      </c>
      <c r="J59" s="58">
        <v>1489055.5905499998</v>
      </c>
      <c r="K59" s="58">
        <v>1495060.4239299996</v>
      </c>
      <c r="L59" s="58">
        <v>1463053.7181599999</v>
      </c>
      <c r="M59" s="58">
        <v>1435952.3427899999</v>
      </c>
      <c r="N59" s="58">
        <v>1439005.70288</v>
      </c>
      <c r="O59" s="58">
        <v>1382040.56583</v>
      </c>
      <c r="P59" s="58">
        <v>1382040.56583</v>
      </c>
    </row>
    <row r="60" spans="1:16" x14ac:dyDescent="0.3">
      <c r="A60" s="11">
        <v>26057</v>
      </c>
      <c r="B60" s="11" t="s">
        <v>39</v>
      </c>
      <c r="C60" s="58">
        <v>146285.63740000001</v>
      </c>
      <c r="D60" s="58">
        <v>171980.99176</v>
      </c>
      <c r="E60" s="58">
        <v>128049.96342999999</v>
      </c>
      <c r="F60" s="58">
        <v>158546.82300999999</v>
      </c>
      <c r="G60" s="58">
        <v>186050.65987</v>
      </c>
      <c r="H60" s="58">
        <v>214646.24708999999</v>
      </c>
      <c r="I60" s="58">
        <v>240708.41244000001</v>
      </c>
      <c r="J60" s="58">
        <v>270923.74375999998</v>
      </c>
      <c r="K60" s="58">
        <v>40664.671559999995</v>
      </c>
      <c r="L60" s="58">
        <v>72205.824489999999</v>
      </c>
      <c r="M60" s="58">
        <v>99197.425179999991</v>
      </c>
      <c r="N60" s="58">
        <v>127412.29398</v>
      </c>
      <c r="O60" s="58">
        <v>155626.43557</v>
      </c>
      <c r="P60" s="58">
        <v>155626.43557</v>
      </c>
    </row>
    <row r="61" spans="1:16" x14ac:dyDescent="0.3">
      <c r="A61" s="11">
        <v>26058</v>
      </c>
      <c r="B61" s="11" t="s">
        <v>38</v>
      </c>
      <c r="C61" s="58">
        <v>0</v>
      </c>
      <c r="D61" s="58">
        <v>0</v>
      </c>
      <c r="E61" s="58">
        <v>0</v>
      </c>
      <c r="F61" s="58">
        <v>0</v>
      </c>
      <c r="G61" s="58">
        <v>0</v>
      </c>
      <c r="H61" s="58">
        <v>0</v>
      </c>
      <c r="I61" s="58">
        <v>0</v>
      </c>
      <c r="J61" s="58">
        <v>0</v>
      </c>
      <c r="K61" s="58">
        <v>0</v>
      </c>
      <c r="L61" s="58">
        <v>0</v>
      </c>
      <c r="M61" s="58">
        <v>0</v>
      </c>
      <c r="N61" s="58">
        <v>0</v>
      </c>
      <c r="O61" s="58">
        <v>0</v>
      </c>
      <c r="P61" s="58">
        <v>0</v>
      </c>
    </row>
    <row r="62" spans="1:16" x14ac:dyDescent="0.3">
      <c r="A62" s="11">
        <v>26059</v>
      </c>
      <c r="B62" s="11" t="s">
        <v>37</v>
      </c>
      <c r="C62" s="58">
        <v>0</v>
      </c>
      <c r="D62" s="58">
        <v>0</v>
      </c>
      <c r="E62" s="58">
        <v>0</v>
      </c>
      <c r="F62" s="58">
        <v>0</v>
      </c>
      <c r="G62" s="58">
        <v>0</v>
      </c>
      <c r="H62" s="58">
        <v>0</v>
      </c>
      <c r="I62" s="58">
        <v>0</v>
      </c>
      <c r="J62" s="58">
        <v>0</v>
      </c>
      <c r="K62" s="58">
        <v>0</v>
      </c>
      <c r="L62" s="58">
        <v>0</v>
      </c>
      <c r="M62" s="58">
        <v>0</v>
      </c>
      <c r="N62" s="58">
        <v>0</v>
      </c>
      <c r="O62" s="58">
        <v>0</v>
      </c>
      <c r="P62" s="58">
        <v>0</v>
      </c>
    </row>
    <row r="63" spans="1:16" x14ac:dyDescent="0.3">
      <c r="A63" s="11">
        <v>26060</v>
      </c>
      <c r="B63" s="11" t="s">
        <v>36</v>
      </c>
      <c r="C63" s="58">
        <v>76781162.31248723</v>
      </c>
      <c r="D63" s="58">
        <v>75375160.843090981</v>
      </c>
      <c r="E63" s="58">
        <v>77535162.76954627</v>
      </c>
      <c r="F63" s="58">
        <v>78858417.896891922</v>
      </c>
      <c r="G63" s="58">
        <v>79753401.348577529</v>
      </c>
      <c r="H63" s="58">
        <v>79899206.284262985</v>
      </c>
      <c r="I63" s="58">
        <v>80479399.354188263</v>
      </c>
      <c r="J63" s="58">
        <v>82630779.146675557</v>
      </c>
      <c r="K63" s="58">
        <v>84623002.760083079</v>
      </c>
      <c r="L63" s="58">
        <v>84810461.104914963</v>
      </c>
      <c r="M63" s="58">
        <v>86424217.27653423</v>
      </c>
      <c r="N63" s="58">
        <v>86948739.230486125</v>
      </c>
      <c r="O63" s="58">
        <v>89409978.413798556</v>
      </c>
      <c r="P63" s="58">
        <v>90859557.229808122</v>
      </c>
    </row>
    <row r="64" spans="1:16" x14ac:dyDescent="0.3">
      <c r="A64" s="11">
        <v>26061</v>
      </c>
      <c r="B64" s="11" t="s">
        <v>35</v>
      </c>
      <c r="C64" s="58">
        <v>2358241.5085038217</v>
      </c>
      <c r="D64" s="58">
        <v>2358241.5085038217</v>
      </c>
      <c r="E64" s="58">
        <v>2277994.4836757146</v>
      </c>
      <c r="F64" s="58">
        <v>2572185.7458905643</v>
      </c>
      <c r="G64" s="58">
        <v>2600618.8463839395</v>
      </c>
      <c r="H64" s="58">
        <v>2585392.3015587199</v>
      </c>
      <c r="I64" s="58">
        <v>2632332.9495901172</v>
      </c>
      <c r="J64" s="58">
        <v>2601901.17600141</v>
      </c>
      <c r="K64" s="58">
        <v>2607259.0889770803</v>
      </c>
      <c r="L64" s="58">
        <v>2531251.8377818698</v>
      </c>
      <c r="M64" s="58">
        <v>2531254.7901316239</v>
      </c>
      <c r="N64" s="58">
        <v>2519164.5527026318</v>
      </c>
      <c r="O64" s="58">
        <v>2733923.998687732</v>
      </c>
      <c r="P64" s="58">
        <v>2656587.4793583201</v>
      </c>
    </row>
    <row r="65" spans="1:16" x14ac:dyDescent="0.3">
      <c r="A65" s="57">
        <v>26062</v>
      </c>
      <c r="B65" s="57" t="s">
        <v>34</v>
      </c>
      <c r="C65" s="59">
        <f t="shared" ref="C65:G65" si="1">C66+C67+C82+C87+C88+C92+C93</f>
        <v>256359259.52749687</v>
      </c>
      <c r="D65" s="59">
        <v>249668197.15052545</v>
      </c>
      <c r="E65" s="59">
        <f t="shared" si="1"/>
        <v>251532428.21094871</v>
      </c>
      <c r="F65" s="59">
        <f t="shared" si="1"/>
        <v>258064937.49772781</v>
      </c>
      <c r="G65" s="59">
        <f t="shared" si="1"/>
        <v>257663019.76606822</v>
      </c>
      <c r="H65" s="59">
        <v>261240869.25522467</v>
      </c>
      <c r="I65" s="59">
        <v>266109006.53798321</v>
      </c>
      <c r="J65" s="59">
        <v>267458511.12364143</v>
      </c>
      <c r="K65" s="59">
        <v>266144340.46308663</v>
      </c>
      <c r="L65" s="59">
        <v>269623112.68739891</v>
      </c>
      <c r="M65" s="59">
        <v>275614732.87542433</v>
      </c>
      <c r="N65" s="59">
        <v>277063773.48949963</v>
      </c>
      <c r="O65" s="59">
        <v>280713569.9757911</v>
      </c>
      <c r="P65" s="59">
        <v>283797974.85873061</v>
      </c>
    </row>
    <row r="66" spans="1:16" x14ac:dyDescent="0.3">
      <c r="A66" s="11">
        <v>26063</v>
      </c>
      <c r="B66" s="11" t="s">
        <v>33</v>
      </c>
      <c r="C66" s="58">
        <v>35118734.445</v>
      </c>
      <c r="D66" s="58">
        <v>35505244.053228885</v>
      </c>
      <c r="E66" s="58">
        <v>36171501.427000001</v>
      </c>
      <c r="F66" s="58">
        <v>36765176.707000002</v>
      </c>
      <c r="G66" s="58">
        <v>37468818.656000003</v>
      </c>
      <c r="H66" s="58">
        <v>38073599.589564294</v>
      </c>
      <c r="I66" s="58">
        <v>37185387.555</v>
      </c>
      <c r="J66" s="58">
        <v>37769366.984999999</v>
      </c>
      <c r="K66" s="58">
        <v>38381364.829475284</v>
      </c>
      <c r="L66" s="58">
        <v>38976985.908999987</v>
      </c>
      <c r="M66" s="58">
        <v>39633336.884000003</v>
      </c>
      <c r="N66" s="58">
        <v>40281636.670000002</v>
      </c>
      <c r="O66" s="58">
        <v>39703830.967999987</v>
      </c>
      <c r="P66" s="58">
        <v>40340335.667999998</v>
      </c>
    </row>
    <row r="67" spans="1:16" x14ac:dyDescent="0.3">
      <c r="A67" s="11">
        <v>26064</v>
      </c>
      <c r="B67" s="11" t="s">
        <v>32</v>
      </c>
      <c r="C67" s="58">
        <v>168234301.9444465</v>
      </c>
      <c r="D67" s="58">
        <v>168460035.33205619</v>
      </c>
      <c r="E67" s="58">
        <v>177720536.33531731</v>
      </c>
      <c r="F67" s="58">
        <v>169965839.80441609</v>
      </c>
      <c r="G67" s="58">
        <v>176861194.05824509</v>
      </c>
      <c r="H67" s="58">
        <v>176229727.06612802</v>
      </c>
      <c r="I67" s="58">
        <v>181674242.90943879</v>
      </c>
      <c r="J67" s="58">
        <v>175014996.39598739</v>
      </c>
      <c r="K67" s="58">
        <v>180269375.17502195</v>
      </c>
      <c r="L67" s="58">
        <v>177788215.82861689</v>
      </c>
      <c r="M67" s="58">
        <v>183695275.80608761</v>
      </c>
      <c r="N67" s="58">
        <v>178479982.89705241</v>
      </c>
      <c r="O67" s="58">
        <v>182595852.577207</v>
      </c>
      <c r="P67" s="58">
        <v>190033318.51729989</v>
      </c>
    </row>
    <row r="68" spans="1:16" x14ac:dyDescent="0.3">
      <c r="A68" s="11">
        <v>26065</v>
      </c>
      <c r="B68" s="11" t="s">
        <v>31</v>
      </c>
      <c r="C68" s="58">
        <v>119709259.21008539</v>
      </c>
      <c r="D68" s="58">
        <v>119826057.3000841</v>
      </c>
      <c r="E68" s="58">
        <v>116804552.64662552</v>
      </c>
      <c r="F68" s="58">
        <v>118481229.72774369</v>
      </c>
      <c r="G68" s="58">
        <v>117535037.92736539</v>
      </c>
      <c r="H68" s="58">
        <v>119120965.50693142</v>
      </c>
      <c r="I68" s="58">
        <v>120314113.15808672</v>
      </c>
      <c r="J68" s="58">
        <v>119354628.3273187</v>
      </c>
      <c r="K68" s="58">
        <v>121430256.01200143</v>
      </c>
      <c r="L68" s="58">
        <v>120344220.0820493</v>
      </c>
      <c r="M68" s="58">
        <v>121929989.3812661</v>
      </c>
      <c r="N68" s="58">
        <v>124391722.4675464</v>
      </c>
      <c r="O68" s="58">
        <v>121917115.4630193</v>
      </c>
      <c r="P68" s="58">
        <v>126289127.6441419</v>
      </c>
    </row>
    <row r="69" spans="1:16" x14ac:dyDescent="0.3">
      <c r="A69" s="11">
        <v>26066</v>
      </c>
      <c r="B69" s="11" t="s">
        <v>30</v>
      </c>
      <c r="C69" s="58">
        <v>0</v>
      </c>
      <c r="D69" s="58">
        <v>0</v>
      </c>
      <c r="E69" s="58">
        <v>0</v>
      </c>
      <c r="F69" s="58">
        <v>0</v>
      </c>
      <c r="G69" s="58">
        <v>0</v>
      </c>
      <c r="H69" s="58">
        <v>0</v>
      </c>
      <c r="I69" s="58">
        <v>0</v>
      </c>
      <c r="J69" s="58">
        <v>0</v>
      </c>
      <c r="K69" s="58">
        <v>0</v>
      </c>
      <c r="L69" s="58">
        <v>0</v>
      </c>
      <c r="M69" s="58">
        <v>0</v>
      </c>
      <c r="N69" s="58">
        <v>0</v>
      </c>
      <c r="O69" s="58">
        <v>0</v>
      </c>
      <c r="P69" s="58">
        <v>0</v>
      </c>
    </row>
    <row r="70" spans="1:16" x14ac:dyDescent="0.3">
      <c r="A70" s="11">
        <v>26067</v>
      </c>
      <c r="B70" s="11" t="s">
        <v>29</v>
      </c>
      <c r="C70" s="58">
        <v>53733299.658326402</v>
      </c>
      <c r="D70" s="58">
        <v>53811301.226885617</v>
      </c>
      <c r="E70" s="58">
        <v>52983389.731309302</v>
      </c>
      <c r="F70" s="58">
        <v>53202847.801753096</v>
      </c>
      <c r="G70" s="58">
        <v>52889698.508619606</v>
      </c>
      <c r="H70" s="58">
        <v>53491827.531278417</v>
      </c>
      <c r="I70" s="58">
        <v>53739457.821998335</v>
      </c>
      <c r="J70" s="58">
        <v>54059958.805581421</v>
      </c>
      <c r="K70" s="58">
        <v>54180512.914218217</v>
      </c>
      <c r="L70" s="58">
        <v>54447538.632220723</v>
      </c>
      <c r="M70" s="58">
        <v>53949186.415254347</v>
      </c>
      <c r="N70" s="58">
        <v>54314079.113897637</v>
      </c>
      <c r="O70" s="58">
        <v>54401034.755101092</v>
      </c>
      <c r="P70" s="58">
        <v>54902815.069567733</v>
      </c>
    </row>
    <row r="71" spans="1:16" x14ac:dyDescent="0.3">
      <c r="A71" s="11">
        <v>26068</v>
      </c>
      <c r="B71" s="11" t="s">
        <v>28</v>
      </c>
      <c r="C71" s="58">
        <v>12089432.109560898</v>
      </c>
      <c r="D71" s="58">
        <v>12178230.750476999</v>
      </c>
      <c r="E71" s="58">
        <v>12178080.6381007</v>
      </c>
      <c r="F71" s="58">
        <v>11885343.079579104</v>
      </c>
      <c r="G71" s="58">
        <v>11961280.400929701</v>
      </c>
      <c r="H71" s="58">
        <v>11938816.858011104</v>
      </c>
      <c r="I71" s="58">
        <v>12364571.398174454</v>
      </c>
      <c r="J71" s="58">
        <v>12085184.467035299</v>
      </c>
      <c r="K71" s="58">
        <v>12409312.344359007</v>
      </c>
      <c r="L71" s="58">
        <v>12545188.325154521</v>
      </c>
      <c r="M71" s="58">
        <v>12368769.8602993</v>
      </c>
      <c r="N71" s="58">
        <v>12415802.839082571</v>
      </c>
      <c r="O71" s="58">
        <v>12838022.59899831</v>
      </c>
      <c r="P71" s="58">
        <v>13505022.257590979</v>
      </c>
    </row>
    <row r="72" spans="1:16" x14ac:dyDescent="0.3">
      <c r="A72" s="11">
        <v>26069</v>
      </c>
      <c r="B72" s="11" t="s">
        <v>27</v>
      </c>
      <c r="C72" s="58">
        <v>0</v>
      </c>
      <c r="D72" s="58">
        <v>0</v>
      </c>
      <c r="E72" s="58">
        <v>0</v>
      </c>
      <c r="F72" s="58">
        <v>0</v>
      </c>
      <c r="G72" s="58">
        <v>0</v>
      </c>
      <c r="H72" s="58">
        <v>0</v>
      </c>
      <c r="I72" s="58">
        <v>0</v>
      </c>
      <c r="J72" s="58">
        <v>0</v>
      </c>
      <c r="K72" s="58">
        <v>0</v>
      </c>
      <c r="L72" s="58">
        <v>0</v>
      </c>
      <c r="M72" s="58">
        <v>0</v>
      </c>
      <c r="N72" s="58">
        <v>0</v>
      </c>
      <c r="O72" s="58">
        <v>0</v>
      </c>
      <c r="P72" s="58">
        <v>0</v>
      </c>
    </row>
    <row r="73" spans="1:16" x14ac:dyDescent="0.3">
      <c r="A73" s="11">
        <v>26070</v>
      </c>
      <c r="B73" s="11" t="s">
        <v>26</v>
      </c>
      <c r="C73" s="58">
        <v>17277486.088319801</v>
      </c>
      <c r="D73" s="58">
        <v>17246872.299291</v>
      </c>
      <c r="E73" s="58">
        <v>16921769.264905702</v>
      </c>
      <c r="F73" s="58">
        <v>17057480.975445196</v>
      </c>
      <c r="G73" s="58">
        <v>17035163.942580096</v>
      </c>
      <c r="H73" s="58">
        <v>17222616.917904001</v>
      </c>
      <c r="I73" s="58">
        <v>17256104.2150557</v>
      </c>
      <c r="J73" s="58">
        <v>17411010.205349699</v>
      </c>
      <c r="K73" s="58">
        <v>17382715.127960201</v>
      </c>
      <c r="L73" s="58">
        <v>17352185.9574784</v>
      </c>
      <c r="M73" s="58">
        <v>17644617.931517299</v>
      </c>
      <c r="N73" s="58">
        <v>17971207.8757452</v>
      </c>
      <c r="O73" s="58">
        <v>17519639.732371699</v>
      </c>
      <c r="P73" s="58">
        <v>18118584.5157919</v>
      </c>
    </row>
    <row r="74" spans="1:16" x14ac:dyDescent="0.3">
      <c r="A74" s="11">
        <v>26071</v>
      </c>
      <c r="B74" s="11" t="s">
        <v>25</v>
      </c>
      <c r="C74" s="58">
        <v>820376.66654769995</v>
      </c>
      <c r="D74" s="58">
        <v>820394.93779440003</v>
      </c>
      <c r="E74" s="58">
        <v>783289.56212200003</v>
      </c>
      <c r="F74" s="58">
        <v>800308.71460109996</v>
      </c>
      <c r="G74" s="58">
        <v>829843.49546480004</v>
      </c>
      <c r="H74" s="58">
        <v>779524.77253169997</v>
      </c>
      <c r="I74" s="58">
        <v>805334.66525520012</v>
      </c>
      <c r="J74" s="58">
        <v>856788.60944799997</v>
      </c>
      <c r="K74" s="58">
        <v>884248.49699509994</v>
      </c>
      <c r="L74" s="58">
        <v>868404.94293219992</v>
      </c>
      <c r="M74" s="58">
        <v>909070.3991097</v>
      </c>
      <c r="N74" s="58">
        <v>898483.60780350002</v>
      </c>
      <c r="O74" s="58">
        <v>916086.37815870007</v>
      </c>
      <c r="P74" s="58">
        <v>982865.66820379999</v>
      </c>
    </row>
    <row r="75" spans="1:16" x14ac:dyDescent="0.3">
      <c r="A75" s="11">
        <v>26072</v>
      </c>
      <c r="B75" s="11" t="s">
        <v>24</v>
      </c>
      <c r="C75" s="58">
        <v>35788664.687330596</v>
      </c>
      <c r="D75" s="58">
        <v>35769258.085636087</v>
      </c>
      <c r="E75" s="58">
        <v>33938023.450187802</v>
      </c>
      <c r="F75" s="58">
        <v>35535249.156365201</v>
      </c>
      <c r="G75" s="58">
        <v>34819051.579771191</v>
      </c>
      <c r="H75" s="58">
        <v>35688179.427206196</v>
      </c>
      <c r="I75" s="58">
        <v>36148645.057603016</v>
      </c>
      <c r="J75" s="58">
        <v>34941686.239904262</v>
      </c>
      <c r="K75" s="58">
        <v>36573467.128468886</v>
      </c>
      <c r="L75" s="58">
        <v>35130902.224263512</v>
      </c>
      <c r="M75" s="58">
        <v>37058344.775085397</v>
      </c>
      <c r="N75" s="58">
        <v>38792149.031017467</v>
      </c>
      <c r="O75" s="58">
        <v>36242331.998389468</v>
      </c>
      <c r="P75" s="58">
        <v>38779840.132987522</v>
      </c>
    </row>
    <row r="76" spans="1:16" x14ac:dyDescent="0.3">
      <c r="A76" s="11">
        <v>26073</v>
      </c>
      <c r="B76" s="11" t="s">
        <v>56</v>
      </c>
      <c r="C76" s="58">
        <v>48525042.734361097</v>
      </c>
      <c r="D76" s="58">
        <v>48633978.031972103</v>
      </c>
      <c r="E76" s="58">
        <v>60915983.68869181</v>
      </c>
      <c r="F76" s="58">
        <v>51484610.076672412</v>
      </c>
      <c r="G76" s="58">
        <v>59326156.130879708</v>
      </c>
      <c r="H76" s="58">
        <v>57108761.559196576</v>
      </c>
      <c r="I76" s="58">
        <v>61360129.751352087</v>
      </c>
      <c r="J76" s="58">
        <v>55660368.068668708</v>
      </c>
      <c r="K76" s="58">
        <v>58839119.163020514</v>
      </c>
      <c r="L76" s="58">
        <v>57443995.746567607</v>
      </c>
      <c r="M76" s="58">
        <v>61765286.424821541</v>
      </c>
      <c r="N76" s="58">
        <v>54088260.429506063</v>
      </c>
      <c r="O76" s="58">
        <v>60678737.114187777</v>
      </c>
      <c r="P76" s="58">
        <v>63744190.873157948</v>
      </c>
    </row>
    <row r="77" spans="1:16" x14ac:dyDescent="0.3">
      <c r="A77" s="11">
        <v>26074</v>
      </c>
      <c r="B77" s="11" t="s">
        <v>22</v>
      </c>
      <c r="C77" s="58">
        <v>33189809.371872</v>
      </c>
      <c r="D77" s="58">
        <v>33298697.070002805</v>
      </c>
      <c r="E77" s="58">
        <v>36258488.507677704</v>
      </c>
      <c r="F77" s="58">
        <v>36755817.048236504</v>
      </c>
      <c r="G77" s="58">
        <v>38631792.677264199</v>
      </c>
      <c r="H77" s="58">
        <v>38031296.303897589</v>
      </c>
      <c r="I77" s="58">
        <v>35531056.072095312</v>
      </c>
      <c r="J77" s="58">
        <v>38643254.601464406</v>
      </c>
      <c r="K77" s="58">
        <v>38449672.318892345</v>
      </c>
      <c r="L77" s="58">
        <v>39601019.95051834</v>
      </c>
      <c r="M77" s="58">
        <v>38013601.741192892</v>
      </c>
      <c r="N77" s="58">
        <v>40818347.238030821</v>
      </c>
      <c r="O77" s="58">
        <v>40834718.647733442</v>
      </c>
      <c r="P77" s="58">
        <v>40170508.968026429</v>
      </c>
    </row>
    <row r="78" spans="1:16" x14ac:dyDescent="0.3">
      <c r="A78" s="11">
        <v>26075</v>
      </c>
      <c r="B78" s="11" t="s">
        <v>21</v>
      </c>
      <c r="C78" s="58">
        <v>2572033.8540785001</v>
      </c>
      <c r="D78" s="58">
        <v>2572081.4535584999</v>
      </c>
      <c r="E78" s="58">
        <v>2575162.9685316002</v>
      </c>
      <c r="F78" s="58">
        <v>2580801.0867875</v>
      </c>
      <c r="G78" s="58">
        <v>1701799.5486629</v>
      </c>
      <c r="H78" s="58">
        <v>3136186.7528413334</v>
      </c>
      <c r="I78" s="58">
        <v>3167339.3061660435</v>
      </c>
      <c r="J78" s="58">
        <v>2807716.9129016711</v>
      </c>
      <c r="K78" s="58">
        <v>2856503.8786617052</v>
      </c>
      <c r="L78" s="58">
        <v>2999740.4323030729</v>
      </c>
      <c r="M78" s="58">
        <v>3047766.3999128798</v>
      </c>
      <c r="N78" s="58">
        <v>2516637.1664237552</v>
      </c>
      <c r="O78" s="58">
        <v>3165466.3296132139</v>
      </c>
      <c r="P78" s="58">
        <v>2943482.34207896</v>
      </c>
    </row>
    <row r="79" spans="1:16" x14ac:dyDescent="0.3">
      <c r="A79" s="11">
        <v>26076</v>
      </c>
      <c r="B79" s="11" t="s">
        <v>20</v>
      </c>
      <c r="C79" s="58">
        <v>845597.50116799993</v>
      </c>
      <c r="D79" s="58">
        <v>845597.50116799993</v>
      </c>
      <c r="E79" s="58">
        <v>403140.58651699999</v>
      </c>
      <c r="F79" s="58">
        <v>122717.87624800002</v>
      </c>
      <c r="G79" s="58">
        <v>305506.78065770003</v>
      </c>
      <c r="H79" s="58">
        <v>244432.15693046153</v>
      </c>
      <c r="I79" s="58">
        <v>306613.90493705904</v>
      </c>
      <c r="J79" s="58">
        <v>231004.35446695201</v>
      </c>
      <c r="K79" s="58">
        <v>229537.32937168403</v>
      </c>
      <c r="L79" s="58">
        <v>162465.711078472</v>
      </c>
      <c r="M79" s="58">
        <v>246672.02280135499</v>
      </c>
      <c r="N79" s="58">
        <v>144628.77997515301</v>
      </c>
      <c r="O79" s="58">
        <v>210174.970858908</v>
      </c>
      <c r="P79" s="58">
        <v>123699.650141789</v>
      </c>
    </row>
    <row r="80" spans="1:16" x14ac:dyDescent="0.3">
      <c r="A80" s="11">
        <v>26077</v>
      </c>
      <c r="B80" s="11" t="s">
        <v>19</v>
      </c>
      <c r="C80" s="58">
        <v>1977569.8879817</v>
      </c>
      <c r="D80" s="58">
        <v>1977569.8879817</v>
      </c>
      <c r="E80" s="58">
        <v>2650686.9588689995</v>
      </c>
      <c r="F80" s="58">
        <v>1911028.6990798998</v>
      </c>
      <c r="G80" s="58">
        <v>2129558.9475302994</v>
      </c>
      <c r="H80" s="58">
        <v>2030221.2147716114</v>
      </c>
      <c r="I80" s="58">
        <v>2176411.8247506777</v>
      </c>
      <c r="J80" s="58">
        <v>2038746.32943288</v>
      </c>
      <c r="K80" s="58">
        <v>1872551.10974758</v>
      </c>
      <c r="L80" s="58">
        <v>1788668.54981282</v>
      </c>
      <c r="M80" s="58">
        <v>1956491.5034984199</v>
      </c>
      <c r="N80" s="58">
        <v>1817220.61006943</v>
      </c>
      <c r="O80" s="58">
        <v>1900846.96431962</v>
      </c>
      <c r="P80" s="58">
        <v>2186329.0209737699</v>
      </c>
    </row>
    <row r="81" spans="1:16" x14ac:dyDescent="0.3">
      <c r="A81" s="11">
        <v>26078</v>
      </c>
      <c r="B81" s="11" t="s">
        <v>18</v>
      </c>
      <c r="C81" s="58">
        <v>9940032.1192608979</v>
      </c>
      <c r="D81" s="58">
        <v>9940032.119261099</v>
      </c>
      <c r="E81" s="58">
        <v>19028504.667096499</v>
      </c>
      <c r="F81" s="58">
        <v>10114245.3663205</v>
      </c>
      <c r="G81" s="58">
        <v>16557498.1767646</v>
      </c>
      <c r="H81" s="58">
        <v>13666625.130755577</v>
      </c>
      <c r="I81" s="58">
        <v>20178708.643402997</v>
      </c>
      <c r="J81" s="58">
        <v>11939645.8704028</v>
      </c>
      <c r="K81" s="58">
        <v>15430854.526347199</v>
      </c>
      <c r="L81" s="58">
        <v>12892101.1028549</v>
      </c>
      <c r="M81" s="58">
        <v>18500754.757415999</v>
      </c>
      <c r="N81" s="58">
        <v>8791426.635006899</v>
      </c>
      <c r="O81" s="58">
        <v>14567530.2016626</v>
      </c>
      <c r="P81" s="58">
        <v>18320170.891936999</v>
      </c>
    </row>
    <row r="82" spans="1:16" x14ac:dyDescent="0.3">
      <c r="A82" s="11">
        <v>26079</v>
      </c>
      <c r="B82" s="11" t="s">
        <v>17</v>
      </c>
      <c r="C82" s="58">
        <v>183371.33925562201</v>
      </c>
      <c r="D82" s="58">
        <v>183371.33925562201</v>
      </c>
      <c r="E82" s="58">
        <v>166748.538096403</v>
      </c>
      <c r="F82" s="58">
        <v>153359.03861960201</v>
      </c>
      <c r="G82" s="58">
        <v>142826.802808804</v>
      </c>
      <c r="H82" s="58">
        <v>130143.340933824</v>
      </c>
      <c r="I82" s="58">
        <v>121504.42674286</v>
      </c>
      <c r="J82" s="58">
        <v>108563.56476604601</v>
      </c>
      <c r="K82" s="58">
        <v>102260.25029099999</v>
      </c>
      <c r="L82" s="58">
        <v>94787.442292740001</v>
      </c>
      <c r="M82" s="58">
        <v>87477.088713913981</v>
      </c>
      <c r="N82" s="58">
        <v>81771.52618406</v>
      </c>
      <c r="O82" s="58">
        <v>74719.435741056004</v>
      </c>
      <c r="P82" s="58">
        <v>65981.353497600008</v>
      </c>
    </row>
    <row r="83" spans="1:16" x14ac:dyDescent="0.3">
      <c r="A83" s="11">
        <v>26080</v>
      </c>
      <c r="B83" s="11" t="s">
        <v>16</v>
      </c>
      <c r="C83" s="58">
        <v>0</v>
      </c>
      <c r="D83" s="58">
        <v>0</v>
      </c>
      <c r="E83" s="58">
        <v>0</v>
      </c>
      <c r="F83" s="58">
        <v>0</v>
      </c>
      <c r="G83" s="58">
        <v>0</v>
      </c>
      <c r="H83" s="58">
        <v>0</v>
      </c>
      <c r="I83" s="58">
        <v>0</v>
      </c>
      <c r="J83" s="58">
        <v>0</v>
      </c>
      <c r="K83" s="58">
        <v>0</v>
      </c>
      <c r="L83" s="58">
        <v>0</v>
      </c>
      <c r="M83" s="58">
        <v>0</v>
      </c>
      <c r="N83" s="58">
        <v>0</v>
      </c>
      <c r="O83" s="58">
        <v>0</v>
      </c>
      <c r="P83" s="58">
        <v>0</v>
      </c>
    </row>
    <row r="84" spans="1:16" x14ac:dyDescent="0.3">
      <c r="A84" s="11">
        <v>26081</v>
      </c>
      <c r="B84" s="11" t="s">
        <v>15</v>
      </c>
      <c r="C84" s="58">
        <v>183371.33925562201</v>
      </c>
      <c r="D84" s="58">
        <v>183371.33925562201</v>
      </c>
      <c r="E84" s="58">
        <v>166748.538096403</v>
      </c>
      <c r="F84" s="58">
        <v>153359.03861960201</v>
      </c>
      <c r="G84" s="58">
        <v>142826.802808804</v>
      </c>
      <c r="H84" s="58">
        <v>130143.340933824</v>
      </c>
      <c r="I84" s="58">
        <v>121504.42674286</v>
      </c>
      <c r="J84" s="58">
        <v>108563.56476604601</v>
      </c>
      <c r="K84" s="58">
        <v>102260.25029099999</v>
      </c>
      <c r="L84" s="58">
        <v>94787.442292740001</v>
      </c>
      <c r="M84" s="58">
        <v>87477.088713913981</v>
      </c>
      <c r="N84" s="58">
        <v>81771.52618406</v>
      </c>
      <c r="O84" s="58">
        <v>74719.435741056004</v>
      </c>
      <c r="P84" s="58">
        <v>65981.353497600008</v>
      </c>
    </row>
    <row r="85" spans="1:16" x14ac:dyDescent="0.3">
      <c r="A85" s="11">
        <v>26082</v>
      </c>
      <c r="B85" s="11" t="s">
        <v>14</v>
      </c>
      <c r="C85" s="58">
        <v>0</v>
      </c>
      <c r="D85" s="58">
        <v>0</v>
      </c>
      <c r="E85" s="58">
        <v>0</v>
      </c>
      <c r="F85" s="58">
        <v>0</v>
      </c>
      <c r="G85" s="58">
        <v>0</v>
      </c>
      <c r="H85" s="58">
        <v>0</v>
      </c>
      <c r="I85" s="58">
        <v>0</v>
      </c>
      <c r="J85" s="58">
        <v>0</v>
      </c>
      <c r="K85" s="58">
        <v>0</v>
      </c>
      <c r="L85" s="58">
        <v>0</v>
      </c>
      <c r="M85" s="58">
        <v>0</v>
      </c>
      <c r="N85" s="58">
        <v>0</v>
      </c>
      <c r="O85" s="58">
        <v>0</v>
      </c>
      <c r="P85" s="58">
        <v>0</v>
      </c>
    </row>
    <row r="86" spans="1:16" x14ac:dyDescent="0.3">
      <c r="A86" s="11">
        <v>26083</v>
      </c>
      <c r="B86" s="11" t="s">
        <v>10</v>
      </c>
      <c r="C86" s="58">
        <v>0</v>
      </c>
      <c r="D86" s="58">
        <v>0</v>
      </c>
      <c r="E86" s="58">
        <v>0</v>
      </c>
      <c r="F86" s="58">
        <v>0</v>
      </c>
      <c r="G86" s="58">
        <v>0</v>
      </c>
      <c r="H86" s="58">
        <v>0</v>
      </c>
      <c r="I86" s="58">
        <v>0</v>
      </c>
      <c r="J86" s="58">
        <v>0</v>
      </c>
      <c r="K86" s="58">
        <v>0</v>
      </c>
      <c r="L86" s="58">
        <v>0</v>
      </c>
      <c r="M86" s="58">
        <v>0</v>
      </c>
      <c r="N86" s="58">
        <v>0</v>
      </c>
      <c r="O86" s="58">
        <v>0</v>
      </c>
      <c r="P86" s="58">
        <v>0</v>
      </c>
    </row>
    <row r="87" spans="1:16" x14ac:dyDescent="0.3">
      <c r="A87" s="11">
        <v>26084</v>
      </c>
      <c r="B87" s="11" t="s">
        <v>13</v>
      </c>
      <c r="C87" s="58">
        <v>5661481.0653598011</v>
      </c>
      <c r="D87" s="58">
        <v>5661481.0653598011</v>
      </c>
      <c r="E87" s="58">
        <v>5664365.6933598006</v>
      </c>
      <c r="F87" s="58">
        <v>5674394.2786298003</v>
      </c>
      <c r="G87" s="58">
        <v>5687353.5838798005</v>
      </c>
      <c r="H87" s="58">
        <v>5699037.5532779833</v>
      </c>
      <c r="I87" s="58">
        <v>5950883.2821498001</v>
      </c>
      <c r="J87" s="58">
        <v>5850841.9221098004</v>
      </c>
      <c r="K87" s="58">
        <v>5963738.2700801091</v>
      </c>
      <c r="L87" s="58">
        <v>6109545.7493797</v>
      </c>
      <c r="M87" s="58">
        <v>5872592.1162894517</v>
      </c>
      <c r="N87" s="58">
        <v>6628542.6491475236</v>
      </c>
      <c r="O87" s="58">
        <v>6863301.0851893006</v>
      </c>
      <c r="P87" s="58">
        <v>6882313.3321093004</v>
      </c>
    </row>
    <row r="88" spans="1:16" x14ac:dyDescent="0.3">
      <c r="A88" s="11">
        <v>26085</v>
      </c>
      <c r="B88" s="11" t="s">
        <v>12</v>
      </c>
      <c r="C88" s="58">
        <v>31434004.204735037</v>
      </c>
      <c r="D88" s="58">
        <v>31434004.204735037</v>
      </c>
      <c r="E88" s="58">
        <v>22952326.898126576</v>
      </c>
      <c r="F88" s="58">
        <v>31790248.108501397</v>
      </c>
      <c r="G88" s="58">
        <v>28751053.664410442</v>
      </c>
      <c r="H88" s="58">
        <v>32888141.727221545</v>
      </c>
      <c r="I88" s="58">
        <v>33157883.432118025</v>
      </c>
      <c r="J88" s="58">
        <v>40327480.669406772</v>
      </c>
      <c r="K88" s="58">
        <v>33629814.073641025</v>
      </c>
      <c r="L88" s="58">
        <v>38800230.039013341</v>
      </c>
      <c r="M88" s="58">
        <v>37724853.07504148</v>
      </c>
      <c r="N88" s="58">
        <v>43327272.922535583</v>
      </c>
      <c r="O88" s="58">
        <v>42956287.716516577</v>
      </c>
      <c r="P88" s="58">
        <v>37973625.673227668</v>
      </c>
    </row>
    <row r="89" spans="1:16" x14ac:dyDescent="0.3">
      <c r="A89" s="11">
        <v>26086</v>
      </c>
      <c r="B89" s="11" t="s">
        <v>11</v>
      </c>
      <c r="C89" s="58">
        <v>4049979.2914750362</v>
      </c>
      <c r="D89" s="58">
        <v>4049979.2914750362</v>
      </c>
      <c r="E89" s="58">
        <v>9404391.5546065774</v>
      </c>
      <c r="F89" s="58">
        <v>5014193.7757513924</v>
      </c>
      <c r="G89" s="58">
        <v>3978372.1620704411</v>
      </c>
      <c r="H89" s="58">
        <v>9542090.9143115487</v>
      </c>
      <c r="I89" s="58" t="e">
        <f>SUM(#REF!)</f>
        <v>#REF!</v>
      </c>
      <c r="J89" s="58">
        <v>10439516.90063677</v>
      </c>
      <c r="K89" s="58">
        <v>12429651.439381026</v>
      </c>
      <c r="L89" s="58">
        <v>12377392.70212334</v>
      </c>
      <c r="M89" s="58">
        <v>15239397.977691481</v>
      </c>
      <c r="N89" s="58">
        <v>5192782.9133355776</v>
      </c>
      <c r="O89" s="58">
        <v>7971118.0719565842</v>
      </c>
      <c r="P89" s="58">
        <v>3945028.113317668</v>
      </c>
    </row>
    <row r="90" spans="1:16" x14ac:dyDescent="0.3">
      <c r="A90" s="11">
        <v>26087</v>
      </c>
      <c r="B90" s="11" t="s">
        <v>10</v>
      </c>
      <c r="C90" s="58">
        <v>20777672.530950002</v>
      </c>
      <c r="D90" s="58">
        <v>20777672.530950002</v>
      </c>
      <c r="E90" s="58">
        <v>6765261.6444800003</v>
      </c>
      <c r="F90" s="58">
        <v>21209375.350640003</v>
      </c>
      <c r="G90" s="58">
        <v>10288006.557729999</v>
      </c>
      <c r="H90" s="58">
        <v>12816170.895009998</v>
      </c>
      <c r="I90" s="58" t="e">
        <f>SUM(#REF!)</f>
        <v>#REF!</v>
      </c>
      <c r="J90" s="58">
        <v>19116483.439920001</v>
      </c>
      <c r="K90" s="58">
        <v>14329012.420499999</v>
      </c>
      <c r="L90" s="58">
        <v>16836197.399569999</v>
      </c>
      <c r="M90" s="58">
        <v>9812712.6109699998</v>
      </c>
      <c r="N90" s="58">
        <v>23440363.30204</v>
      </c>
      <c r="O90" s="58">
        <v>15576765.72569</v>
      </c>
      <c r="P90" s="58">
        <v>19352707.64951</v>
      </c>
    </row>
    <row r="91" spans="1:16" x14ac:dyDescent="0.3">
      <c r="A91" s="11">
        <v>26088</v>
      </c>
      <c r="B91" s="11" t="s">
        <v>9</v>
      </c>
      <c r="C91" s="58">
        <v>6606352.3823099993</v>
      </c>
      <c r="D91" s="58">
        <v>6606352.3823099993</v>
      </c>
      <c r="E91" s="58">
        <v>6782673.6990400003</v>
      </c>
      <c r="F91" s="58">
        <v>5566678.9821099993</v>
      </c>
      <c r="G91" s="58">
        <v>14484674.944610002</v>
      </c>
      <c r="H91" s="58">
        <v>10529879.9179</v>
      </c>
      <c r="I91" s="58" t="e">
        <f>SUM(#REF!)</f>
        <v>#REF!</v>
      </c>
      <c r="J91" s="58">
        <v>10771480.328850001</v>
      </c>
      <c r="K91" s="58">
        <v>6871150.2137600007</v>
      </c>
      <c r="L91" s="58">
        <v>9586639.9373199996</v>
      </c>
      <c r="M91" s="58">
        <v>12672742.48638</v>
      </c>
      <c r="N91" s="58">
        <v>14694126.70716</v>
      </c>
      <c r="O91" s="58">
        <v>19408403.918869998</v>
      </c>
      <c r="P91" s="58">
        <v>14675889.910399999</v>
      </c>
    </row>
    <row r="92" spans="1:16" x14ac:dyDescent="0.3">
      <c r="A92" s="11">
        <v>26089</v>
      </c>
      <c r="B92" s="11" t="s">
        <v>8</v>
      </c>
      <c r="C92" s="58">
        <v>0</v>
      </c>
      <c r="D92" s="58">
        <v>0</v>
      </c>
      <c r="E92" s="58">
        <v>0</v>
      </c>
      <c r="F92" s="58">
        <v>0</v>
      </c>
      <c r="G92" s="58">
        <v>0</v>
      </c>
      <c r="H92" s="58">
        <v>0</v>
      </c>
      <c r="I92" s="58">
        <v>0</v>
      </c>
      <c r="J92" s="58">
        <v>0</v>
      </c>
      <c r="K92" s="58">
        <v>0</v>
      </c>
      <c r="L92" s="58">
        <v>0</v>
      </c>
      <c r="M92" s="58">
        <v>0</v>
      </c>
      <c r="N92" s="58">
        <v>0</v>
      </c>
      <c r="O92" s="58">
        <v>0</v>
      </c>
      <c r="P92" s="58">
        <v>0</v>
      </c>
    </row>
    <row r="93" spans="1:16" x14ac:dyDescent="0.3">
      <c r="A93" s="11">
        <v>26090</v>
      </c>
      <c r="B93" s="11" t="s">
        <v>7</v>
      </c>
      <c r="C93" s="58">
        <f>11419854.1390299+C97</f>
        <v>15727366.528699901</v>
      </c>
      <c r="D93" s="58">
        <v>8649994.5588898659</v>
      </c>
      <c r="E93" s="58">
        <f>6697176.57862865+E97</f>
        <v>8856949.3190486506</v>
      </c>
      <c r="F93" s="58">
        <f>6983427.94616091+F97</f>
        <v>13715919.560560908</v>
      </c>
      <c r="G93" s="58">
        <f>6673936.55549412+G97</f>
        <v>8751773.0007241201</v>
      </c>
      <c r="H93" s="58">
        <v>8220219.9780990491</v>
      </c>
      <c r="I93" s="58">
        <v>8019104.9325337429</v>
      </c>
      <c r="J93" s="58">
        <v>8387261.5863713948</v>
      </c>
      <c r="K93" s="58">
        <v>7797787.8645772971</v>
      </c>
      <c r="L93" s="58">
        <v>7853347.7190961679</v>
      </c>
      <c r="M93" s="58">
        <v>8601197.9052917659</v>
      </c>
      <c r="N93" s="58">
        <v>8264566.8245799998</v>
      </c>
      <c r="O93" s="58">
        <v>8519578.1931370813</v>
      </c>
      <c r="P93" s="58">
        <v>8502400.3145962432</v>
      </c>
    </row>
    <row r="94" spans="1:16" x14ac:dyDescent="0.3">
      <c r="A94" s="11">
        <v>26091</v>
      </c>
      <c r="B94" s="11" t="s">
        <v>6</v>
      </c>
      <c r="C94" s="58">
        <v>142289.64066999999</v>
      </c>
      <c r="D94" s="58">
        <v>0</v>
      </c>
      <c r="E94" s="58">
        <v>0</v>
      </c>
      <c r="F94" s="58">
        <v>0</v>
      </c>
      <c r="G94" s="58">
        <v>0</v>
      </c>
      <c r="H94" s="58">
        <v>0</v>
      </c>
      <c r="I94" s="58">
        <v>0</v>
      </c>
      <c r="J94" s="58">
        <v>0</v>
      </c>
      <c r="K94" s="58">
        <v>0</v>
      </c>
      <c r="L94" s="58">
        <v>0</v>
      </c>
      <c r="M94" s="58">
        <v>0</v>
      </c>
      <c r="N94" s="58">
        <v>0</v>
      </c>
      <c r="O94" s="58">
        <v>0</v>
      </c>
      <c r="P94" s="58">
        <v>0</v>
      </c>
    </row>
    <row r="95" spans="1:16" x14ac:dyDescent="0.3">
      <c r="A95" s="11">
        <v>26092</v>
      </c>
      <c r="B95" s="11" t="s">
        <v>5</v>
      </c>
      <c r="C95" s="58">
        <v>313440.12917999999</v>
      </c>
      <c r="D95" s="58">
        <v>90620.897939999995</v>
      </c>
      <c r="E95" s="58">
        <v>125419.56877</v>
      </c>
      <c r="F95" s="58">
        <v>111414.00526000002</v>
      </c>
      <c r="G95" s="58">
        <v>141144.16074999998</v>
      </c>
      <c r="H95" s="58">
        <v>216454.02473999999</v>
      </c>
      <c r="I95" s="58">
        <v>205875.76491999999</v>
      </c>
      <c r="J95" s="58">
        <v>170653.41738</v>
      </c>
      <c r="K95" s="58">
        <v>152518.46327000001</v>
      </c>
      <c r="L95" s="58">
        <v>143677.37471999999</v>
      </c>
      <c r="M95" s="58">
        <v>138384.61413</v>
      </c>
      <c r="N95" s="58">
        <v>147086.29589000001</v>
      </c>
      <c r="O95" s="58">
        <v>208901.81010999999</v>
      </c>
      <c r="P95" s="58">
        <v>208901.81010999999</v>
      </c>
    </row>
    <row r="96" spans="1:16" x14ac:dyDescent="0.3">
      <c r="A96" s="11">
        <v>26093</v>
      </c>
      <c r="B96" s="11" t="s">
        <v>4</v>
      </c>
      <c r="C96" s="58">
        <v>2655716.0249800002</v>
      </c>
      <c r="D96" s="58">
        <v>355091.53007000004</v>
      </c>
      <c r="E96" s="58">
        <v>383564.00907000003</v>
      </c>
      <c r="F96" s="58">
        <v>412077.43807000003</v>
      </c>
      <c r="G96" s="58">
        <v>440521.65178000001</v>
      </c>
      <c r="H96" s="58">
        <v>178529.69892999998</v>
      </c>
      <c r="I96" s="58">
        <v>193995.29618999999</v>
      </c>
      <c r="J96" s="58">
        <v>198235.24016999998</v>
      </c>
      <c r="K96" s="58">
        <v>225457.61684</v>
      </c>
      <c r="L96" s="58">
        <v>253817.5668</v>
      </c>
      <c r="M96" s="58">
        <v>286856.83847000002</v>
      </c>
      <c r="N96" s="58">
        <v>321996.36713999999</v>
      </c>
      <c r="O96" s="58">
        <v>362195.03513999999</v>
      </c>
      <c r="P96" s="58">
        <v>362195.03513999999</v>
      </c>
    </row>
    <row r="97" spans="1:16" x14ac:dyDescent="0.3">
      <c r="A97" s="11">
        <v>26094</v>
      </c>
      <c r="B97" s="11" t="s">
        <v>3</v>
      </c>
      <c r="C97" s="58">
        <v>4307512.3896700004</v>
      </c>
      <c r="D97" s="58">
        <v>0</v>
      </c>
      <c r="E97" s="58">
        <v>2159772.7404200002</v>
      </c>
      <c r="F97" s="58">
        <v>6732491.6143999994</v>
      </c>
      <c r="G97" s="58">
        <v>2077836.44523</v>
      </c>
      <c r="H97" s="58">
        <v>1504705.9999699998</v>
      </c>
      <c r="I97" s="58">
        <v>1436802.8738899999</v>
      </c>
      <c r="J97" s="58">
        <v>1527981.1173699999</v>
      </c>
      <c r="K97" s="58">
        <v>1312347.1956699998</v>
      </c>
      <c r="L97" s="58">
        <v>1130156.5983800001</v>
      </c>
      <c r="M97" s="58">
        <v>1629130.1269700001</v>
      </c>
      <c r="N97" s="58">
        <v>1320243.2445799999</v>
      </c>
      <c r="O97" s="58">
        <v>1232992.8335899999</v>
      </c>
      <c r="P97" s="58">
        <v>1232992.8335899999</v>
      </c>
    </row>
    <row r="98" spans="1:16" x14ac:dyDescent="0.3">
      <c r="A98" s="11">
        <v>26095</v>
      </c>
      <c r="B98" s="11" t="s">
        <v>2</v>
      </c>
      <c r="C98" s="58">
        <v>5793297.0294700004</v>
      </c>
      <c r="D98" s="58">
        <v>3634063.9612000003</v>
      </c>
      <c r="E98" s="58">
        <v>4161520.1787500004</v>
      </c>
      <c r="F98" s="58">
        <v>4405818.1382500008</v>
      </c>
      <c r="G98" s="58">
        <v>4094391.8553900002</v>
      </c>
      <c r="H98" s="58">
        <v>4300512.9273499995</v>
      </c>
      <c r="I98" s="58">
        <v>4153783.2599199996</v>
      </c>
      <c r="J98" s="58">
        <v>4436020.8635299997</v>
      </c>
      <c r="K98" s="58">
        <v>4040435.0336900004</v>
      </c>
      <c r="L98" s="58">
        <v>4315645.3214699998</v>
      </c>
      <c r="M98" s="58">
        <v>4507055.9402299998</v>
      </c>
      <c r="N98" s="58">
        <v>4438617.0552699994</v>
      </c>
      <c r="O98" s="58">
        <v>4668111.0332200006</v>
      </c>
      <c r="P98" s="58">
        <v>4668111.0332200006</v>
      </c>
    </row>
    <row r="99" spans="1:16" x14ac:dyDescent="0.3">
      <c r="A99" s="11">
        <v>26096</v>
      </c>
      <c r="B99" s="11" t="s">
        <v>1</v>
      </c>
      <c r="C99" s="58">
        <v>863314.95003986498</v>
      </c>
      <c r="D99" s="58">
        <v>1172785.7627000003</v>
      </c>
      <c r="E99" s="58">
        <v>1167462.4442500006</v>
      </c>
      <c r="F99" s="58">
        <v>1165040.0038700013</v>
      </c>
      <c r="G99" s="58">
        <v>1163812.1303900005</v>
      </c>
      <c r="H99" s="58">
        <v>1158468.9378299997</v>
      </c>
      <c r="I99" s="58">
        <v>1184003.1468399996</v>
      </c>
      <c r="J99" s="58">
        <v>1214227.0131400002</v>
      </c>
      <c r="K99" s="58">
        <v>1209726.5922600003</v>
      </c>
      <c r="L99" s="58">
        <v>1214645.927059999</v>
      </c>
      <c r="M99" s="58">
        <v>1214363.926609999</v>
      </c>
      <c r="N99" s="58">
        <v>1212107.8187000011</v>
      </c>
      <c r="O99" s="58">
        <v>1207078.44557</v>
      </c>
      <c r="P99" s="58">
        <v>1207078.44557</v>
      </c>
    </row>
    <row r="100" spans="1:16" x14ac:dyDescent="0.3">
      <c r="A100" s="11">
        <v>26097</v>
      </c>
      <c r="B100" s="11" t="s">
        <v>0</v>
      </c>
      <c r="C100" s="58">
        <v>14075.570164009865</v>
      </c>
      <c r="D100" s="58">
        <v>847853.54299999995</v>
      </c>
      <c r="E100" s="58">
        <v>859210.37778864731</v>
      </c>
      <c r="F100" s="58">
        <v>889078.36071090831</v>
      </c>
      <c r="G100" s="58">
        <v>834066.75718411512</v>
      </c>
      <c r="H100" s="58">
        <v>861548.38927905075</v>
      </c>
      <c r="I100" s="58">
        <v>844644.59077374486</v>
      </c>
      <c r="J100" s="58">
        <v>840143.93478139455</v>
      </c>
      <c r="K100" s="58">
        <v>857302.96284729696</v>
      </c>
      <c r="L100" s="58">
        <v>795404.9306661695</v>
      </c>
      <c r="M100" s="58">
        <v>825406.45888176712</v>
      </c>
      <c r="N100" s="58">
        <v>824516.04299999995</v>
      </c>
      <c r="O100" s="58">
        <v>840299.03550708119</v>
      </c>
      <c r="P100" s="58">
        <v>823121.15696624387</v>
      </c>
    </row>
  </sheetData>
  <autoFilter ref="A2:H100" xr:uid="{00000000-0009-0000-0000-000011000000}"/>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48"/>
  <sheetViews>
    <sheetView workbookViewId="0">
      <pane xSplit="2" ySplit="2" topLeftCell="M30" activePane="bottomRight" state="frozen"/>
      <selection activeCell="L39" sqref="L39"/>
      <selection pane="topRight" activeCell="L39" sqref="L39"/>
      <selection pane="bottomLeft" activeCell="L39" sqref="L39"/>
      <selection pane="bottomRight" activeCell="R39" sqref="R39"/>
    </sheetView>
  </sheetViews>
  <sheetFormatPr baseColWidth="10" defaultColWidth="9.44140625" defaultRowHeight="14.4" x14ac:dyDescent="0.3"/>
  <cols>
    <col min="1" max="1" width="9.44140625" bestFit="1" customWidth="1"/>
    <col min="2" max="2" width="30.5546875" bestFit="1" customWidth="1"/>
    <col min="3" max="11" width="13.5546875" style="1" customWidth="1"/>
    <col min="12" max="12" width="13.5546875" customWidth="1"/>
    <col min="13" max="16" width="10.21875" bestFit="1" customWidth="1"/>
  </cols>
  <sheetData>
    <row r="1" spans="1:16" x14ac:dyDescent="0.3">
      <c r="A1" s="11"/>
      <c r="B1" s="11"/>
      <c r="C1" s="12" t="s">
        <v>2013</v>
      </c>
      <c r="D1" s="12" t="s">
        <v>92</v>
      </c>
      <c r="E1" s="12" t="s">
        <v>92</v>
      </c>
      <c r="F1" s="12" t="s">
        <v>92</v>
      </c>
      <c r="G1" s="12" t="s">
        <v>92</v>
      </c>
      <c r="H1" s="12" t="s">
        <v>92</v>
      </c>
      <c r="I1" s="12" t="s">
        <v>92</v>
      </c>
      <c r="J1" s="12" t="s">
        <v>92</v>
      </c>
      <c r="K1" s="12" t="s">
        <v>2899</v>
      </c>
      <c r="L1" s="12" t="s">
        <v>2899</v>
      </c>
      <c r="M1" s="12" t="s">
        <v>2899</v>
      </c>
      <c r="N1" s="12" t="s">
        <v>2899</v>
      </c>
      <c r="O1" s="12" t="s">
        <v>2899</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t="s">
        <v>1832</v>
      </c>
      <c r="B3" s="11" t="s">
        <v>1831</v>
      </c>
      <c r="C3" s="23">
        <v>4675.4362500000007</v>
      </c>
      <c r="D3" s="23">
        <v>4675.4362500000007</v>
      </c>
      <c r="E3" s="23">
        <v>2665.17</v>
      </c>
      <c r="F3" s="23">
        <v>3080.1349923999996</v>
      </c>
      <c r="G3" s="23">
        <v>3077.8027643915002</v>
      </c>
      <c r="H3" s="23">
        <v>1987.2175176000001</v>
      </c>
      <c r="I3" s="23">
        <v>3009.4128000000001</v>
      </c>
      <c r="J3" s="23">
        <v>1716.6333999999999</v>
      </c>
      <c r="K3" s="23">
        <v>3004.3009395530003</v>
      </c>
      <c r="L3" s="23">
        <v>1660.0686357143049</v>
      </c>
      <c r="M3" s="23">
        <v>2235.2105711665499</v>
      </c>
      <c r="N3" s="23">
        <v>4519.4137880475337</v>
      </c>
      <c r="O3" s="23">
        <v>3156.1809538515922</v>
      </c>
      <c r="P3" s="23">
        <v>2777.1807017096489</v>
      </c>
    </row>
    <row r="4" spans="1:16" x14ac:dyDescent="0.3">
      <c r="A4" s="11" t="s">
        <v>1830</v>
      </c>
      <c r="B4" s="11" t="s">
        <v>1819</v>
      </c>
      <c r="C4" s="23">
        <v>2854.5384600000002</v>
      </c>
      <c r="D4" s="23">
        <v>2854.5384600000002</v>
      </c>
      <c r="E4" s="23">
        <v>722.37</v>
      </c>
      <c r="F4" s="23">
        <v>2680.4739599999998</v>
      </c>
      <c r="G4" s="23">
        <v>2304.1076657790932</v>
      </c>
      <c r="H4" s="23">
        <v>1744.5243849999999</v>
      </c>
      <c r="I4" s="23">
        <v>2802.9847</v>
      </c>
      <c r="J4" s="23">
        <v>1366.7243000000001</v>
      </c>
      <c r="K4" s="23">
        <v>2795.2950178860001</v>
      </c>
      <c r="L4" s="23">
        <v>1069.91147027648</v>
      </c>
      <c r="M4" s="23">
        <v>1151.3694042573429</v>
      </c>
      <c r="N4" s="23">
        <v>4371.7144686759366</v>
      </c>
      <c r="O4" s="23">
        <v>2998.0193292923109</v>
      </c>
      <c r="P4" s="23">
        <v>2636.77550349181</v>
      </c>
    </row>
    <row r="5" spans="1:16" x14ac:dyDescent="0.3">
      <c r="A5" s="11" t="s">
        <v>1829</v>
      </c>
      <c r="B5" s="11" t="s">
        <v>1817</v>
      </c>
      <c r="C5" s="23">
        <v>1820.89779</v>
      </c>
      <c r="D5" s="23">
        <v>1820.89779</v>
      </c>
      <c r="E5" s="23">
        <v>1942.8</v>
      </c>
      <c r="F5" s="23">
        <v>399.66103240000001</v>
      </c>
      <c r="G5" s="23">
        <v>773.69509861240692</v>
      </c>
      <c r="H5" s="23">
        <v>242.69313260000001</v>
      </c>
      <c r="I5" s="23">
        <v>206.428</v>
      </c>
      <c r="J5" s="23">
        <v>349.90910000000002</v>
      </c>
      <c r="K5" s="23">
        <v>209.005921667</v>
      </c>
      <c r="L5" s="23">
        <v>590.15716543782503</v>
      </c>
      <c r="M5" s="23">
        <v>1083.8411669092079</v>
      </c>
      <c r="N5" s="23">
        <v>147.6993193715966</v>
      </c>
      <c r="O5" s="23">
        <v>158.1616245592808</v>
      </c>
      <c r="P5" s="23">
        <v>140.405198217839</v>
      </c>
    </row>
    <row r="6" spans="1:16" x14ac:dyDescent="0.3">
      <c r="A6" s="11" t="s">
        <v>1828</v>
      </c>
      <c r="B6" s="11" t="s">
        <v>1815</v>
      </c>
      <c r="C6" s="23">
        <v>-0.59</v>
      </c>
      <c r="D6" s="23">
        <v>-0.59</v>
      </c>
      <c r="E6" s="23">
        <v>0.2</v>
      </c>
      <c r="F6" s="23">
        <v>0.76885999999999999</v>
      </c>
      <c r="G6" s="23">
        <v>1.0857099850274099</v>
      </c>
      <c r="H6" s="23">
        <v>1.44</v>
      </c>
      <c r="I6" s="23">
        <v>1.49</v>
      </c>
      <c r="J6" s="23">
        <v>1.77</v>
      </c>
      <c r="K6" s="23">
        <v>1.41</v>
      </c>
      <c r="L6" s="23">
        <v>2.16395659950286</v>
      </c>
      <c r="M6" s="23">
        <v>2.196724701899897</v>
      </c>
      <c r="N6" s="23">
        <v>1.1998932046575981</v>
      </c>
      <c r="O6" s="23">
        <v>1.0870224778961211</v>
      </c>
      <c r="P6" s="23">
        <v>0.61769759387345902</v>
      </c>
    </row>
    <row r="7" spans="1:16" x14ac:dyDescent="0.3">
      <c r="A7" s="11" t="s">
        <v>1827</v>
      </c>
      <c r="B7" s="11" t="s">
        <v>1826</v>
      </c>
      <c r="C7" s="23">
        <v>37654.093349999996</v>
      </c>
      <c r="D7" s="23">
        <v>37654.093349999996</v>
      </c>
      <c r="E7" s="23">
        <v>37330.58</v>
      </c>
      <c r="F7" s="23">
        <v>40739.529060000001</v>
      </c>
      <c r="G7" s="23">
        <v>43086.095704644118</v>
      </c>
      <c r="H7" s="23">
        <v>46193.972730000001</v>
      </c>
      <c r="I7" s="23">
        <v>47578.696499999998</v>
      </c>
      <c r="J7" s="23">
        <v>47464.775600000001</v>
      </c>
      <c r="K7" s="23">
        <v>45544.663329251998</v>
      </c>
      <c r="L7" s="23">
        <v>48382.063926731797</v>
      </c>
      <c r="M7" s="23">
        <v>52224.930227883327</v>
      </c>
      <c r="N7" s="23">
        <v>52077.201388233167</v>
      </c>
      <c r="O7" s="23">
        <v>54887.439183766888</v>
      </c>
      <c r="P7" s="23">
        <v>53253.910703208203</v>
      </c>
    </row>
    <row r="8" spans="1:16" x14ac:dyDescent="0.3">
      <c r="A8" s="11" t="s">
        <v>1825</v>
      </c>
      <c r="B8" s="11" t="s">
        <v>1819</v>
      </c>
      <c r="C8" s="23">
        <v>23331.99713</v>
      </c>
      <c r="D8" s="23">
        <v>23331.99713</v>
      </c>
      <c r="E8" s="23">
        <v>18490.05</v>
      </c>
      <c r="F8" s="23">
        <v>25157.30503</v>
      </c>
      <c r="G8" s="23">
        <v>23257.534850497159</v>
      </c>
      <c r="H8" s="23">
        <v>27833.86636</v>
      </c>
      <c r="I8" s="23">
        <v>27082.974699999999</v>
      </c>
      <c r="J8" s="23">
        <v>35616.181799999998</v>
      </c>
      <c r="K8" s="23">
        <v>27453.760820951</v>
      </c>
      <c r="L8" s="23">
        <v>34267.083074708898</v>
      </c>
      <c r="M8" s="23">
        <v>33138.85126121041</v>
      </c>
      <c r="N8" s="23">
        <v>35526.258451344351</v>
      </c>
      <c r="O8" s="23">
        <v>36531.567823661579</v>
      </c>
      <c r="P8" s="23">
        <v>31893.109589671702</v>
      </c>
    </row>
    <row r="9" spans="1:16" x14ac:dyDescent="0.3">
      <c r="A9" s="11" t="s">
        <v>1824</v>
      </c>
      <c r="B9" s="11" t="s">
        <v>1817</v>
      </c>
      <c r="C9" s="23">
        <v>14322.096219999999</v>
      </c>
      <c r="D9" s="23">
        <v>14322.096219999999</v>
      </c>
      <c r="E9" s="23">
        <v>18840.53</v>
      </c>
      <c r="F9" s="23">
        <v>15582.224029999999</v>
      </c>
      <c r="G9" s="23">
        <v>19828.56085414697</v>
      </c>
      <c r="H9" s="23">
        <v>18360.106370000001</v>
      </c>
      <c r="I9" s="23">
        <v>20495.721799999999</v>
      </c>
      <c r="J9" s="23">
        <v>11848.593699999999</v>
      </c>
      <c r="K9" s="23">
        <v>18090.902508300998</v>
      </c>
      <c r="L9" s="23">
        <v>14114.9808520229</v>
      </c>
      <c r="M9" s="23">
        <v>19086.078966672922</v>
      </c>
      <c r="N9" s="23">
        <v>16550.94293688882</v>
      </c>
      <c r="O9" s="23">
        <v>18355.87136010531</v>
      </c>
      <c r="P9" s="23">
        <v>21360.801113536501</v>
      </c>
    </row>
    <row r="10" spans="1:16" x14ac:dyDescent="0.3">
      <c r="A10" s="11" t="s">
        <v>1823</v>
      </c>
      <c r="B10" s="11" t="s">
        <v>1815</v>
      </c>
      <c r="C10" s="23">
        <v>4.79</v>
      </c>
      <c r="D10" s="23">
        <v>4.79</v>
      </c>
      <c r="E10" s="23">
        <v>89.63</v>
      </c>
      <c r="F10" s="23">
        <v>183.4288</v>
      </c>
      <c r="G10" s="23">
        <v>267.13503912366309</v>
      </c>
      <c r="H10" s="23">
        <v>299.63977568430499</v>
      </c>
      <c r="I10" s="23">
        <v>302.45</v>
      </c>
      <c r="J10" s="23">
        <v>246.95</v>
      </c>
      <c r="K10" s="23">
        <v>240.83</v>
      </c>
      <c r="L10" s="23">
        <v>309.21485233486499</v>
      </c>
      <c r="M10" s="23">
        <v>378.70547783914441</v>
      </c>
      <c r="N10" s="23">
        <v>401.97006097093129</v>
      </c>
      <c r="O10" s="23">
        <v>291.79184083400878</v>
      </c>
      <c r="P10" s="23">
        <v>214.29502148116401</v>
      </c>
    </row>
    <row r="11" spans="1:16" x14ac:dyDescent="0.3">
      <c r="A11" s="11" t="s">
        <v>1822</v>
      </c>
      <c r="B11" s="11" t="s">
        <v>1821</v>
      </c>
      <c r="C11" s="23">
        <v>1599.5666000000001</v>
      </c>
      <c r="D11" s="23">
        <v>1599.5666000000001</v>
      </c>
      <c r="E11" s="23">
        <v>610.14</v>
      </c>
      <c r="F11" s="23">
        <v>614.4048219</v>
      </c>
      <c r="G11" s="23">
        <v>0</v>
      </c>
      <c r="H11" s="23">
        <v>0</v>
      </c>
      <c r="I11" s="23">
        <v>0</v>
      </c>
      <c r="J11" s="23">
        <v>0</v>
      </c>
      <c r="K11" s="23">
        <v>0</v>
      </c>
      <c r="L11" s="23">
        <v>0</v>
      </c>
      <c r="M11" s="23">
        <v>0</v>
      </c>
      <c r="N11" s="23">
        <v>0</v>
      </c>
      <c r="O11" s="23">
        <v>0</v>
      </c>
      <c r="P11" s="23">
        <v>0</v>
      </c>
    </row>
    <row r="12" spans="1:16" x14ac:dyDescent="0.3">
      <c r="A12" s="11" t="s">
        <v>1820</v>
      </c>
      <c r="B12" s="11" t="s">
        <v>1819</v>
      </c>
      <c r="C12" s="23">
        <v>1599.5666000000001</v>
      </c>
      <c r="D12" s="23">
        <v>1599.5666000000001</v>
      </c>
      <c r="E12" s="23">
        <v>295.36</v>
      </c>
      <c r="F12" s="23">
        <v>614.4048219</v>
      </c>
      <c r="G12" s="23">
        <v>0</v>
      </c>
      <c r="H12" s="23">
        <v>0</v>
      </c>
      <c r="I12" s="23">
        <v>0</v>
      </c>
      <c r="J12" s="23">
        <v>0</v>
      </c>
      <c r="K12" s="23">
        <v>0</v>
      </c>
      <c r="L12" s="23">
        <v>0</v>
      </c>
      <c r="M12" s="23">
        <v>0</v>
      </c>
      <c r="N12" s="23">
        <v>0</v>
      </c>
      <c r="O12" s="23">
        <v>0</v>
      </c>
      <c r="P12" s="23">
        <v>0</v>
      </c>
    </row>
    <row r="13" spans="1:16" x14ac:dyDescent="0.3">
      <c r="A13" s="11" t="s">
        <v>1818</v>
      </c>
      <c r="B13" s="11" t="s">
        <v>1817</v>
      </c>
      <c r="C13" s="23">
        <v>0</v>
      </c>
      <c r="D13" s="23">
        <v>0</v>
      </c>
      <c r="E13" s="23">
        <v>314.77999999999997</v>
      </c>
      <c r="F13" s="23">
        <v>0</v>
      </c>
      <c r="G13" s="23">
        <v>0</v>
      </c>
      <c r="H13" s="23">
        <v>0</v>
      </c>
      <c r="I13" s="23">
        <v>0</v>
      </c>
      <c r="J13" s="23">
        <v>0</v>
      </c>
      <c r="K13" s="23">
        <v>0</v>
      </c>
      <c r="L13" s="23">
        <v>0</v>
      </c>
      <c r="M13" s="23">
        <v>0</v>
      </c>
      <c r="N13" s="23">
        <v>0</v>
      </c>
      <c r="O13" s="23">
        <v>0</v>
      </c>
      <c r="P13" s="23">
        <v>0</v>
      </c>
    </row>
    <row r="14" spans="1:16" x14ac:dyDescent="0.3">
      <c r="A14" s="11" t="s">
        <v>1816</v>
      </c>
      <c r="B14" s="11" t="s">
        <v>1815</v>
      </c>
      <c r="C14" s="23">
        <v>-1.47</v>
      </c>
      <c r="D14" s="23">
        <v>-1.47</v>
      </c>
      <c r="E14" s="23">
        <v>-0.44</v>
      </c>
      <c r="F14" s="23">
        <v>-0.18876999999999999</v>
      </c>
      <c r="G14" s="23">
        <v>0</v>
      </c>
      <c r="H14" s="23">
        <v>0</v>
      </c>
      <c r="I14" s="23">
        <v>0</v>
      </c>
      <c r="J14" s="23">
        <v>0</v>
      </c>
      <c r="K14" s="23">
        <v>0</v>
      </c>
      <c r="L14" s="23">
        <v>0</v>
      </c>
      <c r="M14" s="23">
        <v>0</v>
      </c>
      <c r="N14" s="23">
        <v>0</v>
      </c>
      <c r="O14" s="23">
        <v>0</v>
      </c>
      <c r="P14" s="23">
        <v>0</v>
      </c>
    </row>
    <row r="15" spans="1:16" x14ac:dyDescent="0.3">
      <c r="A15" s="11" t="s">
        <v>1814</v>
      </c>
      <c r="B15" s="11" t="s">
        <v>1813</v>
      </c>
      <c r="C15" s="23">
        <v>23785.747889999999</v>
      </c>
      <c r="D15" s="23">
        <v>23785.747889999999</v>
      </c>
      <c r="E15" s="23">
        <v>8710.2999999999993</v>
      </c>
      <c r="F15" s="23">
        <v>25152.047770000001</v>
      </c>
      <c r="G15" s="23">
        <v>12968.551427912171</v>
      </c>
      <c r="H15" s="23">
        <v>15075.078949999999</v>
      </c>
      <c r="I15" s="23">
        <v>10784.083000000001</v>
      </c>
      <c r="J15" s="23">
        <v>22284.690900000001</v>
      </c>
      <c r="K15" s="23">
        <v>18049.506239999999</v>
      </c>
      <c r="L15" s="23">
        <v>20431.480500000001</v>
      </c>
      <c r="M15" s="23">
        <v>12059.70107122936</v>
      </c>
      <c r="N15" s="23">
        <v>27351.31076840618</v>
      </c>
      <c r="O15" s="23">
        <v>18621.442042818901</v>
      </c>
      <c r="P15" s="23">
        <v>22729.164675034001</v>
      </c>
    </row>
    <row r="16" spans="1:16" x14ac:dyDescent="0.3">
      <c r="A16" s="11" t="s">
        <v>1812</v>
      </c>
      <c r="B16" s="11" t="s">
        <v>1811</v>
      </c>
      <c r="C16" s="23">
        <v>4000.3543</v>
      </c>
      <c r="D16" s="23">
        <v>4000.3543</v>
      </c>
      <c r="E16" s="23">
        <v>10797.48122</v>
      </c>
      <c r="F16" s="23">
        <v>3300.136039</v>
      </c>
      <c r="G16" s="23">
        <v>12593.091088364081</v>
      </c>
      <c r="H16" s="23">
        <v>14503.3117909622</v>
      </c>
      <c r="I16" s="23">
        <v>19101.876400000001</v>
      </c>
      <c r="J16" s="23">
        <v>14698.215200000001</v>
      </c>
      <c r="K16" s="23">
        <v>12199.549595</v>
      </c>
      <c r="L16" s="23">
        <v>14905.51404</v>
      </c>
      <c r="M16" s="23">
        <v>22230.519594238391</v>
      </c>
      <c r="N16" s="23">
        <v>12546.662151614109</v>
      </c>
      <c r="O16" s="23">
        <v>20908.145110134981</v>
      </c>
      <c r="P16" s="23">
        <v>11800.7204181296</v>
      </c>
    </row>
    <row r="17" spans="1:16" x14ac:dyDescent="0.3">
      <c r="A17" s="11" t="s">
        <v>1810</v>
      </c>
      <c r="B17" s="11" t="s">
        <v>1809</v>
      </c>
      <c r="C17" s="23">
        <v>15403.07727</v>
      </c>
      <c r="D17" s="23">
        <v>15403.07727</v>
      </c>
      <c r="E17" s="23">
        <v>21098.11</v>
      </c>
      <c r="F17" s="23">
        <v>15303.74667</v>
      </c>
      <c r="G17" s="23">
        <v>20602.25595275938</v>
      </c>
      <c r="H17" s="23">
        <v>18602.799510000001</v>
      </c>
      <c r="I17" s="23">
        <v>20702.1499</v>
      </c>
      <c r="J17" s="23">
        <v>12198.502899999999</v>
      </c>
      <c r="K17" s="23">
        <v>18299.908429999999</v>
      </c>
      <c r="L17" s="23">
        <v>14705.13802</v>
      </c>
      <c r="M17" s="23">
        <v>19317.456007262132</v>
      </c>
      <c r="N17" s="23">
        <v>16698.64225626042</v>
      </c>
      <c r="O17" s="23">
        <v>18514.032984664591</v>
      </c>
      <c r="P17" s="23">
        <v>21501.2063117543</v>
      </c>
    </row>
    <row r="18" spans="1:16" x14ac:dyDescent="0.3">
      <c r="A18" s="11" t="s">
        <v>1808</v>
      </c>
      <c r="B18" s="11" t="s">
        <v>1807</v>
      </c>
      <c r="C18" s="23">
        <v>739.91674</v>
      </c>
      <c r="D18" s="23">
        <v>739.91674</v>
      </c>
      <c r="E18" s="23">
        <v>0</v>
      </c>
      <c r="F18" s="23">
        <v>678.13840000000005</v>
      </c>
      <c r="G18" s="23">
        <v>0</v>
      </c>
      <c r="H18" s="23">
        <v>0</v>
      </c>
      <c r="I18" s="23">
        <v>0</v>
      </c>
      <c r="J18" s="23">
        <v>0</v>
      </c>
      <c r="K18" s="23">
        <v>0</v>
      </c>
      <c r="L18" s="23">
        <v>0</v>
      </c>
      <c r="M18" s="23">
        <v>852.46412631999988</v>
      </c>
      <c r="N18" s="23">
        <v>0</v>
      </c>
      <c r="O18" s="23">
        <v>0</v>
      </c>
      <c r="P18" s="23">
        <v>0</v>
      </c>
    </row>
    <row r="19" spans="1:16" x14ac:dyDescent="0.3">
      <c r="A19" s="11" t="s">
        <v>1806</v>
      </c>
      <c r="B19" s="11" t="s">
        <v>409</v>
      </c>
      <c r="C19" s="23">
        <v>6911.4441100000004</v>
      </c>
      <c r="D19" s="23">
        <v>6911.4441100000004</v>
      </c>
      <c r="E19" s="23">
        <v>4396.0600000000004</v>
      </c>
      <c r="F19" s="23">
        <v>4871.1673810000002</v>
      </c>
      <c r="G19" s="23">
        <v>4973.7668632777841</v>
      </c>
      <c r="H19" s="23">
        <v>4495.8949332000002</v>
      </c>
      <c r="I19" s="23">
        <v>5486.0824000000002</v>
      </c>
      <c r="J19" s="23">
        <v>4115.1895000000004</v>
      </c>
      <c r="K19" s="23">
        <v>4548.6688081599996</v>
      </c>
      <c r="L19" s="23">
        <v>1817.84733810342</v>
      </c>
      <c r="M19" s="23">
        <v>1890.8452222397</v>
      </c>
      <c r="N19" s="23">
        <v>5051.794321173842</v>
      </c>
      <c r="O19" s="23">
        <v>3177.9619591543919</v>
      </c>
      <c r="P19" s="23">
        <v>2748.0475400427399</v>
      </c>
    </row>
    <row r="20" spans="1:16" x14ac:dyDescent="0.3">
      <c r="A20" s="11" t="s">
        <v>1805</v>
      </c>
      <c r="B20" s="11" t="s">
        <v>407</v>
      </c>
      <c r="C20" s="23">
        <v>501.84568000000002</v>
      </c>
      <c r="D20" s="23">
        <v>501.84568000000002</v>
      </c>
      <c r="E20" s="23">
        <v>506.29</v>
      </c>
      <c r="F20" s="23">
        <v>497.17425550000002</v>
      </c>
      <c r="G20" s="23">
        <v>492.33217537848162</v>
      </c>
      <c r="H20" s="23">
        <v>496.5715184</v>
      </c>
      <c r="I20" s="23">
        <v>481.46620000000001</v>
      </c>
      <c r="J20" s="23">
        <v>484.8227</v>
      </c>
      <c r="K20" s="23">
        <v>488.61341494999999</v>
      </c>
      <c r="L20" s="23">
        <v>492.66665888426002</v>
      </c>
      <c r="M20" s="74">
        <v>496.06986424910332</v>
      </c>
      <c r="N20" s="74">
        <v>499.79543964110758</v>
      </c>
      <c r="O20" s="74">
        <v>502.82099810595048</v>
      </c>
      <c r="P20" s="74">
        <v>506.11071591795502</v>
      </c>
    </row>
    <row r="21" spans="1:16" x14ac:dyDescent="0.3">
      <c r="A21" s="11" t="s">
        <v>1804</v>
      </c>
      <c r="B21" s="11" t="s">
        <v>1803</v>
      </c>
      <c r="C21" s="23">
        <v>36515.806409999997</v>
      </c>
      <c r="D21" s="23">
        <v>36515.806409999997</v>
      </c>
      <c r="E21" s="23">
        <v>35703.53</v>
      </c>
      <c r="F21" s="23">
        <v>39065.72724</v>
      </c>
      <c r="G21" s="23">
        <v>40697.79943037936</v>
      </c>
      <c r="H21" s="23">
        <v>43188.723796600003</v>
      </c>
      <c r="I21" s="23">
        <v>44620.560700000002</v>
      </c>
      <c r="J21" s="23">
        <v>44581.396800000002</v>
      </c>
      <c r="K21" s="23">
        <v>43511.682045690002</v>
      </c>
      <c r="L21" s="23">
        <v>47731.618565458397</v>
      </c>
      <c r="M21" s="23">
        <v>52073.225712561078</v>
      </c>
      <c r="N21" s="23">
        <v>51045.025415465767</v>
      </c>
      <c r="O21" s="23">
        <v>54362.837180358132</v>
      </c>
      <c r="P21" s="23">
        <v>52776.9331489572</v>
      </c>
    </row>
    <row r="22" spans="1:16" x14ac:dyDescent="0.3">
      <c r="A22" s="11" t="s">
        <v>1802</v>
      </c>
      <c r="B22" s="11" t="s">
        <v>1801</v>
      </c>
      <c r="C22" s="23">
        <v>35126.413800000002</v>
      </c>
      <c r="D22" s="23">
        <v>35126.413800000002</v>
      </c>
      <c r="E22" s="23">
        <v>32801.65</v>
      </c>
      <c r="F22" s="23">
        <v>36630.051560899999</v>
      </c>
      <c r="G22" s="23">
        <v>38352.729069553723</v>
      </c>
      <c r="H22" s="23">
        <v>40365.986455849998</v>
      </c>
      <c r="I22" s="23">
        <v>42767.740899999997</v>
      </c>
      <c r="J22" s="23">
        <v>41357.641900000002</v>
      </c>
      <c r="K22" s="23">
        <v>41746.91444</v>
      </c>
      <c r="L22" s="23">
        <v>44239.827667589198</v>
      </c>
      <c r="M22" s="23">
        <v>48659.690928730219</v>
      </c>
      <c r="N22" s="23">
        <v>50765.499478653073</v>
      </c>
      <c r="O22" s="23">
        <v>52710.949254440042</v>
      </c>
      <c r="P22" s="23">
        <v>50680.526547849797</v>
      </c>
    </row>
    <row r="23" spans="1:16" x14ac:dyDescent="0.3">
      <c r="A23" s="11" t="s">
        <v>1800</v>
      </c>
      <c r="B23" s="11" t="s">
        <v>1799</v>
      </c>
      <c r="C23" s="23">
        <v>8802.6823999999997</v>
      </c>
      <c r="D23" s="23">
        <v>8802.6823999999997</v>
      </c>
      <c r="E23" s="23">
        <v>7804.23</v>
      </c>
      <c r="F23" s="23">
        <v>7804.0173149000002</v>
      </c>
      <c r="G23" s="23">
        <v>7811.1693994819088</v>
      </c>
      <c r="H23" s="23">
        <v>7815.2037923899998</v>
      </c>
      <c r="I23" s="23">
        <v>7820.3684000000003</v>
      </c>
      <c r="J23" s="23">
        <v>7823.7671</v>
      </c>
      <c r="K23" s="23">
        <v>6802.0498310000003</v>
      </c>
      <c r="L23" s="23">
        <v>5802.3048950000002</v>
      </c>
      <c r="M23" s="23">
        <v>5800.4498703196623</v>
      </c>
      <c r="N23" s="23">
        <v>5831.1156976276416</v>
      </c>
      <c r="O23" s="23">
        <v>5332.6708831784363</v>
      </c>
      <c r="P23" s="23">
        <v>5350.5648570681296</v>
      </c>
    </row>
    <row r="24" spans="1:16" x14ac:dyDescent="0.3">
      <c r="A24" s="11" t="s">
        <v>1798</v>
      </c>
      <c r="B24" s="11" t="s">
        <v>1797</v>
      </c>
      <c r="C24" s="23">
        <v>7168.9541099999997</v>
      </c>
      <c r="D24" s="23">
        <v>7168.9541099999997</v>
      </c>
      <c r="E24" s="23">
        <v>2812.7</v>
      </c>
      <c r="F24" s="23">
        <v>3938.3446076291002</v>
      </c>
      <c r="G24" s="23">
        <v>4960.3569193654403</v>
      </c>
      <c r="H24" s="23">
        <v>3161.2166307770999</v>
      </c>
      <c r="I24" s="23">
        <v>5400.8131999999996</v>
      </c>
      <c r="J24" s="23">
        <v>4189.9769999999999</v>
      </c>
      <c r="K24" s="23">
        <v>3403.23437122</v>
      </c>
      <c r="L24" s="23">
        <v>1924.01155496552</v>
      </c>
      <c r="M24" s="23">
        <v>4332.9843854298824</v>
      </c>
      <c r="N24" s="23">
        <v>4343.5177820141016</v>
      </c>
      <c r="O24" s="23">
        <v>4838.0387402811266</v>
      </c>
      <c r="P24" s="23">
        <v>2027.7454446050599</v>
      </c>
    </row>
    <row r="25" spans="1:16" x14ac:dyDescent="0.3">
      <c r="A25" s="11" t="s">
        <v>1796</v>
      </c>
      <c r="B25" s="11" t="s">
        <v>1795</v>
      </c>
      <c r="C25" s="23">
        <v>1487.9719700000001</v>
      </c>
      <c r="D25" s="23">
        <v>1487.9719700000001</v>
      </c>
      <c r="E25" s="23">
        <v>2223.31</v>
      </c>
      <c r="F25" s="23">
        <v>3157.5745000002998</v>
      </c>
      <c r="G25" s="23">
        <v>1804.180379521752</v>
      </c>
      <c r="H25" s="23">
        <v>2983.2230508695602</v>
      </c>
      <c r="I25" s="23">
        <v>3068.6725000000001</v>
      </c>
      <c r="J25" s="23">
        <v>1010.6425</v>
      </c>
      <c r="K25" s="23">
        <v>886.51872089000005</v>
      </c>
      <c r="L25" s="23">
        <v>2979.2772703057599</v>
      </c>
      <c r="M25" s="23">
        <v>523.82641771665249</v>
      </c>
      <c r="N25" s="23">
        <v>2366.2085849142582</v>
      </c>
      <c r="O25" s="23">
        <v>7.8142737697863298</v>
      </c>
      <c r="P25" s="23">
        <v>1279.88836952469</v>
      </c>
    </row>
    <row r="26" spans="1:16" x14ac:dyDescent="0.3">
      <c r="A26" s="11" t="s">
        <v>1794</v>
      </c>
      <c r="B26" s="11" t="s">
        <v>1793</v>
      </c>
      <c r="C26" s="23">
        <v>2200.4358499999998</v>
      </c>
      <c r="D26" s="23">
        <v>2200.4358499999998</v>
      </c>
      <c r="E26" s="23">
        <v>3132.75</v>
      </c>
      <c r="F26" s="23">
        <v>1789.6181142984999</v>
      </c>
      <c r="G26" s="23">
        <v>2960.1342221892278</v>
      </c>
      <c r="H26" s="23">
        <v>3053.0078021110198</v>
      </c>
      <c r="I26" s="23">
        <v>1010.3405</v>
      </c>
      <c r="J26" s="23">
        <v>880.29729999999995</v>
      </c>
      <c r="K26" s="23">
        <v>2957.8222919300001</v>
      </c>
      <c r="L26" s="23">
        <v>520.05933207905002</v>
      </c>
      <c r="M26" s="23">
        <v>2533.8338014529768</v>
      </c>
      <c r="N26" s="23">
        <v>7.2337445960363294</v>
      </c>
      <c r="O26" s="23">
        <v>1225.2823229652031</v>
      </c>
      <c r="P26" s="23">
        <v>185.672064565227</v>
      </c>
    </row>
    <row r="27" spans="1:16" x14ac:dyDescent="0.3">
      <c r="A27" s="11" t="s">
        <v>1792</v>
      </c>
      <c r="B27" s="11" t="s">
        <v>1791</v>
      </c>
      <c r="C27" s="23">
        <v>7629.1985199999999</v>
      </c>
      <c r="D27" s="23">
        <v>7629.1985199999999</v>
      </c>
      <c r="E27" s="23">
        <v>7628.57</v>
      </c>
      <c r="F27" s="23">
        <v>6919.1213779735999</v>
      </c>
      <c r="G27" s="23">
        <v>4855.5200478708439</v>
      </c>
      <c r="H27" s="23">
        <v>4733.8117269519498</v>
      </c>
      <c r="I27" s="23">
        <v>4260.5978999999998</v>
      </c>
      <c r="J27" s="23">
        <v>5693.3482000000004</v>
      </c>
      <c r="K27" s="23">
        <v>2789.2323093300001</v>
      </c>
      <c r="L27" s="23">
        <v>3486.9720653624699</v>
      </c>
      <c r="M27" s="23">
        <v>1347.6517408288389</v>
      </c>
      <c r="N27" s="23">
        <v>6463.6285097040509</v>
      </c>
      <c r="O27" s="23">
        <v>6214.755004422821</v>
      </c>
      <c r="P27" s="23">
        <v>9746.1471361215299</v>
      </c>
    </row>
    <row r="28" spans="1:16" x14ac:dyDescent="0.3">
      <c r="A28" s="11" t="s">
        <v>1790</v>
      </c>
      <c r="B28" s="11" t="s">
        <v>1789</v>
      </c>
      <c r="C28" s="23">
        <v>4771.2201500000001</v>
      </c>
      <c r="D28" s="23">
        <v>4771.2201500000001</v>
      </c>
      <c r="E28" s="23">
        <v>4628.8500000000004</v>
      </c>
      <c r="F28" s="23">
        <v>4161.3384631860999</v>
      </c>
      <c r="G28" s="23">
        <v>5570.6063659970778</v>
      </c>
      <c r="H28" s="23">
        <v>2736.0727346776398</v>
      </c>
      <c r="I28" s="23">
        <v>3408.9416999999999</v>
      </c>
      <c r="J28" s="23">
        <v>1301.0545999999999</v>
      </c>
      <c r="K28" s="23">
        <v>6305.87298242</v>
      </c>
      <c r="L28" s="23">
        <v>6093.8206869596497</v>
      </c>
      <c r="M28" s="23">
        <v>9649.2591339036026</v>
      </c>
      <c r="N28" s="23">
        <v>4550.8353786357557</v>
      </c>
      <c r="O28" s="23">
        <v>7258.421637449248</v>
      </c>
      <c r="P28" s="23">
        <v>3645.9264325529898</v>
      </c>
    </row>
    <row r="29" spans="1:16" x14ac:dyDescent="0.3">
      <c r="A29" s="11" t="s">
        <v>1788</v>
      </c>
      <c r="B29" s="11" t="s">
        <v>1787</v>
      </c>
      <c r="C29" s="23">
        <v>5413.1600799999997</v>
      </c>
      <c r="D29" s="23">
        <v>5413.1600799999997</v>
      </c>
      <c r="E29" s="23">
        <v>2671.52</v>
      </c>
      <c r="F29" s="23">
        <v>3317.9031233197002</v>
      </c>
      <c r="G29" s="23">
        <v>1269.7024332557639</v>
      </c>
      <c r="H29" s="23">
        <v>5238.4432277569804</v>
      </c>
      <c r="I29" s="23">
        <v>5968.9811</v>
      </c>
      <c r="J29" s="23">
        <v>9454.5234</v>
      </c>
      <c r="K29" s="23">
        <v>4507.5575257299997</v>
      </c>
      <c r="L29" s="23">
        <v>7146.1182292830999</v>
      </c>
      <c r="M29" s="23">
        <v>8718.2510147776793</v>
      </c>
      <c r="N29" s="23">
        <v>8740.8685668438829</v>
      </c>
      <c r="O29" s="23">
        <v>10066.483554492001</v>
      </c>
      <c r="P29" s="23">
        <v>10116.2135461423</v>
      </c>
    </row>
    <row r="30" spans="1:16" x14ac:dyDescent="0.3">
      <c r="A30" s="11" t="s">
        <v>1786</v>
      </c>
      <c r="B30" s="11" t="s">
        <v>1785</v>
      </c>
      <c r="C30" s="23">
        <v>15258.15552</v>
      </c>
      <c r="D30" s="23">
        <v>15258.15552</v>
      </c>
      <c r="E30" s="23">
        <v>17508.189999999999</v>
      </c>
      <c r="F30" s="23">
        <v>21150.168689305599</v>
      </c>
      <c r="G30" s="23">
        <v>24743.398100835519</v>
      </c>
      <c r="H30" s="23">
        <v>26275.415075095701</v>
      </c>
      <c r="I30" s="23">
        <v>27469.7624</v>
      </c>
      <c r="J30" s="23">
        <v>26652.2418</v>
      </c>
      <c r="K30" s="23">
        <v>27698.72606728</v>
      </c>
      <c r="L30" s="23">
        <v>27891.873423490499</v>
      </c>
      <c r="M30" s="23">
        <v>27354.334304940239</v>
      </c>
      <c r="N30" s="23">
        <v>30124.32260957262</v>
      </c>
      <c r="O30" s="23">
        <v>28432.824604238289</v>
      </c>
      <c r="P30" s="23">
        <v>29029.498411406101</v>
      </c>
    </row>
    <row r="31" spans="1:16" x14ac:dyDescent="0.3">
      <c r="A31" s="11" t="s">
        <v>1784</v>
      </c>
      <c r="B31" s="11" t="s">
        <v>1783</v>
      </c>
      <c r="C31" s="60">
        <v>46352</v>
      </c>
      <c r="D31" s="60">
        <v>46352</v>
      </c>
      <c r="E31" s="60">
        <v>46408</v>
      </c>
      <c r="F31" s="60">
        <v>46408</v>
      </c>
      <c r="G31" s="60">
        <v>46464</v>
      </c>
      <c r="H31" s="60">
        <v>46464</v>
      </c>
      <c r="I31" s="60">
        <v>46520</v>
      </c>
      <c r="J31" s="60">
        <v>46520</v>
      </c>
      <c r="K31" s="60">
        <v>46576</v>
      </c>
      <c r="L31" s="60">
        <v>46576</v>
      </c>
      <c r="M31" s="60">
        <v>46632</v>
      </c>
      <c r="N31" s="60">
        <v>46639</v>
      </c>
      <c r="O31" s="60">
        <v>46688</v>
      </c>
      <c r="P31" s="60">
        <v>46744</v>
      </c>
    </row>
    <row r="32" spans="1:16" x14ac:dyDescent="0.3">
      <c r="A32" s="11" t="s">
        <v>1782</v>
      </c>
      <c r="B32" s="11" t="s">
        <v>328</v>
      </c>
      <c r="C32" s="22">
        <v>291</v>
      </c>
      <c r="D32" s="22">
        <v>291</v>
      </c>
      <c r="E32" s="22">
        <v>322</v>
      </c>
      <c r="F32" s="22">
        <v>342</v>
      </c>
      <c r="G32" s="22">
        <v>351.28336586957431</v>
      </c>
      <c r="H32" s="22">
        <v>374</v>
      </c>
      <c r="I32" s="22">
        <v>363</v>
      </c>
      <c r="J32" s="22">
        <v>381</v>
      </c>
      <c r="K32" s="22">
        <v>372</v>
      </c>
      <c r="L32" s="22">
        <v>384</v>
      </c>
      <c r="M32" s="23">
        <v>384</v>
      </c>
      <c r="N32" s="23">
        <v>374</v>
      </c>
      <c r="O32" s="23">
        <v>377</v>
      </c>
      <c r="P32" s="23">
        <v>366</v>
      </c>
    </row>
    <row r="33" spans="1:16" x14ac:dyDescent="0.3">
      <c r="A33" s="11" t="s">
        <v>1781</v>
      </c>
      <c r="B33" s="11" t="s">
        <v>264</v>
      </c>
      <c r="C33" s="23">
        <v>23.713525305899999</v>
      </c>
      <c r="D33" s="23">
        <v>23.713525305899999</v>
      </c>
      <c r="E33" s="23">
        <v>25.09</v>
      </c>
      <c r="F33" s="23">
        <v>29.463491714</v>
      </c>
      <c r="G33" s="23">
        <v>34.904296803699999</v>
      </c>
      <c r="H33" s="23">
        <v>41.819711714</v>
      </c>
      <c r="I33" s="23">
        <v>42.6</v>
      </c>
      <c r="J33" s="23">
        <v>43.885300000000001</v>
      </c>
      <c r="K33" s="23">
        <v>38.0270034443</v>
      </c>
      <c r="L33" s="23">
        <v>40.460924219900001</v>
      </c>
      <c r="M33" s="89">
        <v>42.088437306800003</v>
      </c>
      <c r="N33" s="89">
        <v>38.995025894800001</v>
      </c>
      <c r="O33" s="89">
        <v>32.488841305100003</v>
      </c>
      <c r="P33" s="89">
        <v>31.162839293299999</v>
      </c>
    </row>
    <row r="34" spans="1:16" x14ac:dyDescent="0.3">
      <c r="A34" s="11" t="s">
        <v>1780</v>
      </c>
      <c r="B34" s="11" t="s">
        <v>1779</v>
      </c>
      <c r="C34" s="61">
        <v>0.36713457481776701</v>
      </c>
      <c r="D34" s="61">
        <v>0.36713457481776701</v>
      </c>
      <c r="E34" s="61">
        <v>0.36720519525832601</v>
      </c>
      <c r="F34" s="61">
        <v>0.43121352000000002</v>
      </c>
      <c r="G34" s="61">
        <v>0.51084253181176598</v>
      </c>
      <c r="H34" s="61">
        <v>0.61205322461483702</v>
      </c>
      <c r="I34" s="61">
        <v>0.623</v>
      </c>
      <c r="J34" s="61">
        <v>0.64228399999999997</v>
      </c>
      <c r="K34" s="61">
        <v>0.55654496711252299</v>
      </c>
      <c r="L34" s="61">
        <v>0.58446872738247502</v>
      </c>
      <c r="M34" s="61">
        <v>0.60797858339883681</v>
      </c>
      <c r="N34" s="61">
        <v>0.56329343924800612</v>
      </c>
      <c r="O34" s="61">
        <v>0.4693098859660681</v>
      </c>
      <c r="P34" s="61">
        <v>0.450155436993739</v>
      </c>
    </row>
    <row r="35" spans="1:16" x14ac:dyDescent="0.3">
      <c r="A35" s="11" t="s">
        <v>1778</v>
      </c>
      <c r="B35" s="11" t="s">
        <v>1777</v>
      </c>
      <c r="C35" s="23">
        <v>74.988751318685104</v>
      </c>
      <c r="D35" s="23">
        <v>74.988751318685104</v>
      </c>
      <c r="E35" s="23">
        <v>79.3</v>
      </c>
      <c r="F35" s="23">
        <v>93.171741639999993</v>
      </c>
      <c r="G35" s="23">
        <v>110.377078026227</v>
      </c>
      <c r="H35" s="23">
        <v>132.245540107864</v>
      </c>
      <c r="I35" s="23">
        <v>134.71</v>
      </c>
      <c r="J35" s="23">
        <v>138.7774</v>
      </c>
      <c r="K35" s="23">
        <v>120.251943475056</v>
      </c>
      <c r="L35" s="23">
        <v>127.94867677035499</v>
      </c>
      <c r="M35" s="23">
        <v>133.09532504669099</v>
      </c>
      <c r="N35" s="23">
        <v>123.3130992448135</v>
      </c>
      <c r="O35" s="23">
        <v>102.7387370638734</v>
      </c>
      <c r="P35" s="23">
        <v>98.545550524619955</v>
      </c>
    </row>
    <row r="36" spans="1:16" x14ac:dyDescent="0.3">
      <c r="A36" s="11" t="s">
        <v>1776</v>
      </c>
      <c r="B36" s="11" t="s">
        <v>1775</v>
      </c>
      <c r="C36" s="23">
        <v>-220.33029999999999</v>
      </c>
      <c r="D36" s="23">
        <v>-220.33029999999999</v>
      </c>
      <c r="E36" s="23">
        <v>-235.5</v>
      </c>
      <c r="F36" s="23">
        <v>-280.44290899999999</v>
      </c>
      <c r="G36" s="23">
        <v>-322.661</v>
      </c>
      <c r="H36" s="23">
        <v>-372.54856181000002</v>
      </c>
      <c r="I36" s="23">
        <v>-388</v>
      </c>
      <c r="J36" s="23">
        <v>-402.65019999999998</v>
      </c>
      <c r="K36" s="23">
        <v>-393.2384141</v>
      </c>
      <c r="L36" s="23">
        <v>-426.74637360000003</v>
      </c>
      <c r="M36" s="23">
        <v>-473.35281523021462</v>
      </c>
      <c r="N36" s="23">
        <v>-432.0380467708095</v>
      </c>
      <c r="O36" s="23">
        <v>-454.81267406482658</v>
      </c>
      <c r="P36" s="23">
        <v>-478.55420183000001</v>
      </c>
    </row>
    <row r="37" spans="1:16" x14ac:dyDescent="0.3">
      <c r="A37" s="11" t="s">
        <v>1774</v>
      </c>
      <c r="B37" s="11" t="s">
        <v>1773</v>
      </c>
      <c r="C37" s="23">
        <v>3.2398999999999997E-2</v>
      </c>
      <c r="D37" s="23">
        <v>3.2398999999999997E-2</v>
      </c>
      <c r="E37" s="23">
        <v>9.2918000000000001E-2</v>
      </c>
      <c r="F37" s="23">
        <v>-4.8999999999999997E-6</v>
      </c>
      <c r="G37" s="23">
        <v>0</v>
      </c>
      <c r="H37" s="23">
        <v>0</v>
      </c>
      <c r="I37" s="23">
        <v>0</v>
      </c>
      <c r="J37" s="23">
        <v>0</v>
      </c>
      <c r="K37" s="23">
        <v>0</v>
      </c>
      <c r="L37" s="23">
        <v>0</v>
      </c>
      <c r="M37" s="23">
        <v>0</v>
      </c>
      <c r="N37" s="23">
        <v>0</v>
      </c>
      <c r="O37" s="23">
        <v>0</v>
      </c>
      <c r="P37" s="23">
        <v>0</v>
      </c>
    </row>
    <row r="38" spans="1:16" x14ac:dyDescent="0.3">
      <c r="A38" s="11" t="s">
        <v>1772</v>
      </c>
      <c r="B38" s="11" t="s">
        <v>667</v>
      </c>
      <c r="C38" s="23">
        <v>1.0265299999999999</v>
      </c>
      <c r="D38" s="23">
        <v>1.0265299999999999</v>
      </c>
      <c r="E38" s="23">
        <v>1.1579999999999999</v>
      </c>
      <c r="F38" s="23">
        <v>1.2528600000000001</v>
      </c>
      <c r="G38" s="23">
        <v>1.37052</v>
      </c>
      <c r="H38" s="23">
        <v>1.4299809999999999</v>
      </c>
      <c r="I38" s="23">
        <v>1.47</v>
      </c>
      <c r="J38" s="23">
        <v>1.5559000000000001</v>
      </c>
      <c r="K38" s="23">
        <v>1.601245</v>
      </c>
      <c r="L38" s="23">
        <v>1.628082231</v>
      </c>
      <c r="M38" s="23">
        <v>1.6347595667871131</v>
      </c>
      <c r="N38" s="23">
        <v>1.6240925574320531</v>
      </c>
      <c r="O38" s="23">
        <v>1.600222023285703</v>
      </c>
      <c r="P38" s="23">
        <v>1.65179088644931</v>
      </c>
    </row>
    <row r="39" spans="1:16" x14ac:dyDescent="0.3">
      <c r="A39" s="11">
        <v>30037</v>
      </c>
      <c r="B39" s="11" t="s">
        <v>1771</v>
      </c>
      <c r="C39" s="23">
        <v>10.61</v>
      </c>
      <c r="D39" s="23">
        <v>10.61271449</v>
      </c>
      <c r="E39" s="23">
        <v>10.51473796</v>
      </c>
      <c r="F39" s="23">
        <v>10.297529880000001</v>
      </c>
      <c r="G39" s="23">
        <v>10.199999999999999</v>
      </c>
      <c r="H39" s="23">
        <v>9.8853134110000003</v>
      </c>
      <c r="I39" s="23">
        <v>9.69</v>
      </c>
      <c r="J39" s="23">
        <v>9.5220412260000007</v>
      </c>
      <c r="K39" s="23">
        <v>9.3241893400000002</v>
      </c>
      <c r="L39" s="23">
        <v>9.2898236940000007</v>
      </c>
      <c r="M39" s="23">
        <v>9.1205650679999994</v>
      </c>
      <c r="N39" s="23">
        <v>8.8645115709999995</v>
      </c>
      <c r="O39" s="23">
        <v>8.8312820042083295</v>
      </c>
      <c r="P39" s="23">
        <v>8.7469272793845292</v>
      </c>
    </row>
    <row r="40" spans="1:16" x14ac:dyDescent="0.3">
      <c r="A40" s="11">
        <v>30038</v>
      </c>
      <c r="B40" s="11" t="s">
        <v>1770</v>
      </c>
      <c r="C40" s="23">
        <v>10.6</v>
      </c>
      <c r="D40" s="23">
        <v>10.602770019999999</v>
      </c>
      <c r="E40" s="23">
        <v>10.55265816</v>
      </c>
      <c r="F40" s="23">
        <v>10.27100046</v>
      </c>
      <c r="G40" s="23">
        <v>10.0725929</v>
      </c>
      <c r="H40" s="23">
        <v>9.7243681639999995</v>
      </c>
      <c r="I40" s="23">
        <v>9.61</v>
      </c>
      <c r="J40" s="23">
        <v>9.4609010480000002</v>
      </c>
      <c r="K40" s="23">
        <v>9.4358576139999997</v>
      </c>
      <c r="L40" s="23">
        <v>9.2877258020000006</v>
      </c>
      <c r="M40" s="23">
        <v>9.1356705121919095</v>
      </c>
      <c r="N40" s="23">
        <v>9.0044965654041498</v>
      </c>
      <c r="O40" s="23">
        <v>8.91276068508318</v>
      </c>
      <c r="P40" s="23">
        <v>8.8339134888949804</v>
      </c>
    </row>
    <row r="41" spans="1:16" x14ac:dyDescent="0.3">
      <c r="A41" s="11">
        <v>30039</v>
      </c>
      <c r="B41" s="11" t="s">
        <v>1769</v>
      </c>
      <c r="C41" s="23">
        <v>10.4</v>
      </c>
      <c r="D41" s="23">
        <v>10.39717972</v>
      </c>
      <c r="E41" s="23">
        <v>10.35152969</v>
      </c>
      <c r="F41" s="23">
        <v>10.08495855</v>
      </c>
      <c r="G41" s="23">
        <v>9.9072269330000005</v>
      </c>
      <c r="H41" s="23">
        <v>9.6253503309999999</v>
      </c>
      <c r="I41" s="23">
        <v>9.5399999999999991</v>
      </c>
      <c r="J41" s="23">
        <v>9.3573307910000008</v>
      </c>
      <c r="K41" s="23">
        <v>9.32819164</v>
      </c>
      <c r="L41" s="23">
        <v>9.0529840569999998</v>
      </c>
      <c r="M41" s="23">
        <v>8.8842516394442104</v>
      </c>
      <c r="N41" s="23">
        <v>8.70349783577519</v>
      </c>
      <c r="O41" s="23">
        <v>8.4187103863824593</v>
      </c>
      <c r="P41" s="23">
        <v>8.4102890984749195</v>
      </c>
    </row>
    <row r="42" spans="1:16" x14ac:dyDescent="0.3">
      <c r="A42" s="11">
        <v>30040</v>
      </c>
      <c r="B42" s="11" t="s">
        <v>1768</v>
      </c>
      <c r="C42" s="23" t="s">
        <v>1767</v>
      </c>
      <c r="D42" s="23" t="s">
        <v>1767</v>
      </c>
      <c r="E42" s="23" t="s">
        <v>1767</v>
      </c>
      <c r="F42" s="23" t="s">
        <v>1767</v>
      </c>
      <c r="G42" s="23" t="s">
        <v>1767</v>
      </c>
      <c r="H42" s="23" t="s">
        <v>1767</v>
      </c>
      <c r="I42" s="23" t="s">
        <v>1767</v>
      </c>
      <c r="J42" s="23" t="s">
        <v>1767</v>
      </c>
      <c r="K42" s="23" t="s">
        <v>1767</v>
      </c>
      <c r="L42" s="23" t="s">
        <v>1767</v>
      </c>
      <c r="M42" s="74" t="s">
        <v>1767</v>
      </c>
      <c r="N42" s="74" t="s">
        <v>1767</v>
      </c>
      <c r="O42" s="74" t="s">
        <v>1767</v>
      </c>
      <c r="P42" s="74" t="s">
        <v>1767</v>
      </c>
    </row>
    <row r="43" spans="1:16" x14ac:dyDescent="0.3">
      <c r="D43" s="23"/>
      <c r="E43" s="23"/>
      <c r="F43" s="23"/>
      <c r="G43" s="23"/>
      <c r="H43" s="23"/>
      <c r="I43" s="23"/>
      <c r="J43" s="23"/>
      <c r="K43" s="23"/>
      <c r="L43" s="23"/>
    </row>
    <row r="44" spans="1:16" x14ac:dyDescent="0.3">
      <c r="D44" s="23"/>
      <c r="E44" s="23"/>
      <c r="F44" s="23"/>
      <c r="G44" s="23"/>
      <c r="H44" s="23"/>
      <c r="I44" s="23"/>
      <c r="J44" s="23"/>
      <c r="K44" s="23"/>
      <c r="L44" s="23"/>
    </row>
    <row r="46" spans="1:16" x14ac:dyDescent="0.3">
      <c r="L46" s="1"/>
    </row>
    <row r="47" spans="1:16" x14ac:dyDescent="0.3">
      <c r="L47" s="1"/>
    </row>
    <row r="48" spans="1:16" x14ac:dyDescent="0.3">
      <c r="L48" s="1"/>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28"/>
  <sheetViews>
    <sheetView workbookViewId="0">
      <pane xSplit="2" topLeftCell="J1" activePane="topRight" state="frozen"/>
      <selection activeCell="L39" sqref="L39"/>
      <selection pane="topRight" activeCell="P19" sqref="P19:P28"/>
    </sheetView>
  </sheetViews>
  <sheetFormatPr baseColWidth="10" defaultColWidth="9.44140625" defaultRowHeight="14.4" x14ac:dyDescent="0.3"/>
  <cols>
    <col min="2" max="2" width="24" bestFit="1" customWidth="1"/>
    <col min="3" max="16" width="13.5546875" customWidth="1"/>
  </cols>
  <sheetData>
    <row r="1" spans="1:16"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v>30700</v>
      </c>
      <c r="B3" s="11" t="s">
        <v>1854</v>
      </c>
      <c r="C3" s="22">
        <v>0</v>
      </c>
      <c r="D3" s="22">
        <v>0</v>
      </c>
      <c r="E3" s="22">
        <v>0</v>
      </c>
      <c r="F3" s="22">
        <v>0</v>
      </c>
      <c r="G3" s="22">
        <v>0</v>
      </c>
      <c r="H3" s="22">
        <v>0</v>
      </c>
      <c r="I3" s="22">
        <v>0</v>
      </c>
      <c r="J3" s="22">
        <v>0</v>
      </c>
      <c r="K3" s="22">
        <v>0</v>
      </c>
      <c r="L3" s="22">
        <v>0</v>
      </c>
      <c r="M3" s="22">
        <v>750.01833832378497</v>
      </c>
      <c r="N3" s="22">
        <v>0</v>
      </c>
      <c r="O3" s="22">
        <v>0</v>
      </c>
      <c r="P3" s="22">
        <v>0</v>
      </c>
    </row>
    <row r="4" spans="1:16" x14ac:dyDescent="0.3">
      <c r="A4" s="11">
        <v>30701</v>
      </c>
      <c r="B4" s="11" t="s">
        <v>1853</v>
      </c>
      <c r="C4" s="22">
        <v>0</v>
      </c>
      <c r="D4" s="22">
        <v>0</v>
      </c>
      <c r="E4" s="22">
        <v>0</v>
      </c>
      <c r="F4" s="22">
        <v>0</v>
      </c>
      <c r="G4" s="22">
        <v>0</v>
      </c>
      <c r="H4" s="22">
        <v>0</v>
      </c>
      <c r="I4" s="22">
        <v>0</v>
      </c>
      <c r="J4" s="22">
        <v>0</v>
      </c>
      <c r="K4" s="22">
        <v>0</v>
      </c>
      <c r="L4" s="22">
        <v>0</v>
      </c>
      <c r="M4" s="22">
        <v>0</v>
      </c>
      <c r="N4" s="22">
        <v>0</v>
      </c>
      <c r="O4" s="22">
        <v>0</v>
      </c>
      <c r="P4" s="22">
        <v>0</v>
      </c>
    </row>
    <row r="5" spans="1:16" x14ac:dyDescent="0.3">
      <c r="A5" s="11">
        <v>30702</v>
      </c>
      <c r="B5" s="11" t="s">
        <v>1852</v>
      </c>
      <c r="C5" s="22">
        <v>0</v>
      </c>
      <c r="D5" s="22">
        <v>0</v>
      </c>
      <c r="E5" s="22">
        <v>0</v>
      </c>
      <c r="F5" s="22">
        <v>0</v>
      </c>
      <c r="G5" s="22">
        <v>3000.8662648948339</v>
      </c>
      <c r="H5" s="22">
        <v>0</v>
      </c>
      <c r="I5" s="22">
        <v>0</v>
      </c>
      <c r="J5" s="22">
        <v>5199.7888999999996</v>
      </c>
      <c r="K5" s="22">
        <v>0</v>
      </c>
      <c r="L5" s="22">
        <v>2000.7675143009101</v>
      </c>
      <c r="M5" s="22">
        <v>4099.9987355351504</v>
      </c>
      <c r="N5" s="22">
        <v>2799.5536512674998</v>
      </c>
      <c r="O5" s="22">
        <v>9503.7746288109192</v>
      </c>
      <c r="P5" s="22">
        <v>4999.8797664743697</v>
      </c>
    </row>
    <row r="6" spans="1:16" x14ac:dyDescent="0.3">
      <c r="A6" s="11">
        <v>30703</v>
      </c>
      <c r="B6" s="11" t="s">
        <v>1851</v>
      </c>
      <c r="C6" s="22">
        <v>0</v>
      </c>
      <c r="D6" s="22">
        <v>0</v>
      </c>
      <c r="E6" s="22">
        <v>0</v>
      </c>
      <c r="F6" s="22">
        <v>0</v>
      </c>
      <c r="G6" s="22">
        <v>0</v>
      </c>
      <c r="H6" s="22">
        <v>0</v>
      </c>
      <c r="I6" s="22">
        <v>0</v>
      </c>
      <c r="J6" s="22">
        <v>699.99270000000001</v>
      </c>
      <c r="K6" s="22">
        <v>0</v>
      </c>
      <c r="L6" s="22">
        <v>0</v>
      </c>
      <c r="M6" s="22">
        <v>6300.0466082803196</v>
      </c>
      <c r="N6" s="22">
        <v>999.91426716741205</v>
      </c>
      <c r="O6" s="22">
        <v>0</v>
      </c>
      <c r="P6" s="22">
        <v>0</v>
      </c>
    </row>
    <row r="7" spans="1:16" x14ac:dyDescent="0.3">
      <c r="A7" s="11">
        <v>30704</v>
      </c>
      <c r="B7" s="11" t="s">
        <v>1850</v>
      </c>
      <c r="C7" s="22">
        <v>0</v>
      </c>
      <c r="D7" s="22">
        <v>0</v>
      </c>
      <c r="E7" s="22">
        <v>0</v>
      </c>
      <c r="F7" s="22">
        <v>0</v>
      </c>
      <c r="G7" s="22">
        <v>0</v>
      </c>
      <c r="H7" s="22">
        <v>0</v>
      </c>
      <c r="I7" s="22">
        <v>0</v>
      </c>
      <c r="J7" s="22">
        <v>0</v>
      </c>
      <c r="K7" s="22">
        <v>0</v>
      </c>
      <c r="L7" s="22">
        <v>0</v>
      </c>
      <c r="M7" s="22">
        <v>0</v>
      </c>
      <c r="N7" s="22">
        <v>0</v>
      </c>
      <c r="O7" s="22">
        <v>0</v>
      </c>
      <c r="P7" s="22">
        <v>0</v>
      </c>
    </row>
    <row r="8" spans="1:16" x14ac:dyDescent="0.3">
      <c r="A8" s="11">
        <v>30705</v>
      </c>
      <c r="B8" s="11" t="s">
        <v>1849</v>
      </c>
      <c r="C8" s="22">
        <v>0</v>
      </c>
      <c r="D8" s="22">
        <v>0</v>
      </c>
      <c r="E8" s="22">
        <v>0</v>
      </c>
      <c r="F8" s="22">
        <v>0</v>
      </c>
      <c r="G8" s="22">
        <v>0</v>
      </c>
      <c r="H8" s="22">
        <v>0</v>
      </c>
      <c r="I8" s="22">
        <v>0</v>
      </c>
      <c r="J8" s="22">
        <v>799.9579</v>
      </c>
      <c r="K8" s="22">
        <v>0</v>
      </c>
      <c r="L8" s="22">
        <v>0</v>
      </c>
      <c r="M8" s="22">
        <v>0</v>
      </c>
      <c r="N8" s="22">
        <v>0</v>
      </c>
      <c r="O8" s="22">
        <v>0</v>
      </c>
      <c r="P8" s="22">
        <v>0</v>
      </c>
    </row>
    <row r="9" spans="1:16" x14ac:dyDescent="0.3">
      <c r="A9" s="11">
        <v>30706</v>
      </c>
      <c r="B9" s="11" t="s">
        <v>1848</v>
      </c>
      <c r="C9" s="22">
        <v>0</v>
      </c>
      <c r="D9" s="22">
        <v>0</v>
      </c>
      <c r="E9" s="22">
        <v>0</v>
      </c>
      <c r="F9" s="22">
        <v>0</v>
      </c>
      <c r="G9" s="22">
        <v>0</v>
      </c>
      <c r="H9" s="22">
        <v>0</v>
      </c>
      <c r="I9" s="22">
        <v>0</v>
      </c>
      <c r="J9" s="22">
        <v>0</v>
      </c>
      <c r="K9" s="22">
        <v>0</v>
      </c>
      <c r="L9" s="22">
        <v>0</v>
      </c>
      <c r="M9" s="22">
        <v>900.03517432474905</v>
      </c>
      <c r="N9" s="22">
        <v>0</v>
      </c>
      <c r="O9" s="22">
        <v>0</v>
      </c>
      <c r="P9" s="22">
        <v>0</v>
      </c>
    </row>
    <row r="10" spans="1:16" x14ac:dyDescent="0.3">
      <c r="A10" s="11">
        <v>30707</v>
      </c>
      <c r="B10" s="11" t="s">
        <v>1847</v>
      </c>
      <c r="C10" s="22">
        <v>0</v>
      </c>
      <c r="D10" s="22">
        <v>0</v>
      </c>
      <c r="E10" s="22">
        <v>0</v>
      </c>
      <c r="F10" s="22">
        <v>0</v>
      </c>
      <c r="G10" s="22">
        <v>3000.6160215562741</v>
      </c>
      <c r="H10" s="22">
        <v>0</v>
      </c>
      <c r="I10" s="22">
        <v>6500.7404999999999</v>
      </c>
      <c r="J10" s="22">
        <v>0</v>
      </c>
      <c r="K10" s="22">
        <v>2100.1563999999998</v>
      </c>
      <c r="L10" s="22">
        <v>700.27160815651996</v>
      </c>
      <c r="M10" s="22">
        <v>499.99476711860501</v>
      </c>
      <c r="N10" s="22">
        <v>2999.0529989257898</v>
      </c>
      <c r="O10" s="22">
        <v>4001.5375609678799</v>
      </c>
      <c r="P10" s="22">
        <v>0</v>
      </c>
    </row>
    <row r="11" spans="1:16" x14ac:dyDescent="0.3">
      <c r="A11" s="11">
        <v>30708</v>
      </c>
      <c r="B11" s="11" t="s">
        <v>1846</v>
      </c>
      <c r="C11" s="22">
        <v>0</v>
      </c>
      <c r="D11" s="22">
        <v>0</v>
      </c>
      <c r="E11" s="22">
        <v>1499.94</v>
      </c>
      <c r="F11" s="22">
        <v>0</v>
      </c>
      <c r="G11" s="22">
        <v>0</v>
      </c>
      <c r="H11" s="22">
        <v>0</v>
      </c>
      <c r="I11" s="22">
        <v>0</v>
      </c>
      <c r="J11" s="22">
        <v>0</v>
      </c>
      <c r="K11" s="22">
        <v>0</v>
      </c>
      <c r="L11" s="22">
        <v>0</v>
      </c>
      <c r="M11" s="22">
        <v>0</v>
      </c>
      <c r="N11" s="22">
        <v>0</v>
      </c>
      <c r="O11" s="22">
        <v>0</v>
      </c>
      <c r="P11" s="22">
        <v>0</v>
      </c>
    </row>
    <row r="12" spans="1:16" x14ac:dyDescent="0.3">
      <c r="A12" s="11">
        <v>30709</v>
      </c>
      <c r="B12" s="11" t="s">
        <v>1845</v>
      </c>
      <c r="C12" s="22">
        <v>0</v>
      </c>
      <c r="D12" s="22">
        <v>0</v>
      </c>
      <c r="E12" s="22">
        <v>0</v>
      </c>
      <c r="F12" s="22">
        <v>0</v>
      </c>
      <c r="G12" s="22">
        <v>0</v>
      </c>
      <c r="H12" s="22">
        <v>0</v>
      </c>
      <c r="I12" s="22">
        <v>0</v>
      </c>
      <c r="J12" s="22">
        <v>0</v>
      </c>
      <c r="K12" s="22">
        <v>0</v>
      </c>
      <c r="L12" s="22">
        <v>0</v>
      </c>
      <c r="M12" s="22">
        <v>0</v>
      </c>
      <c r="N12" s="22">
        <v>0</v>
      </c>
      <c r="O12" s="22">
        <v>500.20965596329398</v>
      </c>
      <c r="P12" s="22">
        <v>0</v>
      </c>
    </row>
    <row r="13" spans="1:16" x14ac:dyDescent="0.3">
      <c r="A13" s="11">
        <v>30710</v>
      </c>
      <c r="B13" s="11" t="s">
        <v>1844</v>
      </c>
      <c r="C13" s="22">
        <v>0</v>
      </c>
      <c r="D13" s="22">
        <v>0</v>
      </c>
      <c r="E13" s="22">
        <v>0</v>
      </c>
      <c r="F13" s="22">
        <v>0</v>
      </c>
      <c r="G13" s="22">
        <v>0</v>
      </c>
      <c r="H13" s="22">
        <v>0</v>
      </c>
      <c r="I13" s="22">
        <v>0</v>
      </c>
      <c r="J13" s="22">
        <v>0</v>
      </c>
      <c r="K13" s="22">
        <v>0</v>
      </c>
      <c r="L13" s="22">
        <v>0</v>
      </c>
      <c r="M13" s="22">
        <v>2000.26747966837</v>
      </c>
      <c r="N13" s="22">
        <v>0</v>
      </c>
      <c r="O13" s="22">
        <v>0</v>
      </c>
      <c r="P13" s="22">
        <v>0</v>
      </c>
    </row>
    <row r="14" spans="1:16" x14ac:dyDescent="0.3">
      <c r="A14" s="11">
        <v>30711</v>
      </c>
      <c r="B14" s="11" t="s">
        <v>1843</v>
      </c>
      <c r="C14" s="22">
        <v>0</v>
      </c>
      <c r="D14" s="22">
        <v>0</v>
      </c>
      <c r="E14" s="22">
        <v>0</v>
      </c>
      <c r="F14" s="22">
        <v>0</v>
      </c>
      <c r="G14" s="22">
        <v>0</v>
      </c>
      <c r="H14" s="22">
        <v>0</v>
      </c>
      <c r="I14" s="22">
        <v>0</v>
      </c>
      <c r="J14" s="22">
        <v>0</v>
      </c>
      <c r="K14" s="22">
        <v>0</v>
      </c>
      <c r="L14" s="22">
        <v>0</v>
      </c>
      <c r="M14" s="22">
        <v>0</v>
      </c>
      <c r="N14" s="22">
        <v>0</v>
      </c>
      <c r="O14" s="22">
        <v>0</v>
      </c>
      <c r="P14" s="22">
        <v>0</v>
      </c>
    </row>
    <row r="15" spans="1:16" x14ac:dyDescent="0.3">
      <c r="A15" s="11">
        <v>30712</v>
      </c>
      <c r="B15" s="11" t="s">
        <v>1842</v>
      </c>
      <c r="C15" s="22">
        <v>4000.3543</v>
      </c>
      <c r="D15" s="22">
        <v>4000.3543</v>
      </c>
      <c r="E15" s="22">
        <v>3799.52</v>
      </c>
      <c r="F15" s="22">
        <v>3300.136039</v>
      </c>
      <c r="G15" s="22">
        <v>6300.5683840377587</v>
      </c>
      <c r="H15" s="22">
        <v>4500.7733609406596</v>
      </c>
      <c r="I15" s="22">
        <v>5100.4996000000001</v>
      </c>
      <c r="J15" s="22">
        <v>1999.7143000000001</v>
      </c>
      <c r="K15" s="22">
        <v>2499.8155000000002</v>
      </c>
      <c r="L15" s="22">
        <v>2000.7921331068201</v>
      </c>
      <c r="M15" s="22">
        <v>1800.1266289320099</v>
      </c>
      <c r="N15" s="22">
        <v>3048.7169928501198</v>
      </c>
      <c r="O15" s="22">
        <v>2200.82694206828</v>
      </c>
      <c r="P15" s="22">
        <v>3799.5402489744602</v>
      </c>
    </row>
    <row r="16" spans="1:16" x14ac:dyDescent="0.3">
      <c r="A16" s="11">
        <v>30713</v>
      </c>
      <c r="B16" s="11" t="s">
        <v>1841</v>
      </c>
      <c r="C16" s="22">
        <v>0</v>
      </c>
      <c r="D16" s="22">
        <v>0</v>
      </c>
      <c r="E16" s="22">
        <v>0</v>
      </c>
      <c r="F16" s="22">
        <v>0</v>
      </c>
      <c r="G16" s="22">
        <v>291.04041787521561</v>
      </c>
      <c r="H16" s="22">
        <v>0</v>
      </c>
      <c r="I16" s="22">
        <v>0</v>
      </c>
      <c r="J16" s="22">
        <v>0</v>
      </c>
      <c r="K16" s="22">
        <v>0</v>
      </c>
      <c r="L16" s="22">
        <v>0</v>
      </c>
      <c r="M16" s="22">
        <v>0</v>
      </c>
      <c r="N16" s="22">
        <v>0</v>
      </c>
      <c r="O16" s="22">
        <v>0</v>
      </c>
      <c r="P16" s="22">
        <v>0</v>
      </c>
    </row>
    <row r="17" spans="1:16" x14ac:dyDescent="0.3">
      <c r="A17" s="11">
        <v>30714</v>
      </c>
      <c r="B17" s="11" t="s">
        <v>1840</v>
      </c>
      <c r="C17" s="22">
        <v>0</v>
      </c>
      <c r="D17" s="22">
        <v>0</v>
      </c>
      <c r="E17" s="22">
        <v>0</v>
      </c>
      <c r="F17" s="22">
        <v>0</v>
      </c>
      <c r="G17" s="22">
        <v>0</v>
      </c>
      <c r="H17" s="22">
        <v>0</v>
      </c>
      <c r="I17" s="22">
        <v>0</v>
      </c>
      <c r="J17" s="22">
        <v>0</v>
      </c>
      <c r="K17" s="22">
        <v>0</v>
      </c>
      <c r="L17" s="22">
        <v>0</v>
      </c>
      <c r="M17" s="22">
        <v>0</v>
      </c>
      <c r="N17" s="22">
        <v>0</v>
      </c>
      <c r="O17" s="22">
        <v>0</v>
      </c>
      <c r="P17" s="22">
        <v>0</v>
      </c>
    </row>
    <row r="18" spans="1:16" x14ac:dyDescent="0.3">
      <c r="A18" s="11">
        <v>30715</v>
      </c>
      <c r="B18" s="11" t="s">
        <v>1839</v>
      </c>
      <c r="C18" s="22">
        <v>0</v>
      </c>
      <c r="D18" s="22">
        <v>0</v>
      </c>
      <c r="E18" s="22">
        <v>0</v>
      </c>
      <c r="F18" s="22">
        <v>0</v>
      </c>
      <c r="G18" s="22">
        <v>0</v>
      </c>
      <c r="H18" s="22">
        <v>0</v>
      </c>
      <c r="I18" s="22">
        <v>0</v>
      </c>
      <c r="J18" s="22">
        <v>0</v>
      </c>
      <c r="K18" s="22">
        <v>0</v>
      </c>
      <c r="L18" s="22">
        <v>0</v>
      </c>
      <c r="M18" s="22">
        <v>0</v>
      </c>
      <c r="N18" s="22">
        <v>0</v>
      </c>
      <c r="O18" s="22">
        <v>700.27409408741198</v>
      </c>
      <c r="P18" s="22">
        <v>3001.3004026807298</v>
      </c>
    </row>
    <row r="19" spans="1:16" x14ac:dyDescent="0.3">
      <c r="A19" s="11">
        <v>30716</v>
      </c>
      <c r="B19" s="11" t="s">
        <v>1838</v>
      </c>
      <c r="C19" s="22">
        <v>0</v>
      </c>
      <c r="D19" s="22">
        <v>0</v>
      </c>
      <c r="E19" s="22">
        <v>4498.6499999999996</v>
      </c>
      <c r="F19" s="22">
        <v>0</v>
      </c>
      <c r="G19" s="22">
        <v>0</v>
      </c>
      <c r="H19" s="22">
        <v>5501.3782884885204</v>
      </c>
      <c r="I19" s="22">
        <v>6000.4084999999995</v>
      </c>
      <c r="J19" s="22">
        <v>4998.7655000000004</v>
      </c>
      <c r="K19" s="22">
        <v>7599.5775999999996</v>
      </c>
      <c r="L19" s="22">
        <v>7502.5919319817203</v>
      </c>
      <c r="M19" s="22">
        <v>3999.99500386621</v>
      </c>
      <c r="N19" s="22">
        <v>0</v>
      </c>
      <c r="O19" s="22">
        <v>4001.5222282372001</v>
      </c>
      <c r="P19" s="22">
        <v>0</v>
      </c>
    </row>
    <row r="20" spans="1:16" x14ac:dyDescent="0.3">
      <c r="A20" s="11">
        <v>30717</v>
      </c>
      <c r="B20" s="11" t="s">
        <v>1837</v>
      </c>
      <c r="C20" s="22">
        <v>0</v>
      </c>
      <c r="D20" s="22">
        <v>0</v>
      </c>
      <c r="E20" s="22">
        <v>999.37</v>
      </c>
      <c r="F20" s="22">
        <v>0</v>
      </c>
      <c r="G20" s="22">
        <v>0</v>
      </c>
      <c r="H20" s="22">
        <v>0</v>
      </c>
      <c r="I20" s="22">
        <v>0</v>
      </c>
      <c r="J20" s="22">
        <v>0</v>
      </c>
      <c r="K20" s="22">
        <v>0</v>
      </c>
      <c r="L20" s="22">
        <v>0</v>
      </c>
      <c r="M20" s="22">
        <v>0</v>
      </c>
      <c r="N20" s="22">
        <v>0</v>
      </c>
      <c r="O20" s="22">
        <v>0</v>
      </c>
      <c r="P20" s="22">
        <v>0</v>
      </c>
    </row>
    <row r="21" spans="1:16" x14ac:dyDescent="0.3">
      <c r="A21" s="11">
        <v>30718</v>
      </c>
      <c r="B21" s="11" t="s">
        <v>1836</v>
      </c>
      <c r="C21" s="22">
        <v>0</v>
      </c>
      <c r="D21" s="22">
        <v>0</v>
      </c>
      <c r="E21" s="22">
        <v>0</v>
      </c>
      <c r="F21" s="22">
        <v>0</v>
      </c>
      <c r="G21" s="22">
        <v>0</v>
      </c>
      <c r="H21" s="22">
        <v>0</v>
      </c>
      <c r="I21" s="22">
        <v>0</v>
      </c>
      <c r="J21" s="22">
        <v>0</v>
      </c>
      <c r="K21" s="22">
        <v>0</v>
      </c>
      <c r="L21" s="22">
        <v>0</v>
      </c>
      <c r="M21" s="22">
        <v>380.00928659384601</v>
      </c>
      <c r="N21" s="22">
        <v>0</v>
      </c>
      <c r="O21" s="22">
        <v>0</v>
      </c>
      <c r="P21" s="22">
        <v>0</v>
      </c>
    </row>
    <row r="22" spans="1:16" x14ac:dyDescent="0.3">
      <c r="A22" s="11">
        <v>30719</v>
      </c>
      <c r="B22" s="11" t="s">
        <v>1835</v>
      </c>
      <c r="C22" s="22">
        <v>0</v>
      </c>
      <c r="D22" s="22">
        <v>0</v>
      </c>
      <c r="E22" s="22">
        <v>0</v>
      </c>
      <c r="F22" s="22">
        <v>0</v>
      </c>
      <c r="G22" s="22">
        <v>0</v>
      </c>
      <c r="H22" s="22">
        <v>1500.371194517</v>
      </c>
      <c r="I22" s="22">
        <v>0</v>
      </c>
      <c r="J22" s="22">
        <v>0</v>
      </c>
      <c r="K22" s="22">
        <v>0</v>
      </c>
      <c r="L22" s="22">
        <v>0</v>
      </c>
      <c r="M22" s="22">
        <v>0</v>
      </c>
      <c r="N22" s="22">
        <v>0</v>
      </c>
      <c r="O22" s="22">
        <v>0</v>
      </c>
      <c r="P22" s="22">
        <v>0</v>
      </c>
    </row>
    <row r="23" spans="1:16" x14ac:dyDescent="0.3">
      <c r="A23" s="11">
        <v>30720</v>
      </c>
      <c r="B23" s="11" t="s">
        <v>1834</v>
      </c>
      <c r="C23" s="22">
        <v>0</v>
      </c>
      <c r="D23" s="22">
        <v>0</v>
      </c>
      <c r="E23" s="22">
        <v>0</v>
      </c>
      <c r="F23" s="22">
        <v>0</v>
      </c>
      <c r="G23" s="22">
        <v>0</v>
      </c>
      <c r="H23" s="22">
        <v>2000.54652157601</v>
      </c>
      <c r="I23" s="22">
        <v>0</v>
      </c>
      <c r="J23" s="22">
        <v>0</v>
      </c>
      <c r="K23" s="22">
        <v>0</v>
      </c>
      <c r="L23" s="22">
        <v>0</v>
      </c>
      <c r="M23" s="22">
        <v>0</v>
      </c>
      <c r="N23" s="22">
        <v>0</v>
      </c>
      <c r="O23" s="22">
        <v>0</v>
      </c>
      <c r="P23" s="22">
        <v>0</v>
      </c>
    </row>
    <row r="24" spans="1:16" x14ac:dyDescent="0.3">
      <c r="A24" s="11">
        <v>30721</v>
      </c>
      <c r="B24" s="11" t="s">
        <v>1833</v>
      </c>
      <c r="C24" s="22">
        <v>0</v>
      </c>
      <c r="D24" s="22">
        <v>0</v>
      </c>
      <c r="E24" s="22">
        <v>0</v>
      </c>
      <c r="F24" s="22">
        <v>0</v>
      </c>
      <c r="G24" s="22">
        <v>0</v>
      </c>
      <c r="H24" s="22">
        <v>1000.24242543998</v>
      </c>
      <c r="I24" s="22">
        <v>0</v>
      </c>
      <c r="J24" s="22">
        <v>0</v>
      </c>
      <c r="K24" s="22">
        <v>0</v>
      </c>
      <c r="L24" s="22">
        <v>0</v>
      </c>
      <c r="M24" s="22">
        <v>0</v>
      </c>
      <c r="N24" s="22">
        <v>0</v>
      </c>
      <c r="O24" s="22">
        <v>0</v>
      </c>
      <c r="P24" s="22">
        <v>0</v>
      </c>
    </row>
    <row r="25" spans="1:16" x14ac:dyDescent="0.3">
      <c r="A25" s="11">
        <v>30722</v>
      </c>
      <c r="B25" t="s">
        <v>2213</v>
      </c>
      <c r="C25" s="22">
        <v>0</v>
      </c>
      <c r="D25" s="22">
        <v>0</v>
      </c>
      <c r="E25" s="22">
        <v>0</v>
      </c>
      <c r="F25" s="22">
        <v>0</v>
      </c>
      <c r="G25" s="22">
        <v>0</v>
      </c>
      <c r="H25" s="22">
        <v>0</v>
      </c>
      <c r="I25" s="22">
        <v>1500.2277999999999</v>
      </c>
      <c r="J25" s="22">
        <v>999.99590000000001</v>
      </c>
      <c r="K25" s="22">
        <v>0</v>
      </c>
      <c r="L25" s="22">
        <v>0</v>
      </c>
      <c r="M25" s="22">
        <v>300.03447040045302</v>
      </c>
      <c r="N25" s="22">
        <v>0</v>
      </c>
      <c r="O25" s="22">
        <v>0</v>
      </c>
      <c r="P25" s="22">
        <v>0</v>
      </c>
    </row>
    <row r="26" spans="1:16" x14ac:dyDescent="0.3">
      <c r="A26" s="11">
        <v>30723</v>
      </c>
      <c r="B26" s="85" t="s">
        <v>2900</v>
      </c>
      <c r="C26" s="22">
        <v>0</v>
      </c>
      <c r="D26" s="22">
        <v>0</v>
      </c>
      <c r="E26" s="22">
        <v>0</v>
      </c>
      <c r="F26" s="22">
        <v>0</v>
      </c>
      <c r="G26" s="22">
        <v>0</v>
      </c>
      <c r="H26" s="22">
        <v>0</v>
      </c>
      <c r="I26" s="22">
        <v>0</v>
      </c>
      <c r="J26" s="22">
        <v>0</v>
      </c>
      <c r="K26" s="22">
        <v>0</v>
      </c>
      <c r="L26" s="84">
        <v>2701.0908536192101</v>
      </c>
      <c r="M26" s="84">
        <v>0</v>
      </c>
      <c r="N26" s="84">
        <v>0</v>
      </c>
      <c r="O26" s="84">
        <v>0</v>
      </c>
      <c r="P26" s="22">
        <v>0</v>
      </c>
    </row>
    <row r="27" spans="1:16" x14ac:dyDescent="0.3">
      <c r="A27" s="11">
        <v>30724</v>
      </c>
      <c r="B27" s="11" t="s">
        <v>2942</v>
      </c>
      <c r="C27" s="22">
        <v>0</v>
      </c>
      <c r="D27" s="22">
        <v>0</v>
      </c>
      <c r="E27" s="22">
        <v>0</v>
      </c>
      <c r="F27" s="22">
        <v>0</v>
      </c>
      <c r="G27" s="22">
        <v>0</v>
      </c>
      <c r="H27" s="22">
        <v>0</v>
      </c>
      <c r="I27" s="22">
        <v>0</v>
      </c>
      <c r="J27" s="22">
        <v>0</v>
      </c>
      <c r="K27" s="22">
        <v>0</v>
      </c>
      <c r="L27" s="22">
        <v>0</v>
      </c>
      <c r="M27" s="84">
        <v>0</v>
      </c>
      <c r="N27" s="84">
        <v>499.89337289471399</v>
      </c>
      <c r="O27" s="84">
        <v>0</v>
      </c>
      <c r="P27" s="22">
        <v>0</v>
      </c>
    </row>
    <row r="28" spans="1:16" x14ac:dyDescent="0.3">
      <c r="A28" s="11">
        <v>30725</v>
      </c>
      <c r="B28" s="11" t="s">
        <v>2943</v>
      </c>
      <c r="C28" s="22">
        <v>0</v>
      </c>
      <c r="D28" s="22">
        <v>0</v>
      </c>
      <c r="E28" s="22">
        <v>0</v>
      </c>
      <c r="F28" s="22">
        <v>0</v>
      </c>
      <c r="G28" s="22">
        <v>0</v>
      </c>
      <c r="H28" s="22">
        <v>0</v>
      </c>
      <c r="I28" s="22">
        <v>0</v>
      </c>
      <c r="J28" s="22">
        <v>0</v>
      </c>
      <c r="K28" s="22">
        <v>0</v>
      </c>
      <c r="L28" s="22">
        <v>0</v>
      </c>
      <c r="M28" s="84">
        <v>1199.99310119489</v>
      </c>
      <c r="N28" s="84">
        <v>2199.5308685085802</v>
      </c>
      <c r="O28" s="84">
        <v>0</v>
      </c>
      <c r="P28" s="22">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32"/>
  <sheetViews>
    <sheetView workbookViewId="0">
      <pane xSplit="2" ySplit="2" topLeftCell="J9" activePane="bottomRight" state="frozen"/>
      <selection activeCell="L39" sqref="L39"/>
      <selection pane="topRight" activeCell="L39" sqref="L39"/>
      <selection pane="bottomLeft" activeCell="L39" sqref="L39"/>
      <selection pane="bottomRight" activeCell="O32" sqref="O32"/>
    </sheetView>
  </sheetViews>
  <sheetFormatPr baseColWidth="10" defaultColWidth="9.44140625" defaultRowHeight="14.4" x14ac:dyDescent="0.3"/>
  <cols>
    <col min="1" max="1" width="11" bestFit="1" customWidth="1"/>
    <col min="2" max="2" width="36.44140625" bestFit="1" customWidth="1"/>
    <col min="3" max="15" width="13.5546875" customWidth="1"/>
  </cols>
  <sheetData>
    <row r="1" spans="1:15"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91</v>
      </c>
    </row>
    <row r="2" spans="1:15" x14ac:dyDescent="0.3">
      <c r="A2" s="13" t="s">
        <v>206</v>
      </c>
      <c r="B2" s="13" t="s">
        <v>205</v>
      </c>
      <c r="C2" s="19">
        <v>45261</v>
      </c>
      <c r="D2" s="19">
        <v>45627</v>
      </c>
      <c r="E2" s="14">
        <v>45658</v>
      </c>
      <c r="F2" s="19">
        <v>45689</v>
      </c>
      <c r="G2" s="19">
        <v>45717</v>
      </c>
      <c r="H2" s="19">
        <v>45748</v>
      </c>
      <c r="I2" s="19">
        <v>45778</v>
      </c>
      <c r="J2" s="19">
        <v>45809</v>
      </c>
      <c r="K2" s="19">
        <v>45839</v>
      </c>
      <c r="L2" s="19">
        <v>45870</v>
      </c>
      <c r="M2" s="19">
        <v>45901</v>
      </c>
      <c r="N2" s="19">
        <v>45931</v>
      </c>
      <c r="O2" s="19">
        <v>45962</v>
      </c>
    </row>
    <row r="3" spans="1:15" x14ac:dyDescent="0.3">
      <c r="A3" s="12" t="s">
        <v>1912</v>
      </c>
      <c r="B3" s="11" t="s">
        <v>1911</v>
      </c>
      <c r="C3" s="33">
        <v>3012</v>
      </c>
      <c r="D3" s="33">
        <v>3012</v>
      </c>
      <c r="E3" s="33">
        <v>2009</v>
      </c>
      <c r="F3" s="33">
        <v>2008</v>
      </c>
      <c r="G3" s="33">
        <v>2010</v>
      </c>
      <c r="H3" s="33">
        <v>2010.3184000000001</v>
      </c>
      <c r="I3" s="33">
        <v>2011.4037000000001</v>
      </c>
      <c r="J3" s="33">
        <v>2011.9781</v>
      </c>
      <c r="K3" s="33">
        <v>1000.2430000000001</v>
      </c>
      <c r="L3" s="33">
        <v>0</v>
      </c>
      <c r="M3" s="33">
        <v>0</v>
      </c>
      <c r="N3" s="33">
        <v>0</v>
      </c>
      <c r="O3" s="33">
        <v>0</v>
      </c>
    </row>
    <row r="4" spans="1:15" x14ac:dyDescent="0.3">
      <c r="A4" s="12" t="s">
        <v>1910</v>
      </c>
      <c r="B4" s="11" t="s">
        <v>1909</v>
      </c>
      <c r="C4" s="33">
        <v>4547</v>
      </c>
      <c r="D4" s="33">
        <v>4547</v>
      </c>
      <c r="E4" s="33">
        <v>4551</v>
      </c>
      <c r="F4" s="33">
        <v>4552</v>
      </c>
      <c r="G4" s="33">
        <v>4556</v>
      </c>
      <c r="H4" s="33">
        <v>4559.2057999999997</v>
      </c>
      <c r="I4" s="33">
        <v>4562.6090000000004</v>
      </c>
      <c r="J4" s="33">
        <v>4564.9979000000003</v>
      </c>
      <c r="K4" s="33">
        <v>4554.6247000000003</v>
      </c>
      <c r="L4" s="33">
        <v>4557.7561886522199</v>
      </c>
      <c r="M4" s="33">
        <v>4559.9608120000003</v>
      </c>
      <c r="N4" s="33">
        <v>4589.7662464692903</v>
      </c>
      <c r="O4" s="33">
        <v>4591.81012177096</v>
      </c>
    </row>
    <row r="5" spans="1:15" x14ac:dyDescent="0.3">
      <c r="A5" s="12" t="s">
        <v>1908</v>
      </c>
      <c r="B5" s="11" t="s">
        <v>1907</v>
      </c>
      <c r="C5" s="33">
        <v>31122</v>
      </c>
      <c r="D5" s="33">
        <v>31122</v>
      </c>
      <c r="E5" s="33">
        <v>30298</v>
      </c>
      <c r="F5" s="33">
        <v>33654</v>
      </c>
      <c r="G5" s="33">
        <v>36141</v>
      </c>
      <c r="H5" s="33">
        <v>38629.517999999996</v>
      </c>
      <c r="I5" s="33">
        <v>40057.951699999998</v>
      </c>
      <c r="J5" s="33">
        <v>40016.3989</v>
      </c>
      <c r="K5" s="33">
        <v>38957.057399999998</v>
      </c>
      <c r="L5" s="33">
        <v>43173.862376806203</v>
      </c>
      <c r="M5" s="33">
        <v>47513.264900811802</v>
      </c>
      <c r="N5" s="33">
        <v>46455.259168996497</v>
      </c>
      <c r="O5" s="33">
        <v>49771.027058587199</v>
      </c>
    </row>
    <row r="6" spans="1:15" x14ac:dyDescent="0.3">
      <c r="A6" s="12" t="s">
        <v>1906</v>
      </c>
      <c r="B6" s="11" t="s">
        <v>1905</v>
      </c>
      <c r="C6" s="33">
        <v>0</v>
      </c>
      <c r="D6" s="33">
        <v>0</v>
      </c>
      <c r="E6" s="33">
        <v>0</v>
      </c>
      <c r="F6" s="33">
        <v>0</v>
      </c>
      <c r="G6" s="33">
        <v>0</v>
      </c>
      <c r="H6" s="33">
        <v>0</v>
      </c>
      <c r="I6" s="33">
        <v>0</v>
      </c>
      <c r="J6" s="33">
        <v>0</v>
      </c>
      <c r="K6" s="33">
        <v>0</v>
      </c>
      <c r="L6" s="33">
        <v>0</v>
      </c>
      <c r="M6" s="33">
        <v>0</v>
      </c>
      <c r="N6" s="33">
        <v>0</v>
      </c>
      <c r="O6" s="33">
        <v>0</v>
      </c>
    </row>
    <row r="7" spans="1:15" x14ac:dyDescent="0.3">
      <c r="A7" s="12" t="s">
        <v>1904</v>
      </c>
      <c r="B7" s="11" t="s">
        <v>1903</v>
      </c>
      <c r="C7" s="33">
        <v>0</v>
      </c>
      <c r="D7" s="33">
        <v>0</v>
      </c>
      <c r="E7" s="33">
        <v>0</v>
      </c>
      <c r="F7" s="33">
        <v>0</v>
      </c>
      <c r="G7" s="33">
        <v>0</v>
      </c>
      <c r="H7" s="33">
        <v>0</v>
      </c>
      <c r="I7" s="33">
        <v>0</v>
      </c>
      <c r="J7" s="33">
        <v>0</v>
      </c>
      <c r="K7" s="33">
        <v>0</v>
      </c>
      <c r="L7" s="33">
        <v>0</v>
      </c>
      <c r="M7" s="33">
        <v>0</v>
      </c>
      <c r="N7" s="33">
        <v>0</v>
      </c>
      <c r="O7" s="33">
        <v>0</v>
      </c>
    </row>
    <row r="8" spans="1:15" x14ac:dyDescent="0.3">
      <c r="A8" s="12" t="s">
        <v>1902</v>
      </c>
      <c r="B8" s="11" t="s">
        <v>1901</v>
      </c>
      <c r="C8" s="33">
        <v>502</v>
      </c>
      <c r="D8" s="33">
        <v>502</v>
      </c>
      <c r="E8" s="33">
        <v>506</v>
      </c>
      <c r="F8" s="33">
        <v>497</v>
      </c>
      <c r="G8" s="33">
        <v>492</v>
      </c>
      <c r="H8" s="33">
        <v>496.57150000000001</v>
      </c>
      <c r="I8" s="33">
        <v>481.46620000000001</v>
      </c>
      <c r="J8" s="33">
        <v>484.8227</v>
      </c>
      <c r="K8" s="33">
        <v>488.61340000000001</v>
      </c>
      <c r="L8" s="33">
        <v>492.66665888426002</v>
      </c>
      <c r="M8" s="33">
        <v>496.06986424910298</v>
      </c>
      <c r="N8" s="33">
        <v>499.79543964110798</v>
      </c>
      <c r="O8" s="33">
        <v>502.82099810595003</v>
      </c>
    </row>
    <row r="9" spans="1:15" x14ac:dyDescent="0.3">
      <c r="A9" s="12" t="s">
        <v>1900</v>
      </c>
      <c r="B9" s="11" t="s">
        <v>1899</v>
      </c>
      <c r="C9" s="33">
        <v>2656</v>
      </c>
      <c r="D9" s="33">
        <v>2656</v>
      </c>
      <c r="E9" s="33">
        <v>1143</v>
      </c>
      <c r="F9" s="33">
        <v>1619</v>
      </c>
      <c r="G9" s="33">
        <v>1719</v>
      </c>
      <c r="H9" s="33">
        <v>1239.8969</v>
      </c>
      <c r="I9" s="33">
        <v>2228.3229999999999</v>
      </c>
      <c r="J9" s="33">
        <v>856.4203</v>
      </c>
      <c r="K9" s="33">
        <v>2301.2435999999998</v>
      </c>
      <c r="L9" s="33">
        <v>573.29863189881701</v>
      </c>
      <c r="M9" s="33">
        <v>650.35616366931504</v>
      </c>
      <c r="N9" s="33">
        <v>3810.4448700154899</v>
      </c>
      <c r="O9" s="33">
        <v>2437.1011977469202</v>
      </c>
    </row>
    <row r="10" spans="1:15" x14ac:dyDescent="0.3">
      <c r="A10" s="12" t="s">
        <v>1898</v>
      </c>
      <c r="B10" s="11" t="s">
        <v>1897</v>
      </c>
      <c r="C10" s="33">
        <v>0</v>
      </c>
      <c r="D10" s="33">
        <v>0</v>
      </c>
      <c r="E10" s="33">
        <v>0</v>
      </c>
      <c r="F10" s="33">
        <v>0</v>
      </c>
      <c r="G10" s="33">
        <v>0</v>
      </c>
      <c r="H10" s="33">
        <v>0</v>
      </c>
      <c r="I10" s="33">
        <v>0</v>
      </c>
      <c r="J10" s="33">
        <v>0</v>
      </c>
      <c r="K10" s="33">
        <v>0</v>
      </c>
      <c r="L10" s="33">
        <v>0</v>
      </c>
      <c r="M10" s="33">
        <v>0</v>
      </c>
      <c r="N10" s="33">
        <v>0</v>
      </c>
      <c r="O10" s="33">
        <v>0</v>
      </c>
    </row>
    <row r="11" spans="1:15" x14ac:dyDescent="0.3">
      <c r="A11" s="12" t="s">
        <v>1896</v>
      </c>
      <c r="B11" s="11" t="s">
        <v>1895</v>
      </c>
      <c r="C11" s="33">
        <v>0</v>
      </c>
      <c r="D11" s="33">
        <v>0</v>
      </c>
      <c r="E11" s="33">
        <v>0</v>
      </c>
      <c r="F11" s="33">
        <v>0</v>
      </c>
      <c r="G11" s="33">
        <v>0</v>
      </c>
      <c r="H11" s="33">
        <v>0</v>
      </c>
      <c r="I11" s="33">
        <v>0</v>
      </c>
      <c r="J11" s="33">
        <v>0</v>
      </c>
      <c r="K11" s="33">
        <v>0</v>
      </c>
      <c r="L11" s="33">
        <v>0</v>
      </c>
      <c r="M11" s="33">
        <v>0</v>
      </c>
      <c r="N11" s="33">
        <v>0</v>
      </c>
      <c r="O11" s="33">
        <v>0</v>
      </c>
    </row>
    <row r="12" spans="1:15" x14ac:dyDescent="0.3">
      <c r="A12" s="12" t="s">
        <v>1894</v>
      </c>
      <c r="B12" s="11" t="s">
        <v>1893</v>
      </c>
      <c r="C12" s="33">
        <v>847</v>
      </c>
      <c r="D12" s="33">
        <v>847</v>
      </c>
      <c r="E12" s="33">
        <v>854</v>
      </c>
      <c r="F12" s="33">
        <v>860</v>
      </c>
      <c r="G12" s="33">
        <v>0</v>
      </c>
      <c r="H12" s="33">
        <v>0</v>
      </c>
      <c r="I12" s="33">
        <v>0</v>
      </c>
      <c r="J12" s="33">
        <v>0</v>
      </c>
      <c r="K12" s="33">
        <v>0</v>
      </c>
      <c r="L12" s="33">
        <v>0</v>
      </c>
      <c r="M12" s="33">
        <v>0</v>
      </c>
      <c r="N12" s="33">
        <v>0</v>
      </c>
      <c r="O12" s="33">
        <v>0</v>
      </c>
    </row>
    <row r="13" spans="1:15" x14ac:dyDescent="0.3">
      <c r="A13" s="12" t="s">
        <v>1892</v>
      </c>
      <c r="B13" s="11" t="s">
        <v>1891</v>
      </c>
      <c r="C13" s="33">
        <v>1243</v>
      </c>
      <c r="D13" s="33">
        <v>1243</v>
      </c>
      <c r="E13" s="33">
        <v>1244</v>
      </c>
      <c r="F13" s="33">
        <v>1244</v>
      </c>
      <c r="G13" s="33">
        <v>1245</v>
      </c>
      <c r="H13" s="33">
        <v>1245.6795999999999</v>
      </c>
      <c r="I13" s="33">
        <v>1246.3556000000001</v>
      </c>
      <c r="J13" s="33">
        <v>1246.7909999999999</v>
      </c>
      <c r="K13" s="33">
        <v>1247.1822</v>
      </c>
      <c r="L13" s="33">
        <v>1244.54870620461</v>
      </c>
      <c r="M13" s="33">
        <v>1240.4890585703799</v>
      </c>
      <c r="N13" s="33">
        <v>1241.3494511583499</v>
      </c>
      <c r="O13" s="33">
        <v>740.86076140747105</v>
      </c>
    </row>
    <row r="14" spans="1:15" x14ac:dyDescent="0.3">
      <c r="A14" s="12" t="s">
        <v>1890</v>
      </c>
      <c r="B14" s="11" t="s">
        <v>1889</v>
      </c>
      <c r="C14" s="62">
        <v>6901.6151069999996</v>
      </c>
      <c r="D14" s="62">
        <v>6901.6151069999996</v>
      </c>
      <c r="E14" s="62">
        <v>4389.4987620000002</v>
      </c>
      <c r="F14" s="62">
        <v>4867.8252039999998</v>
      </c>
      <c r="G14" s="62">
        <v>4965.9946769999997</v>
      </c>
      <c r="H14" s="33">
        <v>4486.6356539999997</v>
      </c>
      <c r="I14" s="33">
        <v>5477.6367250000003</v>
      </c>
      <c r="J14" s="33">
        <v>4097.6678240000001</v>
      </c>
      <c r="K14" s="33">
        <v>4546.5212499999998</v>
      </c>
      <c r="L14" s="33">
        <v>1814.5237459999998</v>
      </c>
      <c r="M14" s="33">
        <v>1892.1514649999999</v>
      </c>
      <c r="N14" s="33">
        <v>5061.1094919999996</v>
      </c>
      <c r="O14" s="33">
        <v>3184.8517579999998</v>
      </c>
    </row>
    <row r="15" spans="1:15" x14ac:dyDescent="0.3">
      <c r="A15" s="12" t="s">
        <v>1888</v>
      </c>
      <c r="B15" s="11" t="s">
        <v>1887</v>
      </c>
      <c r="C15" s="62">
        <v>4546.5169000000005</v>
      </c>
      <c r="D15" s="62">
        <v>4546.5169000000005</v>
      </c>
      <c r="E15" s="62">
        <v>4546.5169000000005</v>
      </c>
      <c r="F15" s="62">
        <v>4546.5169000000005</v>
      </c>
      <c r="G15" s="62">
        <v>4546.5169000000005</v>
      </c>
      <c r="H15" s="33">
        <v>4546.5169000000005</v>
      </c>
      <c r="I15" s="33">
        <v>4546.5169000000005</v>
      </c>
      <c r="J15" s="33">
        <v>4546.5169000000005</v>
      </c>
      <c r="K15" s="33">
        <v>4546.5169000000005</v>
      </c>
      <c r="L15" s="33">
        <v>4546.5169000000005</v>
      </c>
      <c r="M15" s="33">
        <v>4546.5169000000005</v>
      </c>
      <c r="N15" s="33">
        <v>4588.4170000000004</v>
      </c>
      <c r="O15" s="33">
        <v>4588.4170000000004</v>
      </c>
    </row>
    <row r="16" spans="1:15" x14ac:dyDescent="0.3">
      <c r="A16" s="12" t="s">
        <v>1886</v>
      </c>
      <c r="B16" s="11" t="s">
        <v>1885</v>
      </c>
      <c r="C16" s="62">
        <v>32916.860339999999</v>
      </c>
      <c r="D16" s="62">
        <v>32916.860339999999</v>
      </c>
      <c r="E16" s="62">
        <v>32887.79146</v>
      </c>
      <c r="F16" s="62">
        <v>35912.956299999998</v>
      </c>
      <c r="G16" s="62">
        <v>39359.764770000002</v>
      </c>
      <c r="H16" s="62">
        <v>42243.734100000001</v>
      </c>
      <c r="I16" s="62">
        <v>43721.696790000002</v>
      </c>
      <c r="J16" s="62">
        <v>43852.589240000001</v>
      </c>
      <c r="K16" s="62">
        <v>42640.773240000002</v>
      </c>
      <c r="L16" s="62">
        <v>47022.183540000005</v>
      </c>
      <c r="M16" s="62">
        <v>50792.614200000004</v>
      </c>
      <c r="N16" s="62">
        <v>50572.58928</v>
      </c>
      <c r="O16" s="62">
        <v>54129.109920000003</v>
      </c>
    </row>
    <row r="17" spans="1:15" x14ac:dyDescent="0.3">
      <c r="A17" s="12" t="s">
        <v>1866</v>
      </c>
      <c r="B17" s="11" t="s">
        <v>1884</v>
      </c>
      <c r="C17" s="62">
        <v>840</v>
      </c>
      <c r="D17" s="62">
        <v>840</v>
      </c>
      <c r="E17" s="62">
        <v>840</v>
      </c>
      <c r="F17" s="62">
        <v>840</v>
      </c>
      <c r="G17" s="62">
        <v>0</v>
      </c>
      <c r="H17" s="62">
        <v>0</v>
      </c>
      <c r="I17" s="33">
        <v>0</v>
      </c>
      <c r="J17" s="62">
        <v>0</v>
      </c>
      <c r="K17" s="62">
        <v>0</v>
      </c>
      <c r="L17" s="62">
        <v>0</v>
      </c>
      <c r="M17" s="62">
        <v>0</v>
      </c>
      <c r="N17" s="62">
        <v>0</v>
      </c>
      <c r="O17" s="62">
        <v>0</v>
      </c>
    </row>
    <row r="18" spans="1:15" x14ac:dyDescent="0.3">
      <c r="A18" s="12" t="s">
        <v>1883</v>
      </c>
      <c r="B18" s="11" t="s">
        <v>1882</v>
      </c>
      <c r="C18" s="62">
        <v>513.34904300000005</v>
      </c>
      <c r="D18" s="62">
        <v>513.34904300000005</v>
      </c>
      <c r="E18" s="62">
        <v>513.34904300000005</v>
      </c>
      <c r="F18" s="62">
        <v>516.21142899999995</v>
      </c>
      <c r="G18" s="62">
        <v>519.24376700000005</v>
      </c>
      <c r="H18" s="62">
        <v>519.24376700000005</v>
      </c>
      <c r="I18" s="62">
        <v>514.93154400000003</v>
      </c>
      <c r="J18" s="62">
        <v>514.93154400000003</v>
      </c>
      <c r="K18" s="62">
        <v>514.93154400000003</v>
      </c>
      <c r="L18" s="62">
        <v>514.93154300000003</v>
      </c>
      <c r="M18" s="62">
        <v>514.93154300000003</v>
      </c>
      <c r="N18" s="62">
        <v>514.93154300000003</v>
      </c>
      <c r="O18" s="62">
        <v>514.93154300000003</v>
      </c>
    </row>
    <row r="19" spans="1:15" x14ac:dyDescent="0.3">
      <c r="A19" s="12" t="s">
        <v>1881</v>
      </c>
      <c r="B19" s="11" t="s">
        <v>1880</v>
      </c>
      <c r="C19" s="33">
        <v>-0.68509476999999996</v>
      </c>
      <c r="D19" s="33">
        <v>-0.68509476999999996</v>
      </c>
      <c r="E19" s="33">
        <v>-0.73275206000000004</v>
      </c>
      <c r="F19" s="33">
        <v>-1.0322631099999999</v>
      </c>
      <c r="G19" s="33">
        <v>-0.87402483999999991</v>
      </c>
      <c r="H19" s="33">
        <v>-0.85408823999999994</v>
      </c>
      <c r="I19" s="33">
        <v>-1.2564616799999999</v>
      </c>
      <c r="J19" s="33">
        <v>-0.26032843</v>
      </c>
      <c r="K19" s="33">
        <v>-0.73926024000000001</v>
      </c>
      <c r="L19" s="33">
        <v>-0.24527335</v>
      </c>
      <c r="M19" s="33">
        <v>-0.29745721000000003</v>
      </c>
      <c r="N19" s="33">
        <v>-1.4747268999999998</v>
      </c>
      <c r="O19" s="33">
        <v>-1.24339219</v>
      </c>
    </row>
    <row r="20" spans="1:15" x14ac:dyDescent="0.3">
      <c r="A20" s="12" t="s">
        <v>1879</v>
      </c>
      <c r="B20" s="11" t="s">
        <v>1878</v>
      </c>
      <c r="C20" s="33">
        <v>-3.3939120000000003E-2</v>
      </c>
      <c r="D20" s="33">
        <v>-3.3939120000000003E-2</v>
      </c>
      <c r="E20" s="33">
        <v>-3.9412639999999999E-2</v>
      </c>
      <c r="F20" s="33">
        <v>-5.0062169999999996E-2</v>
      </c>
      <c r="G20" s="33">
        <v>-6.2613790000000003E-2</v>
      </c>
      <c r="H20" s="33">
        <v>-6.8313029999999997E-2</v>
      </c>
      <c r="I20" s="33">
        <v>-7.6587849999999999E-2</v>
      </c>
      <c r="J20" s="33">
        <v>-9.164013E-2</v>
      </c>
      <c r="K20" s="33">
        <v>-9.1923070000000009E-2</v>
      </c>
      <c r="L20" s="33">
        <v>-9.6788619999999992E-2</v>
      </c>
      <c r="M20" s="33">
        <v>-0.10072771000000001</v>
      </c>
      <c r="N20" s="33">
        <v>-0.11462391000000001</v>
      </c>
      <c r="O20" s="33">
        <v>-0.11655902999999999</v>
      </c>
    </row>
    <row r="21" spans="1:15" x14ac:dyDescent="0.3">
      <c r="A21" s="12" t="s">
        <v>1877</v>
      </c>
      <c r="B21" s="11" t="s">
        <v>1876</v>
      </c>
      <c r="C21" s="33">
        <v>-218.09941924</v>
      </c>
      <c r="D21" s="33">
        <v>-218.09941924</v>
      </c>
      <c r="E21" s="33">
        <v>-233.8531198</v>
      </c>
      <c r="F21" s="33">
        <v>-277.41414837000002</v>
      </c>
      <c r="G21" s="33">
        <v>-318.92118706000002</v>
      </c>
      <c r="H21" s="33">
        <v>-369.16259504000004</v>
      </c>
      <c r="I21" s="33">
        <v>-382.66138148000005</v>
      </c>
      <c r="J21" s="33">
        <v>-398.90731224000001</v>
      </c>
      <c r="K21" s="33">
        <v>-389.35569619</v>
      </c>
      <c r="L21" s="33">
        <v>-423.67902000999999</v>
      </c>
      <c r="M21" s="33">
        <v>-470.57201908999997</v>
      </c>
      <c r="N21" s="33">
        <v>-481.76083582999996</v>
      </c>
      <c r="O21" s="33">
        <v>-503.80228650999999</v>
      </c>
    </row>
    <row r="22" spans="1:15" x14ac:dyDescent="0.3">
      <c r="A22" s="12">
        <v>3010400000</v>
      </c>
      <c r="B22" s="11" t="s">
        <v>1875</v>
      </c>
      <c r="C22" s="33">
        <v>-0.40141517999999998</v>
      </c>
      <c r="D22" s="33">
        <v>-0.40141517999999998</v>
      </c>
      <c r="E22" s="33">
        <v>-0.21075838</v>
      </c>
      <c r="F22" s="33">
        <v>-3.7330129999999996E-2</v>
      </c>
      <c r="G22" s="33">
        <v>0</v>
      </c>
      <c r="H22" s="33">
        <v>0</v>
      </c>
      <c r="I22" s="33">
        <v>0</v>
      </c>
      <c r="J22" s="33">
        <v>0</v>
      </c>
      <c r="K22" s="33">
        <v>0</v>
      </c>
      <c r="L22" s="33">
        <v>0</v>
      </c>
      <c r="M22" s="33">
        <v>0</v>
      </c>
      <c r="N22" s="33">
        <v>0</v>
      </c>
      <c r="O22" s="33">
        <v>0</v>
      </c>
    </row>
    <row r="23" spans="1:15" x14ac:dyDescent="0.3">
      <c r="A23" s="12" t="s">
        <v>1874</v>
      </c>
      <c r="B23" s="11" t="s">
        <v>1873</v>
      </c>
      <c r="C23" s="33">
        <v>-1.1104050400000001</v>
      </c>
      <c r="D23" s="33">
        <v>-1.1104050400000001</v>
      </c>
      <c r="E23" s="33">
        <v>-0.70534998999999998</v>
      </c>
      <c r="F23" s="33">
        <v>-1.9091052800000001</v>
      </c>
      <c r="G23" s="33">
        <v>-2.8028535699999999</v>
      </c>
      <c r="H23" s="33">
        <v>-2.4635655000000001</v>
      </c>
      <c r="I23" s="33">
        <v>-3.7266607</v>
      </c>
      <c r="J23" s="33">
        <v>-3.3909318900000001</v>
      </c>
      <c r="K23" s="33">
        <v>-3.0515345800000002</v>
      </c>
      <c r="L23" s="33">
        <v>-2.72529157</v>
      </c>
      <c r="M23" s="33">
        <v>-2.3437260499999999</v>
      </c>
      <c r="N23" s="33">
        <v>-1.96596365</v>
      </c>
      <c r="O23" s="33">
        <v>-1.6101555300000001</v>
      </c>
    </row>
    <row r="24" spans="1:15" x14ac:dyDescent="0.3">
      <c r="A24" s="12" t="s">
        <v>1872</v>
      </c>
      <c r="B24" s="11" t="s">
        <v>1871</v>
      </c>
      <c r="C24" s="33">
        <v>0.68537455000000003</v>
      </c>
      <c r="D24" s="33">
        <v>0.68537455000000003</v>
      </c>
      <c r="E24" s="33">
        <v>0.73351785000000003</v>
      </c>
      <c r="F24" s="33">
        <v>1.03343121</v>
      </c>
      <c r="G24" s="33">
        <v>0.87493668999999996</v>
      </c>
      <c r="H24" s="33">
        <v>0.85507840000000002</v>
      </c>
      <c r="I24" s="33">
        <v>1.2579491699999998</v>
      </c>
      <c r="J24" s="33">
        <v>0.26040404</v>
      </c>
      <c r="K24" s="33">
        <v>0.73979861000000002</v>
      </c>
      <c r="L24" s="33">
        <v>0.24547286999999998</v>
      </c>
      <c r="M24" s="33">
        <v>0.29776793000000001</v>
      </c>
      <c r="N24" s="33">
        <v>1.4762785199999999</v>
      </c>
      <c r="O24" s="33">
        <v>1.24494481</v>
      </c>
    </row>
    <row r="25" spans="1:15" x14ac:dyDescent="0.3">
      <c r="A25" s="12" t="s">
        <v>1870</v>
      </c>
      <c r="B25" s="11" t="s">
        <v>1869</v>
      </c>
      <c r="C25" s="33">
        <v>3.2908079999999999E-2</v>
      </c>
      <c r="D25" s="33">
        <v>3.2908079999999999E-2</v>
      </c>
      <c r="E25" s="33">
        <v>3.8486800000000002E-2</v>
      </c>
      <c r="F25" s="33">
        <v>4.9291330000000001E-2</v>
      </c>
      <c r="G25" s="33">
        <v>6.2001089999999995E-2</v>
      </c>
      <c r="H25" s="33">
        <v>6.7787840000000002E-2</v>
      </c>
      <c r="I25" s="33">
        <v>7.6162570000000013E-2</v>
      </c>
      <c r="J25" s="33">
        <v>9.1354409999999997E-2</v>
      </c>
      <c r="K25" s="33">
        <v>9.1660850000000002E-2</v>
      </c>
      <c r="L25" s="33">
        <v>9.6579509999999993E-2</v>
      </c>
      <c r="M25" s="33">
        <v>0.100559</v>
      </c>
      <c r="N25" s="33">
        <v>0.11454433</v>
      </c>
      <c r="O25" s="33">
        <v>0.1165018</v>
      </c>
    </row>
    <row r="26" spans="1:15" x14ac:dyDescent="0.3">
      <c r="A26" s="12" t="s">
        <v>1868</v>
      </c>
      <c r="B26" s="11" t="s">
        <v>1867</v>
      </c>
      <c r="C26" s="33">
        <v>222.81486537000001</v>
      </c>
      <c r="D26" s="33">
        <v>222.81486537000001</v>
      </c>
      <c r="E26" s="33">
        <v>239.13744312</v>
      </c>
      <c r="F26" s="33">
        <v>284.22464052999999</v>
      </c>
      <c r="G26" s="33">
        <v>327.05474618</v>
      </c>
      <c r="H26" s="33">
        <v>378.72673104</v>
      </c>
      <c r="I26" s="33">
        <v>392.50112838000001</v>
      </c>
      <c r="J26" s="33">
        <v>409.17474736999998</v>
      </c>
      <c r="K26" s="33">
        <v>399.11663630000004</v>
      </c>
      <c r="L26" s="33">
        <v>434.43146551000001</v>
      </c>
      <c r="M26" s="33">
        <v>482.81680869999997</v>
      </c>
      <c r="N26" s="33">
        <v>494.19329169000002</v>
      </c>
      <c r="O26" s="33">
        <v>516.77457912</v>
      </c>
    </row>
    <row r="27" spans="1:15" x14ac:dyDescent="0.3">
      <c r="A27" s="12" t="s">
        <v>1866</v>
      </c>
      <c r="B27" s="11" t="s">
        <v>1865</v>
      </c>
      <c r="C27" s="33">
        <v>0.40521896999999996</v>
      </c>
      <c r="D27" s="33">
        <v>0.40521896999999996</v>
      </c>
      <c r="E27" s="33">
        <v>0.21275666000000001</v>
      </c>
      <c r="F27" s="33">
        <v>3.7684800000000004E-2</v>
      </c>
      <c r="G27" s="33">
        <v>0</v>
      </c>
      <c r="H27" s="33">
        <v>0</v>
      </c>
      <c r="I27" s="33">
        <v>0</v>
      </c>
      <c r="J27" s="33">
        <v>0</v>
      </c>
      <c r="K27" s="33">
        <v>0</v>
      </c>
      <c r="L27" s="33">
        <v>0</v>
      </c>
      <c r="M27" s="33">
        <v>0</v>
      </c>
      <c r="N27" s="33">
        <v>0</v>
      </c>
      <c r="O27" s="33">
        <v>0</v>
      </c>
    </row>
    <row r="28" spans="1:15" x14ac:dyDescent="0.3">
      <c r="A28" s="12" t="s">
        <v>1864</v>
      </c>
      <c r="B28" s="11" t="s">
        <v>1863</v>
      </c>
      <c r="C28" s="33">
        <v>1.11681823</v>
      </c>
      <c r="D28" s="33">
        <v>1.11681823</v>
      </c>
      <c r="E28" s="33">
        <v>0.70855237999999998</v>
      </c>
      <c r="F28" s="33">
        <v>1.9380335099999999</v>
      </c>
      <c r="G28" s="33">
        <v>2.8485221600000004</v>
      </c>
      <c r="H28" s="33">
        <v>2.5020698599999998</v>
      </c>
      <c r="I28" s="33">
        <v>3.7864862100000001</v>
      </c>
      <c r="J28" s="33">
        <v>3.4404797299999998</v>
      </c>
      <c r="K28" s="33">
        <v>3.0914735899999997</v>
      </c>
      <c r="L28" s="33">
        <v>2.75719439</v>
      </c>
      <c r="M28" s="33">
        <v>2.3676862200000004</v>
      </c>
      <c r="N28" s="33">
        <v>1.98305452</v>
      </c>
      <c r="O28" s="33">
        <v>1.6219711499999998</v>
      </c>
    </row>
    <row r="29" spans="1:15" x14ac:dyDescent="0.3">
      <c r="A29" s="12" t="s">
        <v>1862</v>
      </c>
      <c r="B29" s="11" t="s">
        <v>1861</v>
      </c>
      <c r="C29" s="33">
        <v>-2.53706495</v>
      </c>
      <c r="D29" s="33">
        <v>-2.53706495</v>
      </c>
      <c r="E29" s="33">
        <v>-2.2549046699999997</v>
      </c>
      <c r="F29" s="33">
        <v>-2.0945651700000001</v>
      </c>
      <c r="G29" s="33">
        <v>-1.6975614299999999</v>
      </c>
      <c r="H29" s="33">
        <v>-1.51133618</v>
      </c>
      <c r="I29" s="33">
        <v>-1.25589847</v>
      </c>
      <c r="J29" s="33">
        <v>-0.98821435000000002</v>
      </c>
      <c r="K29" s="33">
        <v>-0.79147571999999999</v>
      </c>
      <c r="L29" s="33">
        <v>-0.62231281999999999</v>
      </c>
      <c r="M29" s="33">
        <v>-0.51703029</v>
      </c>
      <c r="N29" s="33">
        <v>-0.41403817999999998</v>
      </c>
      <c r="O29" s="33">
        <v>-0.33003913000000001</v>
      </c>
    </row>
    <row r="30" spans="1:15" x14ac:dyDescent="0.3">
      <c r="A30" s="12" t="s">
        <v>1860</v>
      </c>
      <c r="B30" s="11" t="s">
        <v>1859</v>
      </c>
      <c r="C30" s="33">
        <v>2.5395683900000003</v>
      </c>
      <c r="D30" s="33">
        <v>2.5395683900000003</v>
      </c>
      <c r="E30" s="33">
        <v>2.2569995999999999</v>
      </c>
      <c r="F30" s="33">
        <v>2.09651079</v>
      </c>
      <c r="G30" s="33">
        <v>1.6988458899999999</v>
      </c>
      <c r="H30" s="33">
        <v>1.5124935100000001</v>
      </c>
      <c r="I30" s="33">
        <v>1.2568174999999999</v>
      </c>
      <c r="J30" s="33">
        <v>0.98892819999999992</v>
      </c>
      <c r="K30" s="33">
        <v>0.79202700999999998</v>
      </c>
      <c r="L30" s="33">
        <v>0.62274144999999992</v>
      </c>
      <c r="M30" s="33">
        <v>0.51735275999999997</v>
      </c>
      <c r="N30" s="33">
        <v>0.4142747</v>
      </c>
      <c r="O30" s="33">
        <v>0.33021334000000002</v>
      </c>
    </row>
    <row r="31" spans="1:15" x14ac:dyDescent="0.3">
      <c r="A31" s="12" t="s">
        <v>1858</v>
      </c>
      <c r="B31" s="11" t="s">
        <v>1857</v>
      </c>
      <c r="C31" s="33">
        <v>-13.545849220000001</v>
      </c>
      <c r="D31" s="33">
        <v>-13.545849220000001</v>
      </c>
      <c r="E31" s="33">
        <v>-12.899437320000001</v>
      </c>
      <c r="F31" s="33">
        <v>-12.347335259999999</v>
      </c>
      <c r="G31" s="33">
        <v>-5.8560805</v>
      </c>
      <c r="H31" s="33">
        <v>-5.5202406399999999</v>
      </c>
      <c r="I31" s="33">
        <v>-5.2040614700000001</v>
      </c>
      <c r="J31" s="33">
        <v>-4.8679628899999994</v>
      </c>
      <c r="K31" s="33">
        <v>-4.5121575499999995</v>
      </c>
      <c r="L31" s="33">
        <v>-4.1807414899999999</v>
      </c>
      <c r="M31" s="33">
        <v>-3.8099298900000003</v>
      </c>
      <c r="N31" s="33">
        <v>-3.52080423</v>
      </c>
      <c r="O31" s="33">
        <v>-3.1875200399999999</v>
      </c>
    </row>
    <row r="32" spans="1:15" x14ac:dyDescent="0.3">
      <c r="A32" s="12" t="s">
        <v>1856</v>
      </c>
      <c r="B32" s="11" t="s">
        <v>1855</v>
      </c>
      <c r="C32" s="33">
        <v>13.568394380000001</v>
      </c>
      <c r="D32" s="33">
        <v>13.568394380000001</v>
      </c>
      <c r="E32" s="33">
        <v>12.919883460000001</v>
      </c>
      <c r="F32" s="33">
        <v>12.366043380000001</v>
      </c>
      <c r="G32" s="33">
        <v>5.86449409</v>
      </c>
      <c r="H32" s="33">
        <v>5.5277380100000002</v>
      </c>
      <c r="I32" s="33">
        <v>5.2107328499999994</v>
      </c>
      <c r="J32" s="33">
        <v>4.8738160599999993</v>
      </c>
      <c r="K32" s="33">
        <v>4.5172172599999998</v>
      </c>
      <c r="L32" s="33">
        <v>4.1851147299999996</v>
      </c>
      <c r="M32" s="33">
        <v>3.81359878</v>
      </c>
      <c r="N32" s="33">
        <v>3.5239871200000001</v>
      </c>
      <c r="O32" s="33">
        <v>3.1901767699999999</v>
      </c>
    </row>
  </sheetData>
  <conditionalFormatting sqref="A1:A1048576">
    <cfRule type="duplicateValues" dxfId="0" priority="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48"/>
  <sheetViews>
    <sheetView zoomScaleNormal="100" workbookViewId="0">
      <pane xSplit="2" ySplit="2" topLeftCell="O36" activePane="bottomRight" state="frozen"/>
      <selection pane="topRight" activeCell="C1" sqref="C1"/>
      <selection pane="bottomLeft" activeCell="A3" sqref="A3"/>
      <selection pane="bottomRight" activeCell="P46" sqref="P46"/>
    </sheetView>
  </sheetViews>
  <sheetFormatPr baseColWidth="10" defaultColWidth="9.44140625" defaultRowHeight="14.4" x14ac:dyDescent="0.3"/>
  <cols>
    <col min="1" max="1" width="13.44140625" customWidth="1"/>
    <col min="2" max="2" width="33.5546875" bestFit="1" customWidth="1"/>
    <col min="3" max="18" width="13.5546875" style="1" customWidth="1"/>
  </cols>
  <sheetData>
    <row r="1" spans="1:18"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c r="P1" s="12" t="s">
        <v>92</v>
      </c>
      <c r="Q1" s="12" t="s">
        <v>92</v>
      </c>
      <c r="R1" s="12" t="s">
        <v>91</v>
      </c>
    </row>
    <row r="2" spans="1:18" x14ac:dyDescent="0.3">
      <c r="A2" s="13" t="s">
        <v>206</v>
      </c>
      <c r="B2" s="13" t="s">
        <v>205</v>
      </c>
      <c r="C2" s="19">
        <v>45261</v>
      </c>
      <c r="D2" s="19">
        <v>45566</v>
      </c>
      <c r="E2" s="19">
        <v>45597</v>
      </c>
      <c r="F2" s="19">
        <v>45627</v>
      </c>
      <c r="G2" s="19">
        <v>45658</v>
      </c>
      <c r="H2" s="19">
        <v>45689</v>
      </c>
      <c r="I2" s="19">
        <v>45717</v>
      </c>
      <c r="J2" s="19">
        <v>45748</v>
      </c>
      <c r="K2" s="19">
        <v>45778</v>
      </c>
      <c r="L2" s="19">
        <v>45809</v>
      </c>
      <c r="M2" s="19">
        <v>45839</v>
      </c>
      <c r="N2" s="19">
        <v>45870</v>
      </c>
      <c r="O2" s="19">
        <v>45901</v>
      </c>
      <c r="P2" s="19">
        <v>45931</v>
      </c>
      <c r="Q2" s="19">
        <v>45962</v>
      </c>
      <c r="R2" s="19">
        <v>45992</v>
      </c>
    </row>
    <row r="3" spans="1:18" x14ac:dyDescent="0.3">
      <c r="A3" s="18" t="s">
        <v>1946</v>
      </c>
      <c r="B3" s="11" t="s">
        <v>1945</v>
      </c>
      <c r="C3" s="23">
        <v>13536</v>
      </c>
      <c r="D3" s="23"/>
      <c r="E3" s="23"/>
      <c r="F3" s="23">
        <v>13536</v>
      </c>
      <c r="G3" s="23">
        <v>13590</v>
      </c>
      <c r="H3" s="23">
        <v>12834</v>
      </c>
      <c r="I3" s="23">
        <v>13292</v>
      </c>
      <c r="J3" s="23">
        <v>13248.1628</v>
      </c>
      <c r="K3" s="23">
        <v>13452.5635</v>
      </c>
      <c r="L3" s="23">
        <v>13397.438099999999</v>
      </c>
      <c r="M3" s="23">
        <v>13492.188700000001</v>
      </c>
      <c r="N3" s="23">
        <v>13292.163865298886</v>
      </c>
      <c r="O3" s="23">
        <v>13352.487666603512</v>
      </c>
      <c r="P3" s="23">
        <v>13019.953847207331</v>
      </c>
      <c r="Q3" s="23">
        <v>13260.908155976693</v>
      </c>
      <c r="R3" s="23">
        <v>12854.359164593128</v>
      </c>
    </row>
    <row r="4" spans="1:18" x14ac:dyDescent="0.3">
      <c r="A4" s="18" t="s">
        <v>1944</v>
      </c>
      <c r="B4" s="11" t="s">
        <v>1943</v>
      </c>
      <c r="C4" s="23">
        <v>12656</v>
      </c>
      <c r="D4" s="23"/>
      <c r="E4" s="23"/>
      <c r="F4" s="23">
        <v>12656</v>
      </c>
      <c r="G4" s="23">
        <v>12489</v>
      </c>
      <c r="H4" s="23">
        <v>11943</v>
      </c>
      <c r="I4" s="23">
        <v>12144</v>
      </c>
      <c r="J4" s="23">
        <v>12041.224099999999</v>
      </c>
      <c r="K4" s="23">
        <v>12123.086799999999</v>
      </c>
      <c r="L4" s="23">
        <v>11950.3763</v>
      </c>
      <c r="M4" s="23">
        <v>12027.259</v>
      </c>
      <c r="N4" s="23">
        <v>11964.731940813899</v>
      </c>
      <c r="O4" s="23">
        <v>11009.0266338488</v>
      </c>
      <c r="P4" s="23">
        <v>10879.172375849399</v>
      </c>
      <c r="Q4" s="23">
        <v>11301.9605254694</v>
      </c>
      <c r="R4" s="23">
        <v>11006.795894803499</v>
      </c>
    </row>
    <row r="5" spans="1:18" x14ac:dyDescent="0.3">
      <c r="A5" s="18">
        <v>3100200001</v>
      </c>
      <c r="B5" s="11" t="s">
        <v>1942</v>
      </c>
      <c r="C5" s="23">
        <v>11964</v>
      </c>
      <c r="D5" s="23"/>
      <c r="E5" s="23"/>
      <c r="F5" s="23">
        <v>11964</v>
      </c>
      <c r="G5" s="23">
        <v>11806</v>
      </c>
      <c r="H5" s="23">
        <v>11268</v>
      </c>
      <c r="I5" s="23">
        <v>11477</v>
      </c>
      <c r="J5" s="23">
        <v>11382.6638</v>
      </c>
      <c r="K5" s="23">
        <v>11470.973</v>
      </c>
      <c r="L5" s="23">
        <v>11306.77</v>
      </c>
      <c r="M5" s="23">
        <v>11392.221600000001</v>
      </c>
      <c r="N5" s="23">
        <v>11338.32568613387</v>
      </c>
      <c r="O5" s="23">
        <v>10391.314219688838</v>
      </c>
      <c r="P5" s="23">
        <v>10268.272696549358</v>
      </c>
      <c r="Q5" s="23">
        <v>10697.943531549359</v>
      </c>
      <c r="R5" s="23">
        <v>10409.720154443528</v>
      </c>
    </row>
    <row r="6" spans="1:18" x14ac:dyDescent="0.3">
      <c r="A6" s="18" t="s">
        <v>2185</v>
      </c>
      <c r="B6" s="11" t="s">
        <v>1941</v>
      </c>
      <c r="C6" s="23">
        <v>1572</v>
      </c>
      <c r="D6" s="23"/>
      <c r="E6" s="23"/>
      <c r="F6" s="23">
        <v>1572</v>
      </c>
      <c r="G6" s="23">
        <v>1785</v>
      </c>
      <c r="H6" s="23">
        <v>1567</v>
      </c>
      <c r="I6" s="23">
        <v>1816</v>
      </c>
      <c r="J6" s="23">
        <v>1865.499</v>
      </c>
      <c r="K6" s="23">
        <v>1981.5905</v>
      </c>
      <c r="L6" s="23">
        <v>2090.6680999999999</v>
      </c>
      <c r="M6" s="23">
        <v>2099.9670999999998</v>
      </c>
      <c r="N6" s="23">
        <v>1953.8381791650149</v>
      </c>
      <c r="O6" s="23">
        <v>2961.173446914675</v>
      </c>
      <c r="P6" s="23">
        <v>2751.681150657972</v>
      </c>
      <c r="Q6" s="23">
        <v>2562.9646244273345</v>
      </c>
      <c r="R6" s="23">
        <v>2444.6390101495995</v>
      </c>
    </row>
    <row r="7" spans="1:18" x14ac:dyDescent="0.3">
      <c r="A7" s="18">
        <v>3100300022</v>
      </c>
      <c r="B7" s="11" t="s">
        <v>1940</v>
      </c>
      <c r="C7" s="23">
        <v>75</v>
      </c>
      <c r="D7" s="23"/>
      <c r="E7" s="23"/>
      <c r="F7" s="23">
        <v>75</v>
      </c>
      <c r="G7" s="23">
        <v>86</v>
      </c>
      <c r="H7" s="23">
        <v>76</v>
      </c>
      <c r="I7" s="23">
        <v>89</v>
      </c>
      <c r="J7" s="23">
        <v>95.112499999999997</v>
      </c>
      <c r="K7" s="23">
        <v>102.1665</v>
      </c>
      <c r="L7" s="23">
        <v>111.41079999999999</v>
      </c>
      <c r="M7" s="23">
        <v>111.2978</v>
      </c>
      <c r="N7" s="23">
        <v>104.69888160999999</v>
      </c>
      <c r="O7" s="23">
        <v>161.68288024999998</v>
      </c>
      <c r="P7" s="23">
        <v>148.10228157</v>
      </c>
      <c r="Q7" s="23">
        <v>140.08869078000001</v>
      </c>
      <c r="R7" s="23">
        <v>135.7529437</v>
      </c>
    </row>
    <row r="8" spans="1:18" x14ac:dyDescent="0.3">
      <c r="A8" s="18" t="s">
        <v>2186</v>
      </c>
      <c r="B8" s="11" t="s">
        <v>1938</v>
      </c>
      <c r="C8" s="23">
        <v>1584</v>
      </c>
      <c r="D8" s="23"/>
      <c r="E8" s="23"/>
      <c r="F8" s="23">
        <v>1584</v>
      </c>
      <c r="G8" s="23">
        <v>1785</v>
      </c>
      <c r="H8" s="23">
        <v>1610</v>
      </c>
      <c r="I8" s="23">
        <v>1816</v>
      </c>
      <c r="J8" s="23">
        <v>1865.499</v>
      </c>
      <c r="K8" s="23">
        <v>2006.1276</v>
      </c>
      <c r="L8" s="23">
        <v>2123.7905000000001</v>
      </c>
      <c r="M8" s="23">
        <v>2128.4578000000001</v>
      </c>
      <c r="N8" s="23">
        <v>1981.0839691650149</v>
      </c>
      <c r="O8" s="23">
        <v>2973.0780019146746</v>
      </c>
      <c r="P8" s="23">
        <v>2812.1470170810121</v>
      </c>
      <c r="Q8" s="23">
        <v>2592.5631925364141</v>
      </c>
      <c r="R8" s="23">
        <v>2484.4021925841598</v>
      </c>
    </row>
    <row r="9" spans="1:18" x14ac:dyDescent="0.3">
      <c r="A9" s="18">
        <v>3100500022</v>
      </c>
      <c r="B9" s="11" t="s">
        <v>1937</v>
      </c>
      <c r="C9" s="23">
        <v>76</v>
      </c>
      <c r="D9" s="23"/>
      <c r="E9" s="23"/>
      <c r="F9" s="23">
        <v>76</v>
      </c>
      <c r="G9" s="23">
        <v>86</v>
      </c>
      <c r="H9" s="23">
        <v>78</v>
      </c>
      <c r="I9" s="23">
        <v>89</v>
      </c>
      <c r="J9" s="23">
        <v>95.112499999999997</v>
      </c>
      <c r="K9" s="23">
        <v>103.4316</v>
      </c>
      <c r="L9" s="23">
        <v>113.1759</v>
      </c>
      <c r="M9" s="23">
        <v>112.8078</v>
      </c>
      <c r="N9" s="23">
        <v>106.15888160999999</v>
      </c>
      <c r="O9" s="23">
        <v>162.33288024999999</v>
      </c>
      <c r="P9" s="23">
        <v>151.35670397000001</v>
      </c>
      <c r="Q9" s="23">
        <v>141.70651437999999</v>
      </c>
      <c r="R9" s="23">
        <v>137.96102801999999</v>
      </c>
    </row>
    <row r="10" spans="1:18" x14ac:dyDescent="0.3">
      <c r="A10" s="18" t="s">
        <v>2187</v>
      </c>
      <c r="B10" s="11" t="s">
        <v>1918</v>
      </c>
      <c r="C10" s="23">
        <v>819</v>
      </c>
      <c r="D10" s="23"/>
      <c r="E10" s="23"/>
      <c r="F10" s="23">
        <v>819</v>
      </c>
      <c r="G10" s="23">
        <v>783</v>
      </c>
      <c r="H10" s="23">
        <v>817</v>
      </c>
      <c r="I10" s="23">
        <v>797</v>
      </c>
      <c r="J10" s="23">
        <v>783</v>
      </c>
      <c r="K10" s="23">
        <v>777</v>
      </c>
      <c r="L10" s="23">
        <v>746</v>
      </c>
      <c r="M10" s="23">
        <v>726</v>
      </c>
      <c r="N10" s="23">
        <v>716</v>
      </c>
      <c r="O10" s="23">
        <v>697</v>
      </c>
      <c r="P10" s="23">
        <v>704</v>
      </c>
      <c r="Q10" s="23">
        <v>771</v>
      </c>
      <c r="R10" s="23">
        <v>767</v>
      </c>
    </row>
    <row r="11" spans="1:18" x14ac:dyDescent="0.3">
      <c r="A11" s="18" t="s">
        <v>2188</v>
      </c>
      <c r="B11" s="11" t="s">
        <v>1936</v>
      </c>
      <c r="C11" s="23">
        <v>9.59</v>
      </c>
      <c r="D11" s="23"/>
      <c r="E11" s="23"/>
      <c r="F11" s="23">
        <v>9.59</v>
      </c>
      <c r="G11" s="23">
        <v>9.6</v>
      </c>
      <c r="H11" s="23">
        <v>9.65</v>
      </c>
      <c r="I11" s="23">
        <v>9.6300000000000008</v>
      </c>
      <c r="J11" s="23">
        <v>9.6</v>
      </c>
      <c r="K11" s="23">
        <v>9.59</v>
      </c>
      <c r="L11" s="23">
        <v>9.57</v>
      </c>
      <c r="M11" s="23">
        <v>9.52</v>
      </c>
      <c r="N11" s="23">
        <v>9.51</v>
      </c>
      <c r="O11" s="23">
        <v>9.41</v>
      </c>
      <c r="P11" s="23">
        <v>9.31</v>
      </c>
      <c r="Q11" s="23">
        <v>9.24</v>
      </c>
      <c r="R11" s="23">
        <v>9.16</v>
      </c>
    </row>
    <row r="12" spans="1:18" x14ac:dyDescent="0.3">
      <c r="A12" s="18" t="s">
        <v>2189</v>
      </c>
      <c r="B12" s="11" t="s">
        <v>1935</v>
      </c>
      <c r="C12" s="23">
        <v>2.25</v>
      </c>
      <c r="D12" s="23"/>
      <c r="E12" s="23"/>
      <c r="F12" s="23">
        <v>2.25</v>
      </c>
      <c r="G12" s="23">
        <v>2.25</v>
      </c>
      <c r="H12" s="23">
        <v>2.5099999999999998</v>
      </c>
      <c r="I12" s="23">
        <v>2.5099999999999998</v>
      </c>
      <c r="J12" s="23">
        <v>2.7</v>
      </c>
      <c r="K12" s="23">
        <v>2.84</v>
      </c>
      <c r="L12" s="23">
        <v>2.85</v>
      </c>
      <c r="M12" s="23">
        <v>2.91</v>
      </c>
      <c r="N12" s="23">
        <v>2.98</v>
      </c>
      <c r="O12" s="23">
        <v>3.38</v>
      </c>
      <c r="P12" s="23">
        <v>3.42</v>
      </c>
      <c r="Q12" s="23">
        <v>3.44</v>
      </c>
      <c r="R12" s="23">
        <v>3.45</v>
      </c>
    </row>
    <row r="13" spans="1:18" x14ac:dyDescent="0.3">
      <c r="A13" s="18" t="s">
        <v>2190</v>
      </c>
      <c r="B13" s="11" t="s">
        <v>264</v>
      </c>
      <c r="C13" s="23">
        <v>0.7</v>
      </c>
      <c r="D13" s="23"/>
      <c r="E13" s="23"/>
      <c r="F13" s="23">
        <v>0.7</v>
      </c>
      <c r="G13" s="23">
        <v>0.6</v>
      </c>
      <c r="H13" s="23">
        <v>0.6</v>
      </c>
      <c r="I13" s="23">
        <v>1</v>
      </c>
      <c r="J13" s="23">
        <v>0.9</v>
      </c>
      <c r="K13" s="23">
        <v>0.9</v>
      </c>
      <c r="L13" s="23">
        <v>0.39489999999999997</v>
      </c>
      <c r="M13" s="23">
        <v>0.36990000000000001</v>
      </c>
      <c r="N13" s="23">
        <v>0.37</v>
      </c>
      <c r="O13" s="23">
        <v>0.24124298899999999</v>
      </c>
      <c r="P13" s="23">
        <v>0.22736073600000001</v>
      </c>
      <c r="Q13" s="23">
        <v>0.24135891000000001</v>
      </c>
      <c r="R13" s="23">
        <v>0.20829552600000001</v>
      </c>
    </row>
    <row r="14" spans="1:18" x14ac:dyDescent="0.3">
      <c r="A14" s="18" t="s">
        <v>2191</v>
      </c>
      <c r="B14" s="11" t="s">
        <v>1916</v>
      </c>
      <c r="C14" s="36">
        <v>1.01E-2</v>
      </c>
      <c r="D14" s="36"/>
      <c r="E14" s="36"/>
      <c r="F14" s="36">
        <v>1.01E-2</v>
      </c>
      <c r="G14" s="36">
        <v>1.8800000000000001E-2</v>
      </c>
      <c r="H14" s="36">
        <v>1.77E-2</v>
      </c>
      <c r="I14" s="36">
        <v>2.8000000000000001E-2</v>
      </c>
      <c r="J14" s="36">
        <v>2.6200000000000001E-2</v>
      </c>
      <c r="K14" s="36">
        <v>2.75E-2</v>
      </c>
      <c r="L14" s="36">
        <v>1.1560000000000001E-2</v>
      </c>
      <c r="M14" s="36">
        <v>1.0829E-2</v>
      </c>
      <c r="N14" s="36">
        <v>1.07118163387711E-2</v>
      </c>
      <c r="O14" s="36">
        <v>6.9696372701762996E-3</v>
      </c>
      <c r="P14" s="36">
        <v>6.5685716604143001E-3</v>
      </c>
      <c r="Q14" s="36">
        <v>6.9729862776677998E-3</v>
      </c>
      <c r="R14" s="36">
        <v>6.0177676796824998E-3</v>
      </c>
    </row>
    <row r="15" spans="1:18" x14ac:dyDescent="0.3">
      <c r="A15" s="18" t="s">
        <v>2192</v>
      </c>
      <c r="B15" s="11" t="s">
        <v>1815</v>
      </c>
      <c r="C15" s="23">
        <v>111</v>
      </c>
      <c r="D15" s="23"/>
      <c r="E15" s="23"/>
      <c r="F15" s="23">
        <v>111</v>
      </c>
      <c r="G15" s="23">
        <v>34</v>
      </c>
      <c r="H15" s="23">
        <v>-70</v>
      </c>
      <c r="I15" s="23">
        <v>-122</v>
      </c>
      <c r="J15" s="23">
        <v>-215.38</v>
      </c>
      <c r="K15" s="23">
        <v>-207.73560000000001</v>
      </c>
      <c r="L15" s="23">
        <v>-216.41970000000001</v>
      </c>
      <c r="M15" s="23">
        <v>-191.62</v>
      </c>
      <c r="N15" s="23">
        <v>-253.44993755309301</v>
      </c>
      <c r="O15" s="23">
        <v>-280.7</v>
      </c>
      <c r="P15" s="23">
        <v>-271.06</v>
      </c>
      <c r="Q15" s="23">
        <v>-279.49472176276129</v>
      </c>
      <c r="R15" s="23">
        <v>-238.1066842257585</v>
      </c>
    </row>
    <row r="16" spans="1:18" x14ac:dyDescent="0.3">
      <c r="A16" s="18" t="s">
        <v>2193</v>
      </c>
      <c r="B16" s="11" t="s">
        <v>1931</v>
      </c>
      <c r="C16" s="23">
        <v>51538.400000000001</v>
      </c>
      <c r="D16" s="23">
        <v>51433</v>
      </c>
      <c r="E16" s="23">
        <v>51477</v>
      </c>
      <c r="F16" s="23">
        <v>51538.400000000001</v>
      </c>
      <c r="G16" s="23">
        <v>52084</v>
      </c>
      <c r="H16" s="23">
        <v>52254.5</v>
      </c>
      <c r="I16" s="23">
        <v>52634.1</v>
      </c>
      <c r="J16" s="23">
        <v>51905.4</v>
      </c>
      <c r="K16" s="23">
        <v>52962</v>
      </c>
      <c r="L16" s="23">
        <v>52902.191110205502</v>
      </c>
      <c r="M16" s="23">
        <v>53134.449090666705</v>
      </c>
      <c r="N16" s="23">
        <v>54266</v>
      </c>
      <c r="O16" s="23">
        <v>54208.1</v>
      </c>
      <c r="P16" s="23">
        <v>55069.8</v>
      </c>
      <c r="Q16" s="23">
        <v>55611.7</v>
      </c>
      <c r="R16" s="23">
        <v>57854.612359271901</v>
      </c>
    </row>
    <row r="17" spans="1:18" x14ac:dyDescent="0.3">
      <c r="A17" s="18" t="s">
        <v>1939</v>
      </c>
      <c r="B17" s="11" t="s">
        <v>1930</v>
      </c>
      <c r="C17" s="23">
        <v>47043.3</v>
      </c>
      <c r="D17" s="23"/>
      <c r="E17" s="23"/>
      <c r="F17" s="23">
        <v>47043.3</v>
      </c>
      <c r="G17" s="23"/>
      <c r="H17" s="23">
        <v>47480.2</v>
      </c>
      <c r="I17" s="23">
        <v>47883.8</v>
      </c>
      <c r="J17" s="23">
        <v>47262</v>
      </c>
      <c r="K17" s="23">
        <v>48375.7</v>
      </c>
      <c r="L17" s="23">
        <v>48271.487013921404</v>
      </c>
      <c r="M17" s="23">
        <v>48494.4798926687</v>
      </c>
      <c r="N17" s="23">
        <v>49566</v>
      </c>
      <c r="O17" s="23">
        <v>49347.6</v>
      </c>
      <c r="P17" s="23">
        <v>50164.1</v>
      </c>
      <c r="Q17" s="23">
        <v>50368.5</v>
      </c>
      <c r="R17" s="23">
        <v>52927.976453213902</v>
      </c>
    </row>
    <row r="18" spans="1:18" x14ac:dyDescent="0.3">
      <c r="A18" s="18" t="s">
        <v>2194</v>
      </c>
      <c r="B18" s="11" t="s">
        <v>1929</v>
      </c>
      <c r="C18" s="23">
        <v>4495.1000000000004</v>
      </c>
      <c r="D18" s="23"/>
      <c r="E18" s="23"/>
      <c r="F18" s="23">
        <v>4495.1000000000004</v>
      </c>
      <c r="G18" s="23"/>
      <c r="H18" s="23">
        <v>4774.2</v>
      </c>
      <c r="I18" s="23">
        <v>4750.3</v>
      </c>
      <c r="J18" s="23">
        <v>4643.3999999999996</v>
      </c>
      <c r="K18" s="23">
        <v>4586.3999999999996</v>
      </c>
      <c r="L18" s="23">
        <v>4630.7040962840993</v>
      </c>
      <c r="M18" s="23">
        <v>4639.9691979979998</v>
      </c>
      <c r="N18" s="23">
        <v>4700</v>
      </c>
      <c r="O18" s="23">
        <v>4860.5</v>
      </c>
      <c r="P18" s="23">
        <v>4905.7</v>
      </c>
      <c r="Q18" s="23">
        <v>5243.3</v>
      </c>
      <c r="R18" s="23">
        <v>4926.6359060579998</v>
      </c>
    </row>
    <row r="19" spans="1:18" x14ac:dyDescent="0.3">
      <c r="A19" s="18" t="s">
        <v>2195</v>
      </c>
      <c r="B19" s="11" t="s">
        <v>1928</v>
      </c>
      <c r="C19" s="23">
        <v>5680.4247758040701</v>
      </c>
      <c r="D19" s="23">
        <v>5435</v>
      </c>
      <c r="E19" s="23">
        <v>5186.5</v>
      </c>
      <c r="F19" s="23">
        <v>5680.4247758040701</v>
      </c>
      <c r="G19" s="23">
        <v>5706.1192687682396</v>
      </c>
      <c r="H19" s="23">
        <v>5838.0257895279201</v>
      </c>
      <c r="I19" s="23">
        <v>6053.3961434773901</v>
      </c>
      <c r="J19" s="23">
        <v>5727.1965783765199</v>
      </c>
      <c r="K19" s="23">
        <v>5954.6110997662017</v>
      </c>
      <c r="L19" s="23">
        <v>5964.3827046706019</v>
      </c>
      <c r="M19" s="23">
        <v>6075.9561382143002</v>
      </c>
      <c r="N19" s="23">
        <v>5830</v>
      </c>
      <c r="O19" s="23">
        <v>5841.7</v>
      </c>
      <c r="P19" s="23">
        <v>5887.2</v>
      </c>
      <c r="Q19" s="23">
        <v>6216.2</v>
      </c>
      <c r="R19" s="23">
        <v>6003.6668392051797</v>
      </c>
    </row>
    <row r="20" spans="1:18" x14ac:dyDescent="0.3">
      <c r="A20" s="18">
        <v>3101700001</v>
      </c>
      <c r="B20" s="11" t="s">
        <v>1927</v>
      </c>
      <c r="C20" s="23">
        <v>1147.2074127337999</v>
      </c>
      <c r="D20" s="23">
        <v>1241</v>
      </c>
      <c r="E20" s="23">
        <v>1213</v>
      </c>
      <c r="F20" s="23">
        <v>1147.2074127337999</v>
      </c>
      <c r="G20" s="23">
        <v>1107.7502766744999</v>
      </c>
      <c r="H20" s="23">
        <v>1065.1615419151999</v>
      </c>
      <c r="I20" s="23">
        <v>1024.1133298247</v>
      </c>
      <c r="J20" s="23">
        <v>868.8646418866</v>
      </c>
      <c r="K20" s="23">
        <v>920.25775163769993</v>
      </c>
      <c r="L20" s="23">
        <v>896.47998915810001</v>
      </c>
      <c r="M20" s="23">
        <v>714.61300410909996</v>
      </c>
      <c r="N20" s="23">
        <v>641</v>
      </c>
      <c r="O20" s="23">
        <v>721.9</v>
      </c>
      <c r="P20" s="23">
        <v>743.4</v>
      </c>
      <c r="Q20" s="23">
        <v>811.5</v>
      </c>
      <c r="R20" s="23">
        <v>801.34882008850002</v>
      </c>
    </row>
    <row r="21" spans="1:18" x14ac:dyDescent="0.3">
      <c r="A21" s="18" t="s">
        <v>2196</v>
      </c>
      <c r="B21" s="11" t="s">
        <v>1925</v>
      </c>
      <c r="C21" s="23">
        <v>551.47629291460305</v>
      </c>
      <c r="D21" s="23">
        <v>27</v>
      </c>
      <c r="E21" s="23">
        <v>26.6</v>
      </c>
      <c r="F21" s="23">
        <v>551.47629291460305</v>
      </c>
      <c r="G21" s="23">
        <v>541.78326798472801</v>
      </c>
      <c r="H21" s="23">
        <v>612.24091507774199</v>
      </c>
      <c r="I21" s="23">
        <v>603.85518981875987</v>
      </c>
      <c r="J21" s="23">
        <v>574.16364771313613</v>
      </c>
      <c r="K21" s="23">
        <v>586.39177264292607</v>
      </c>
      <c r="L21" s="23">
        <f>L22*
18.7654</f>
        <v>562.79960366543799</v>
      </c>
      <c r="M21" s="23">
        <v>565.24995778324001</v>
      </c>
      <c r="N21" s="23">
        <v>650</v>
      </c>
      <c r="O21" s="23">
        <v>826.9</v>
      </c>
      <c r="P21" s="23">
        <v>873.24119999999994</v>
      </c>
      <c r="Q21" s="23">
        <v>874.51534000000004</v>
      </c>
      <c r="R21" s="23">
        <v>791.46096253927988</v>
      </c>
    </row>
    <row r="22" spans="1:18" x14ac:dyDescent="0.3">
      <c r="A22" s="18">
        <v>3101800022</v>
      </c>
      <c r="B22" s="11" t="s">
        <v>1924</v>
      </c>
      <c r="C22" s="63">
        <v>26408032.07</v>
      </c>
      <c r="D22" s="63">
        <v>537</v>
      </c>
      <c r="E22" s="63">
        <v>542.1</v>
      </c>
      <c r="F22" s="63">
        <v>26408032.07</v>
      </c>
      <c r="G22" s="63">
        <v>26189425.68</v>
      </c>
      <c r="H22" s="63">
        <v>29751917.809999999</v>
      </c>
      <c r="I22" s="63">
        <v>29513361.899999999</v>
      </c>
      <c r="J22" s="63">
        <v>29273751.260000002</v>
      </c>
      <c r="K22" s="63">
        <v>30233081.18</v>
      </c>
      <c r="L22" s="23">
        <v>29.991345969999998</v>
      </c>
      <c r="M22" s="23">
        <v>29.95812793</v>
      </c>
      <c r="N22" s="23">
        <v>35</v>
      </c>
      <c r="O22" s="23">
        <v>45.2</v>
      </c>
      <c r="P22" s="23">
        <v>47</v>
      </c>
      <c r="Q22" s="23">
        <v>47.8</v>
      </c>
      <c r="R22" s="23">
        <v>43.950519909999997</v>
      </c>
    </row>
    <row r="23" spans="1:18" x14ac:dyDescent="0.3">
      <c r="A23" s="18" t="s">
        <v>2197</v>
      </c>
      <c r="B23" s="11" t="s">
        <v>1923</v>
      </c>
      <c r="C23" s="23">
        <v>3158</v>
      </c>
      <c r="D23" s="23"/>
      <c r="E23" s="23"/>
      <c r="F23" s="23">
        <v>3158</v>
      </c>
      <c r="G23" s="23">
        <v>3093</v>
      </c>
      <c r="H23" s="23">
        <v>3031</v>
      </c>
      <c r="I23" s="23">
        <v>2976</v>
      </c>
      <c r="J23" s="23">
        <v>2924.3768</v>
      </c>
      <c r="K23" s="23">
        <v>2870.8211999999999</v>
      </c>
      <c r="L23" s="23">
        <v>2824.2948000000001</v>
      </c>
      <c r="M23" s="23">
        <v>2787.2950999999998</v>
      </c>
      <c r="N23" s="23">
        <v>2750.18</v>
      </c>
      <c r="O23" s="23">
        <v>2714.0784319999998</v>
      </c>
      <c r="P23" s="23">
        <v>2649.620066</v>
      </c>
      <c r="Q23" s="23">
        <v>2614.1141499999999</v>
      </c>
      <c r="R23" s="23">
        <v>2578.4932469999999</v>
      </c>
    </row>
    <row r="24" spans="1:18" x14ac:dyDescent="0.3">
      <c r="A24" s="18" t="s">
        <v>2198</v>
      </c>
      <c r="B24" s="11" t="s">
        <v>973</v>
      </c>
      <c r="C24" s="23">
        <v>3101</v>
      </c>
      <c r="D24" s="23"/>
      <c r="E24" s="23"/>
      <c r="F24" s="23">
        <v>3101</v>
      </c>
      <c r="G24" s="23">
        <v>3044</v>
      </c>
      <c r="H24" s="23">
        <v>2990</v>
      </c>
      <c r="I24" s="23">
        <v>2943</v>
      </c>
      <c r="J24" s="23">
        <v>2899.0435000000002</v>
      </c>
      <c r="K24" s="23">
        <v>2854.4720000000002</v>
      </c>
      <c r="L24" s="23">
        <v>2815.3033999999998</v>
      </c>
      <c r="M24" s="23">
        <v>2779.5515</v>
      </c>
      <c r="N24" s="23">
        <v>2743.69</v>
      </c>
      <c r="O24" s="23">
        <v>2708.8305399999999</v>
      </c>
      <c r="P24" s="23">
        <v>2645.62003</v>
      </c>
      <c r="Q24" s="23">
        <v>2610.4218059999998</v>
      </c>
      <c r="R24" s="23">
        <v>2575.1085950000002</v>
      </c>
    </row>
    <row r="25" spans="1:18" x14ac:dyDescent="0.3">
      <c r="A25" s="18" t="s">
        <v>2199</v>
      </c>
      <c r="B25" s="11" t="s">
        <v>1922</v>
      </c>
      <c r="C25" s="23">
        <v>37</v>
      </c>
      <c r="D25" s="23"/>
      <c r="E25" s="23"/>
      <c r="F25" s="23">
        <v>37</v>
      </c>
      <c r="G25" s="23">
        <v>31</v>
      </c>
      <c r="H25" s="23">
        <v>24</v>
      </c>
      <c r="I25" s="23">
        <v>18</v>
      </c>
      <c r="J25" s="23">
        <v>12.219799999999999</v>
      </c>
      <c r="K25" s="23">
        <v>6.1098999999999997</v>
      </c>
      <c r="L25" s="23">
        <v>0</v>
      </c>
      <c r="M25" s="23">
        <v>0</v>
      </c>
      <c r="N25" s="23">
        <v>0</v>
      </c>
      <c r="O25" s="23">
        <v>0</v>
      </c>
      <c r="P25" s="23">
        <v>0</v>
      </c>
      <c r="Q25" s="23">
        <v>0</v>
      </c>
      <c r="R25" s="23">
        <v>0</v>
      </c>
    </row>
    <row r="26" spans="1:18" x14ac:dyDescent="0.3">
      <c r="A26" s="18" t="s">
        <v>2200</v>
      </c>
      <c r="B26" s="11" t="s">
        <v>53</v>
      </c>
      <c r="C26" s="23">
        <v>20</v>
      </c>
      <c r="D26" s="23"/>
      <c r="E26" s="23"/>
      <c r="F26" s="23">
        <v>20</v>
      </c>
      <c r="G26" s="23">
        <v>18</v>
      </c>
      <c r="H26" s="23">
        <v>16</v>
      </c>
      <c r="I26" s="23">
        <v>15</v>
      </c>
      <c r="J26" s="23">
        <v>13.1135</v>
      </c>
      <c r="K26" s="23">
        <v>10.2393</v>
      </c>
      <c r="L26" s="23">
        <v>8.9915000000000003</v>
      </c>
      <c r="M26" s="23">
        <v>7.7435999999999998</v>
      </c>
      <c r="N26" s="23">
        <v>6.5</v>
      </c>
      <c r="O26" s="23">
        <v>5.2478920000000002</v>
      </c>
      <c r="P26" s="23">
        <v>4.0000359999999997</v>
      </c>
      <c r="Q26" s="23">
        <v>3.6923439999999998</v>
      </c>
      <c r="R26" s="23">
        <v>3.384652</v>
      </c>
    </row>
    <row r="27" spans="1:18" x14ac:dyDescent="0.3">
      <c r="A27" s="18" t="s">
        <v>2201</v>
      </c>
      <c r="B27" s="11" t="s">
        <v>1918</v>
      </c>
      <c r="C27" s="22">
        <v>2352</v>
      </c>
      <c r="D27" s="22"/>
      <c r="E27" s="22"/>
      <c r="F27" s="22">
        <v>2352</v>
      </c>
      <c r="G27" s="22">
        <v>2350</v>
      </c>
      <c r="H27" s="22">
        <v>2351</v>
      </c>
      <c r="I27" s="22">
        <v>2344</v>
      </c>
      <c r="J27" s="22">
        <v>2337</v>
      </c>
      <c r="K27" s="22">
        <v>2331</v>
      </c>
      <c r="L27" s="22">
        <v>2319</v>
      </c>
      <c r="M27" s="22">
        <v>2300</v>
      </c>
      <c r="N27" s="22">
        <v>2284</v>
      </c>
      <c r="O27" s="22">
        <v>2264</v>
      </c>
      <c r="P27" s="22">
        <v>2251</v>
      </c>
      <c r="Q27" s="22">
        <v>2234</v>
      </c>
      <c r="R27" s="22">
        <v>2213</v>
      </c>
    </row>
    <row r="28" spans="1:18" x14ac:dyDescent="0.3">
      <c r="A28" s="18" t="s">
        <v>2202</v>
      </c>
      <c r="B28" s="11" t="s">
        <v>1917</v>
      </c>
      <c r="C28" s="23">
        <v>7.76</v>
      </c>
      <c r="D28" s="23"/>
      <c r="E28" s="23"/>
      <c r="F28" s="23">
        <v>7.76</v>
      </c>
      <c r="G28" s="23">
        <v>7.76</v>
      </c>
      <c r="H28" s="23">
        <v>7.76</v>
      </c>
      <c r="I28" s="23">
        <v>7.76</v>
      </c>
      <c r="J28" s="23">
        <v>7.76</v>
      </c>
      <c r="K28" s="23">
        <v>7.75</v>
      </c>
      <c r="L28" s="23">
        <v>7.75</v>
      </c>
      <c r="M28" s="23">
        <v>7.75</v>
      </c>
      <c r="N28" s="23">
        <v>7.75</v>
      </c>
      <c r="O28" s="23">
        <v>7.75</v>
      </c>
      <c r="P28" s="23">
        <v>7.76</v>
      </c>
      <c r="Q28" s="23">
        <v>7.76</v>
      </c>
      <c r="R28" s="23">
        <v>7.76</v>
      </c>
    </row>
    <row r="29" spans="1:18" x14ac:dyDescent="0.3">
      <c r="A29" s="18" t="s">
        <v>1934</v>
      </c>
      <c r="B29" s="11" t="s">
        <v>264</v>
      </c>
      <c r="C29" s="23">
        <v>19</v>
      </c>
      <c r="D29" s="23"/>
      <c r="E29" s="23"/>
      <c r="F29" s="23">
        <v>19</v>
      </c>
      <c r="G29" s="23">
        <v>18</v>
      </c>
      <c r="H29" s="23">
        <v>18</v>
      </c>
      <c r="I29" s="23">
        <v>15</v>
      </c>
      <c r="J29" s="23">
        <v>14.17</v>
      </c>
      <c r="K29" s="23">
        <v>13.84</v>
      </c>
      <c r="L29" s="23">
        <v>13.6896</v>
      </c>
      <c r="M29" s="23">
        <v>13.1692</v>
      </c>
      <c r="N29" s="23">
        <v>13.34</v>
      </c>
      <c r="O29" s="23">
        <v>12.8864321</v>
      </c>
      <c r="P29" s="23">
        <v>10.81489646</v>
      </c>
      <c r="Q29" s="23">
        <v>10.010970479999999</v>
      </c>
      <c r="R29" s="23">
        <v>9.9999733899999992</v>
      </c>
    </row>
    <row r="30" spans="1:18" x14ac:dyDescent="0.3">
      <c r="A30" s="18" t="s">
        <v>1933</v>
      </c>
      <c r="B30" s="11" t="s">
        <v>1916</v>
      </c>
      <c r="C30" s="36">
        <v>0.28999999999999998</v>
      </c>
      <c r="D30" s="36"/>
      <c r="E30" s="36"/>
      <c r="F30" s="36">
        <v>0.28999999999999998</v>
      </c>
      <c r="G30" s="36">
        <v>0.53</v>
      </c>
      <c r="H30" s="36">
        <v>0.52</v>
      </c>
      <c r="I30" s="36">
        <v>0.43</v>
      </c>
      <c r="J30" s="36">
        <v>0.41473300000000002</v>
      </c>
      <c r="K30" s="36">
        <v>0.40497699999999998</v>
      </c>
      <c r="L30" s="36">
        <v>0.40070800000000001</v>
      </c>
      <c r="M30" s="36">
        <v>0.38547700000000001</v>
      </c>
      <c r="N30" s="36">
        <v>0.38541268159606901</v>
      </c>
      <c r="O30" s="36">
        <v>0.37229582438701803</v>
      </c>
      <c r="P30" s="36">
        <v>0.31244806636566402</v>
      </c>
      <c r="Q30" s="36">
        <v>0.28922222051532598</v>
      </c>
      <c r="R30" s="36">
        <v>0.288904508908364</v>
      </c>
    </row>
    <row r="31" spans="1:18" x14ac:dyDescent="0.3">
      <c r="A31" s="18" t="s">
        <v>1932</v>
      </c>
      <c r="B31" s="11" t="s">
        <v>1815</v>
      </c>
      <c r="C31" s="23">
        <v>155</v>
      </c>
      <c r="D31" s="23"/>
      <c r="E31" s="23"/>
      <c r="F31" s="23">
        <v>155</v>
      </c>
      <c r="G31" s="23">
        <v>118</v>
      </c>
      <c r="H31" s="23">
        <v>67</v>
      </c>
      <c r="I31" s="23">
        <v>47</v>
      </c>
      <c r="J31" s="23">
        <v>16.78</v>
      </c>
      <c r="K31" s="23">
        <v>19.239999999999998</v>
      </c>
      <c r="L31" s="23">
        <v>12.381</v>
      </c>
      <c r="M31" s="23">
        <v>20.956</v>
      </c>
      <c r="N31" s="23">
        <v>-9.52</v>
      </c>
      <c r="O31" s="23">
        <v>-23.411717169999999</v>
      </c>
      <c r="P31" s="23">
        <v>-25.55319347</v>
      </c>
      <c r="Q31" s="23">
        <v>-21.576152669999999</v>
      </c>
      <c r="R31" s="23">
        <v>2.1616607390000002</v>
      </c>
    </row>
    <row r="32" spans="1:18" x14ac:dyDescent="0.3">
      <c r="A32" s="18">
        <v>3102900002</v>
      </c>
      <c r="B32" s="11" t="s">
        <v>1919</v>
      </c>
      <c r="C32" s="23">
        <v>209</v>
      </c>
      <c r="D32" s="23"/>
      <c r="E32" s="23"/>
      <c r="F32" s="23">
        <v>209</v>
      </c>
      <c r="G32" s="23">
        <v>202</v>
      </c>
      <c r="H32" s="23">
        <v>197</v>
      </c>
      <c r="I32" s="23">
        <v>192</v>
      </c>
      <c r="J32" s="23">
        <v>179.506</v>
      </c>
      <c r="K32" s="23">
        <v>173.41679999999999</v>
      </c>
      <c r="L32" s="23">
        <v>163.81010000000001</v>
      </c>
      <c r="M32" s="23">
        <v>162.0761</v>
      </c>
      <c r="N32" s="23">
        <v>157.68967499999999</v>
      </c>
      <c r="O32" s="23">
        <v>152.21806759081801</v>
      </c>
      <c r="P32" s="23">
        <v>151.83021724275599</v>
      </c>
      <c r="Q32" s="23">
        <v>146.95707043120001</v>
      </c>
      <c r="R32" s="23">
        <v>143.640163712</v>
      </c>
    </row>
    <row r="33" spans="1:18" x14ac:dyDescent="0.3">
      <c r="A33" s="18">
        <v>3103000022</v>
      </c>
      <c r="B33" s="11" t="s">
        <v>1920</v>
      </c>
      <c r="C33" s="23">
        <v>10</v>
      </c>
      <c r="D33" s="23"/>
      <c r="E33" s="23"/>
      <c r="F33" s="23">
        <v>10</v>
      </c>
      <c r="G33" s="23">
        <v>10</v>
      </c>
      <c r="H33" s="23">
        <v>10</v>
      </c>
      <c r="I33" s="23">
        <v>9</v>
      </c>
      <c r="J33" s="23">
        <v>9.1521000000000008</v>
      </c>
      <c r="K33" s="23">
        <v>8.9410000000000007</v>
      </c>
      <c r="L33" s="23">
        <v>8.7294</v>
      </c>
      <c r="M33" s="23">
        <v>8.59</v>
      </c>
      <c r="N33" s="23">
        <v>8.4499999999999993</v>
      </c>
      <c r="O33" s="23">
        <v>8.3112509400000008</v>
      </c>
      <c r="P33" s="23">
        <v>8.1718776099999992</v>
      </c>
      <c r="Q33" s="23">
        <v>8.0325039999999994</v>
      </c>
      <c r="R33" s="23">
        <v>7.976464</v>
      </c>
    </row>
    <row r="34" spans="1:18" x14ac:dyDescent="0.3">
      <c r="A34" s="18" t="s">
        <v>2203</v>
      </c>
      <c r="B34" s="11" t="s">
        <v>1918</v>
      </c>
      <c r="C34" s="22">
        <v>1804</v>
      </c>
      <c r="D34" s="22"/>
      <c r="E34" s="22"/>
      <c r="F34" s="22">
        <v>1804</v>
      </c>
      <c r="G34" s="22">
        <v>1796</v>
      </c>
      <c r="H34" s="22">
        <v>1792</v>
      </c>
      <c r="I34" s="22">
        <v>1787</v>
      </c>
      <c r="J34" s="22">
        <v>1783</v>
      </c>
      <c r="K34" s="22">
        <v>1781</v>
      </c>
      <c r="L34" s="22">
        <v>1779</v>
      </c>
      <c r="M34" s="22">
        <v>1764</v>
      </c>
      <c r="N34" s="22">
        <v>1751</v>
      </c>
      <c r="O34" s="22">
        <v>1735</v>
      </c>
      <c r="P34" s="22">
        <v>1721</v>
      </c>
      <c r="Q34" s="22">
        <v>1711</v>
      </c>
      <c r="R34" s="22">
        <v>1678</v>
      </c>
    </row>
    <row r="35" spans="1:18" x14ac:dyDescent="0.3">
      <c r="A35" s="18" t="s">
        <v>1926</v>
      </c>
      <c r="B35" s="11" t="s">
        <v>1917</v>
      </c>
      <c r="C35" s="23">
        <v>2.2999999999999998</v>
      </c>
      <c r="D35" s="23"/>
      <c r="E35" s="23"/>
      <c r="F35" s="23">
        <v>2.2999999999999998</v>
      </c>
      <c r="G35" s="23">
        <v>2.29</v>
      </c>
      <c r="H35" s="23">
        <v>2.2799999999999998</v>
      </c>
      <c r="I35" s="23">
        <v>2.27</v>
      </c>
      <c r="J35" s="23">
        <v>2.2599999999999998</v>
      </c>
      <c r="K35" s="23">
        <v>2.25</v>
      </c>
      <c r="L35" s="23">
        <v>2.2400000000000002</v>
      </c>
      <c r="M35" s="23">
        <v>2.23</v>
      </c>
      <c r="N35" s="23">
        <v>2.2200000000000002</v>
      </c>
      <c r="O35" s="23">
        <v>2.21</v>
      </c>
      <c r="P35" s="23">
        <v>2.2000000000000002</v>
      </c>
      <c r="Q35" s="23">
        <v>2.2000000000000002</v>
      </c>
      <c r="R35" s="23">
        <v>2.2000000000000002</v>
      </c>
    </row>
    <row r="36" spans="1:18" x14ac:dyDescent="0.3">
      <c r="A36" s="18" t="s">
        <v>2204</v>
      </c>
      <c r="B36" s="11" t="s">
        <v>264</v>
      </c>
      <c r="C36" s="23">
        <v>29</v>
      </c>
      <c r="D36" s="23"/>
      <c r="E36" s="23"/>
      <c r="F36" s="23">
        <v>29</v>
      </c>
      <c r="G36" s="23">
        <v>8</v>
      </c>
      <c r="H36" s="23">
        <v>8</v>
      </c>
      <c r="I36" s="23">
        <v>4</v>
      </c>
      <c r="J36" s="23">
        <v>4.4089999999999998</v>
      </c>
      <c r="K36" s="23">
        <v>4.2454000000000001</v>
      </c>
      <c r="L36" s="23">
        <v>4.0195999999999996</v>
      </c>
      <c r="M36" s="23">
        <v>3.9641000000000002</v>
      </c>
      <c r="N36" s="23">
        <v>3.87</v>
      </c>
      <c r="O36" s="23">
        <v>3.7390394260000002</v>
      </c>
      <c r="P36" s="23">
        <v>3.7063526379999998</v>
      </c>
      <c r="Q36" s="23">
        <v>3.2158118440000001</v>
      </c>
      <c r="R36" s="23">
        <v>3.1964637960000002</v>
      </c>
    </row>
    <row r="37" spans="1:18" x14ac:dyDescent="0.3">
      <c r="A37" s="18" t="s">
        <v>2205</v>
      </c>
      <c r="B37" s="11" t="s">
        <v>1916</v>
      </c>
      <c r="C37" s="49">
        <v>0.45</v>
      </c>
      <c r="D37" s="49"/>
      <c r="E37" s="49"/>
      <c r="F37" s="49">
        <v>0.45</v>
      </c>
      <c r="G37" s="49">
        <v>0.23</v>
      </c>
      <c r="H37" s="49">
        <v>0.22</v>
      </c>
      <c r="I37" s="49">
        <v>0.13</v>
      </c>
      <c r="J37" s="49">
        <v>0.12909999999999999</v>
      </c>
      <c r="K37" s="49">
        <v>0.12429999999999999</v>
      </c>
      <c r="L37" s="49">
        <v>0.117659</v>
      </c>
      <c r="M37" s="49">
        <v>0.116033</v>
      </c>
      <c r="N37" s="49">
        <v>0.111858910411752</v>
      </c>
      <c r="O37" s="49">
        <v>0.108022822378217</v>
      </c>
      <c r="P37" s="49">
        <v>0.107078483817034</v>
      </c>
      <c r="Q37" s="49">
        <v>9.2906501382827106E-2</v>
      </c>
      <c r="R37" s="49">
        <v>9.2347526050744894E-2</v>
      </c>
    </row>
    <row r="38" spans="1:18" x14ac:dyDescent="0.3">
      <c r="A38" s="18" t="s">
        <v>2206</v>
      </c>
      <c r="B38" s="11" t="s">
        <v>1815</v>
      </c>
      <c r="C38" s="23">
        <v>0.4</v>
      </c>
      <c r="D38" s="23"/>
      <c r="E38" s="23"/>
      <c r="F38" s="23">
        <v>0.4</v>
      </c>
      <c r="G38" s="23">
        <v>4</v>
      </c>
      <c r="H38" s="23">
        <v>2.4</v>
      </c>
      <c r="I38" s="23">
        <v>2.4</v>
      </c>
      <c r="J38" s="23">
        <v>7.9417</v>
      </c>
      <c r="K38" s="23">
        <v>11.0402</v>
      </c>
      <c r="L38" s="23">
        <v>15.2348</v>
      </c>
      <c r="M38" s="23">
        <v>14.259399999999999</v>
      </c>
      <c r="N38" s="23">
        <v>14.03</v>
      </c>
      <c r="O38" s="23">
        <v>15.87006264</v>
      </c>
      <c r="P38" s="23">
        <v>13.69661649</v>
      </c>
      <c r="Q38" s="23">
        <v>14.774060009999999</v>
      </c>
      <c r="R38" s="23">
        <v>17.805096209999999</v>
      </c>
    </row>
    <row r="39" spans="1:18" x14ac:dyDescent="0.3">
      <c r="A39" s="18">
        <v>3103600002</v>
      </c>
      <c r="B39" s="11" t="s">
        <v>1914</v>
      </c>
      <c r="C39" s="23">
        <v>0</v>
      </c>
      <c r="D39" s="23"/>
      <c r="E39" s="23"/>
      <c r="F39" s="23">
        <v>0</v>
      </c>
      <c r="G39" s="23">
        <v>0</v>
      </c>
      <c r="H39" s="23">
        <v>165</v>
      </c>
      <c r="I39" s="23">
        <v>285</v>
      </c>
      <c r="J39" s="23">
        <v>262.34620000000001</v>
      </c>
      <c r="K39" s="23">
        <v>194.49549999999999</v>
      </c>
      <c r="L39" s="23">
        <v>195.1968</v>
      </c>
      <c r="M39" s="23">
        <v>143.696</v>
      </c>
      <c r="N39" s="23">
        <v>100.77210000000001</v>
      </c>
      <c r="O39" s="23">
        <v>59.766818377499995</v>
      </c>
      <c r="P39" s="23">
        <v>0</v>
      </c>
      <c r="Q39" s="23">
        <v>0</v>
      </c>
      <c r="R39" s="23">
        <v>0</v>
      </c>
    </row>
    <row r="40" spans="1:18" x14ac:dyDescent="0.3">
      <c r="A40" s="18">
        <v>3103700022</v>
      </c>
      <c r="B40" s="11" t="s">
        <v>1915</v>
      </c>
      <c r="C40" s="23">
        <v>0</v>
      </c>
      <c r="D40" s="23"/>
      <c r="E40" s="23"/>
      <c r="F40" s="23">
        <v>0</v>
      </c>
      <c r="G40" s="23">
        <v>0</v>
      </c>
      <c r="H40" s="23">
        <v>8</v>
      </c>
      <c r="I40" s="23">
        <v>14</v>
      </c>
      <c r="J40" s="23">
        <v>13.3757</v>
      </c>
      <c r="K40" s="23">
        <v>10.027799999999999</v>
      </c>
      <c r="L40" s="23">
        <v>10.401999999999999</v>
      </c>
      <c r="M40" s="23">
        <v>7.6158999999999999</v>
      </c>
      <c r="N40" s="23">
        <v>5.4</v>
      </c>
      <c r="O40" s="23">
        <v>3.263325</v>
      </c>
      <c r="P40" s="23">
        <v>0</v>
      </c>
      <c r="Q40" s="23">
        <v>0</v>
      </c>
      <c r="R40" s="23">
        <v>0</v>
      </c>
    </row>
    <row r="41" spans="1:18" x14ac:dyDescent="0.3">
      <c r="A41" s="18" t="s">
        <v>2207</v>
      </c>
      <c r="B41" s="11" t="s">
        <v>1918</v>
      </c>
      <c r="C41" s="22">
        <v>0</v>
      </c>
      <c r="D41" s="22"/>
      <c r="E41" s="22"/>
      <c r="F41" s="22">
        <v>0</v>
      </c>
      <c r="G41" s="22">
        <v>0</v>
      </c>
      <c r="H41" s="22">
        <v>66</v>
      </c>
      <c r="I41" s="22">
        <v>88</v>
      </c>
      <c r="J41" s="22">
        <v>84</v>
      </c>
      <c r="K41" s="22">
        <v>72</v>
      </c>
      <c r="L41" s="22">
        <v>79</v>
      </c>
      <c r="M41" s="22">
        <v>65</v>
      </c>
      <c r="N41" s="22">
        <v>51</v>
      </c>
      <c r="O41" s="22">
        <v>31</v>
      </c>
      <c r="P41" s="22">
        <v>0</v>
      </c>
      <c r="Q41" s="22">
        <v>0</v>
      </c>
      <c r="R41" s="22">
        <v>0</v>
      </c>
    </row>
    <row r="42" spans="1:18" x14ac:dyDescent="0.3">
      <c r="A42" s="18" t="s">
        <v>2208</v>
      </c>
      <c r="B42" s="11" t="s">
        <v>264</v>
      </c>
      <c r="C42" s="23">
        <v>0</v>
      </c>
      <c r="D42" s="23"/>
      <c r="E42" s="23"/>
      <c r="F42" s="23">
        <v>0</v>
      </c>
      <c r="G42" s="23">
        <v>0</v>
      </c>
      <c r="H42" s="23">
        <v>3.4</v>
      </c>
      <c r="I42" s="23">
        <v>5.82</v>
      </c>
      <c r="J42" s="23">
        <v>5.5959000000000003</v>
      </c>
      <c r="K42" s="23">
        <v>4.1417999999999999</v>
      </c>
      <c r="L42" s="23">
        <v>3.6842999999999999</v>
      </c>
      <c r="M42" s="23">
        <v>2.7149999999999999</v>
      </c>
      <c r="N42" s="23">
        <v>1.91</v>
      </c>
      <c r="O42" s="23">
        <v>1.1370179970000001</v>
      </c>
      <c r="P42" s="23">
        <v>0</v>
      </c>
      <c r="Q42" s="23">
        <v>0</v>
      </c>
      <c r="R42" s="23">
        <v>0</v>
      </c>
    </row>
    <row r="43" spans="1:18" x14ac:dyDescent="0.3">
      <c r="A43" s="18" t="s">
        <v>2209</v>
      </c>
      <c r="B43" s="11" t="s">
        <v>1916</v>
      </c>
      <c r="C43" s="49">
        <v>0</v>
      </c>
      <c r="D43" s="49"/>
      <c r="E43" s="49"/>
      <c r="F43" s="49">
        <v>0</v>
      </c>
      <c r="G43" s="49">
        <v>0</v>
      </c>
      <c r="H43" s="49">
        <v>0.1</v>
      </c>
      <c r="I43" s="49">
        <v>0.17</v>
      </c>
      <c r="J43" s="49">
        <v>0.163799</v>
      </c>
      <c r="K43" s="49">
        <v>0.121236</v>
      </c>
      <c r="L43" s="49">
        <v>0.107844</v>
      </c>
      <c r="M43" s="49">
        <v>7.9472000000000001E-2</v>
      </c>
      <c r="N43" s="49">
        <v>5.5144621220770698E-2</v>
      </c>
      <c r="O43" s="49">
        <v>3.2849050022619702E-2</v>
      </c>
      <c r="P43" s="49">
        <v>0</v>
      </c>
      <c r="Q43" s="49">
        <v>0</v>
      </c>
      <c r="R43" s="49">
        <v>0</v>
      </c>
    </row>
    <row r="44" spans="1:18" x14ac:dyDescent="0.3">
      <c r="A44" s="18" t="s">
        <v>1921</v>
      </c>
      <c r="B44" s="11" t="s">
        <v>1815</v>
      </c>
      <c r="C44" s="23">
        <v>0</v>
      </c>
      <c r="D44" s="23"/>
      <c r="E44" s="23"/>
      <c r="F44" s="23">
        <v>0</v>
      </c>
      <c r="G44" s="23">
        <v>0</v>
      </c>
      <c r="H44" s="23">
        <v>2.2000000000000002</v>
      </c>
      <c r="I44" s="23">
        <v>4</v>
      </c>
      <c r="J44" s="23">
        <v>-6.4184999999999999</v>
      </c>
      <c r="K44" s="23">
        <v>-6.6589999999999998</v>
      </c>
      <c r="L44" s="23">
        <v>-9.5722000000000005</v>
      </c>
      <c r="M44" s="23">
        <v>-5.4261999999999997</v>
      </c>
      <c r="N44" s="23">
        <v>-3.85</v>
      </c>
      <c r="O44" s="23">
        <v>-2.5422893559999999</v>
      </c>
      <c r="P44" s="23">
        <v>0</v>
      </c>
      <c r="Q44" s="23">
        <v>0</v>
      </c>
      <c r="R44" s="23">
        <v>0</v>
      </c>
    </row>
    <row r="45" spans="1:18" x14ac:dyDescent="0.3">
      <c r="A45" s="18">
        <v>3104300001</v>
      </c>
      <c r="B45" s="11" t="s">
        <v>1913</v>
      </c>
      <c r="C45" s="23">
        <v>20</v>
      </c>
      <c r="D45" s="23"/>
      <c r="E45" s="23"/>
      <c r="F45" s="23">
        <v>20</v>
      </c>
      <c r="G45" s="23">
        <v>20</v>
      </c>
      <c r="H45" s="23">
        <v>19</v>
      </c>
      <c r="I45" s="23">
        <v>19</v>
      </c>
      <c r="J45" s="23">
        <v>19</v>
      </c>
      <c r="K45" s="23">
        <v>18</v>
      </c>
      <c r="L45" s="99">
        <v>18</v>
      </c>
      <c r="M45" s="99">
        <v>17</v>
      </c>
      <c r="N45" s="99">
        <v>17</v>
      </c>
      <c r="O45" s="99">
        <v>17</v>
      </c>
      <c r="P45" s="99">
        <v>16</v>
      </c>
      <c r="Q45" s="99">
        <v>16</v>
      </c>
      <c r="R45" s="99">
        <v>15</v>
      </c>
    </row>
    <row r="46" spans="1:18" x14ac:dyDescent="0.3">
      <c r="A46" s="18">
        <v>3104400002</v>
      </c>
      <c r="B46" s="11" t="s">
        <v>2898</v>
      </c>
      <c r="F46" s="82">
        <v>-11</v>
      </c>
      <c r="G46" s="82"/>
      <c r="H46" s="82"/>
      <c r="I46" s="82">
        <v>-37.9</v>
      </c>
      <c r="J46" s="82">
        <v>-49.3</v>
      </c>
      <c r="K46" s="82">
        <v>-46.8</v>
      </c>
      <c r="L46" s="82">
        <v>-43.7</v>
      </c>
      <c r="M46" s="82">
        <v>-40.93</v>
      </c>
      <c r="N46" s="82">
        <v>-47.955452276289797</v>
      </c>
      <c r="O46" s="82">
        <v>-50.136552339673997</v>
      </c>
      <c r="P46" s="82">
        <v>-49.877704411201499</v>
      </c>
      <c r="Q46" s="82">
        <v>-47.726081331693301</v>
      </c>
      <c r="R46" s="82">
        <v>-42.147736222701504</v>
      </c>
    </row>
    <row r="47" spans="1:18" x14ac:dyDescent="0.3">
      <c r="A47" s="18">
        <v>3104500002</v>
      </c>
      <c r="B47" s="11" t="s">
        <v>2897</v>
      </c>
      <c r="F47" s="82">
        <v>121.73911083</v>
      </c>
      <c r="G47" s="82"/>
      <c r="H47" s="82"/>
      <c r="I47" s="82">
        <v>-83.70208636522301</v>
      </c>
      <c r="J47" s="82">
        <v>-166.07999999999998</v>
      </c>
      <c r="K47" s="82">
        <v>-160.93564025929999</v>
      </c>
      <c r="L47" s="82">
        <v>-172.71967098633098</v>
      </c>
      <c r="M47" s="82">
        <v>-150.69</v>
      </c>
      <c r="N47" s="82">
        <v>-205.4944852768032</v>
      </c>
      <c r="O47" s="82">
        <v>-230.56344766032601</v>
      </c>
      <c r="P47" s="82">
        <v>-221.18480599611601</v>
      </c>
      <c r="Q47" s="82">
        <v>-231.76864043106801</v>
      </c>
      <c r="R47" s="82">
        <v>-195.958948003057</v>
      </c>
    </row>
    <row r="48" spans="1:18" x14ac:dyDescent="0.3">
      <c r="B48" s="11"/>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134"/>
  <sheetViews>
    <sheetView zoomScale="90" zoomScaleNormal="90" workbookViewId="0">
      <pane xSplit="2" ySplit="1" topLeftCell="J2" activePane="bottomRight" state="frozen"/>
      <selection activeCell="N42" sqref="N42"/>
      <selection pane="topRight" activeCell="N42" sqref="N42"/>
      <selection pane="bottomLeft" activeCell="N42" sqref="N42"/>
      <selection pane="bottomRight" activeCell="Q18" sqref="Q18"/>
    </sheetView>
  </sheetViews>
  <sheetFormatPr baseColWidth="10" defaultRowHeight="14.4" x14ac:dyDescent="0.3"/>
  <cols>
    <col min="1" max="1" width="6.44140625" bestFit="1" customWidth="1"/>
    <col min="2" max="2" width="54.5546875" bestFit="1" customWidth="1"/>
    <col min="3" max="15" width="13.5546875" customWidth="1"/>
  </cols>
  <sheetData>
    <row r="1" spans="1:15" ht="14.85" customHeight="1" x14ac:dyDescent="0.3">
      <c r="A1" s="67" t="s">
        <v>206</v>
      </c>
      <c r="B1" s="66" t="s">
        <v>205</v>
      </c>
      <c r="C1" s="45">
        <v>45627</v>
      </c>
      <c r="D1" s="45">
        <v>45658</v>
      </c>
      <c r="E1" s="45">
        <v>45689</v>
      </c>
      <c r="F1" s="45">
        <v>45717</v>
      </c>
      <c r="G1" s="45">
        <v>45748</v>
      </c>
      <c r="H1" s="45">
        <v>45778</v>
      </c>
      <c r="I1" s="45">
        <v>45809</v>
      </c>
      <c r="J1" s="45">
        <v>45839</v>
      </c>
      <c r="K1" s="45">
        <v>45870</v>
      </c>
      <c r="L1" s="45">
        <v>45901</v>
      </c>
      <c r="M1" s="45">
        <v>45931</v>
      </c>
      <c r="N1" s="45">
        <v>45962</v>
      </c>
      <c r="O1" s="45">
        <v>45992</v>
      </c>
    </row>
    <row r="2" spans="1:15" ht="14.85" customHeight="1" x14ac:dyDescent="0.3">
      <c r="A2" s="12">
        <v>31100</v>
      </c>
      <c r="B2" s="8" t="s">
        <v>2065</v>
      </c>
      <c r="C2" s="31">
        <v>7027.3476700000001</v>
      </c>
      <c r="D2" s="31">
        <f>7008709965.98/1000000</f>
        <v>7008.7099659799997</v>
      </c>
      <c r="E2" s="31">
        <f>6881162376.44088/1000000</f>
        <v>6881.1623764408796</v>
      </c>
      <c r="F2" s="31">
        <v>6729.5127428384403</v>
      </c>
      <c r="G2" s="31">
        <v>6647.33665331466</v>
      </c>
      <c r="H2" s="31">
        <v>6633.6163057146596</v>
      </c>
      <c r="I2" s="31">
        <v>6528.4793648735504</v>
      </c>
      <c r="J2" s="31">
        <v>6447.2949325024701</v>
      </c>
      <c r="K2" s="31">
        <v>6313.7821837724696</v>
      </c>
      <c r="L2" s="31">
        <v>5931.1948763788396</v>
      </c>
      <c r="M2" s="31">
        <v>5804.2578282535596</v>
      </c>
      <c r="N2" s="31">
        <v>5768.5616520735603</v>
      </c>
      <c r="O2" s="31">
        <v>5525.9596548895297</v>
      </c>
    </row>
    <row r="3" spans="1:15" ht="14.85" customHeight="1" x14ac:dyDescent="0.3">
      <c r="A3" s="12">
        <v>31101</v>
      </c>
      <c r="B3" s="8" t="s">
        <v>2066</v>
      </c>
      <c r="C3" s="31">
        <v>7027</v>
      </c>
      <c r="D3" s="31">
        <v>7009</v>
      </c>
      <c r="E3" s="31">
        <v>6681</v>
      </c>
      <c r="F3" s="31">
        <v>6730</v>
      </c>
      <c r="G3" s="31">
        <v>6647</v>
      </c>
      <c r="H3" s="31">
        <v>6634</v>
      </c>
      <c r="I3" s="31">
        <v>6528.4793648735504</v>
      </c>
      <c r="J3" s="31">
        <v>6447.294932502472</v>
      </c>
      <c r="K3" s="31">
        <v>6313.7821837724705</v>
      </c>
      <c r="L3" s="31">
        <v>5931.1948763788414</v>
      </c>
      <c r="M3" s="31">
        <v>5804.2578282535706</v>
      </c>
      <c r="N3" s="31">
        <v>5768.5616520735693</v>
      </c>
      <c r="O3" s="31">
        <v>5525.9596548895333</v>
      </c>
    </row>
    <row r="4" spans="1:15" ht="14.85" customHeight="1" x14ac:dyDescent="0.3">
      <c r="A4" s="12">
        <v>31102</v>
      </c>
      <c r="B4" s="8" t="s">
        <v>2067</v>
      </c>
      <c r="C4" s="31" t="s">
        <v>1767</v>
      </c>
      <c r="D4" s="31" t="s">
        <v>1767</v>
      </c>
      <c r="E4" s="31" t="s">
        <v>1767</v>
      </c>
      <c r="F4" s="31" t="s">
        <v>1767</v>
      </c>
      <c r="G4" s="31" t="s">
        <v>1767</v>
      </c>
      <c r="H4" s="31" t="s">
        <v>1767</v>
      </c>
      <c r="I4" s="31" t="s">
        <v>1767</v>
      </c>
      <c r="J4" s="31" t="s">
        <v>1767</v>
      </c>
      <c r="K4" s="31" t="s">
        <v>1767</v>
      </c>
      <c r="L4" s="31" t="s">
        <v>1767</v>
      </c>
      <c r="M4" s="31" t="s">
        <v>1767</v>
      </c>
      <c r="N4" s="31" t="s">
        <v>1767</v>
      </c>
      <c r="O4" s="31" t="s">
        <v>1767</v>
      </c>
    </row>
    <row r="5" spans="1:15" ht="14.85" customHeight="1" x14ac:dyDescent="0.3">
      <c r="A5" s="12">
        <v>31103</v>
      </c>
      <c r="B5" s="8" t="s">
        <v>2068</v>
      </c>
      <c r="C5" s="31" t="s">
        <v>1767</v>
      </c>
      <c r="D5" s="31" t="s">
        <v>1767</v>
      </c>
      <c r="E5" s="31" t="s">
        <v>1767</v>
      </c>
      <c r="F5" s="31" t="s">
        <v>1767</v>
      </c>
      <c r="G5" s="31" t="s">
        <v>1767</v>
      </c>
      <c r="H5" s="31" t="s">
        <v>1767</v>
      </c>
      <c r="I5" s="31" t="s">
        <v>1767</v>
      </c>
      <c r="J5" s="31" t="s">
        <v>1767</v>
      </c>
      <c r="K5" s="31" t="s">
        <v>1767</v>
      </c>
      <c r="L5" s="31" t="s">
        <v>1767</v>
      </c>
      <c r="M5" s="31" t="s">
        <v>1767</v>
      </c>
      <c r="N5" s="31" t="s">
        <v>1767</v>
      </c>
      <c r="O5" s="31" t="s">
        <v>1767</v>
      </c>
    </row>
    <row r="6" spans="1:15" ht="14.85" customHeight="1" x14ac:dyDescent="0.3">
      <c r="A6" s="12">
        <v>31104</v>
      </c>
      <c r="B6" s="8" t="s">
        <v>2069</v>
      </c>
      <c r="C6" s="31">
        <v>7027</v>
      </c>
      <c r="D6" s="31">
        <v>7009</v>
      </c>
      <c r="E6" s="31">
        <v>6881</v>
      </c>
      <c r="F6" s="31">
        <v>6730</v>
      </c>
      <c r="G6" s="31">
        <v>6647</v>
      </c>
      <c r="H6" s="31">
        <v>6634</v>
      </c>
      <c r="I6" s="31">
        <v>6528.4793648735522</v>
      </c>
      <c r="J6" s="31">
        <v>6447.294932502472</v>
      </c>
      <c r="K6" s="31">
        <v>6313.7821837724696</v>
      </c>
      <c r="L6" s="31">
        <v>5931.1948763788414</v>
      </c>
      <c r="M6" s="31">
        <v>5804.2578282535715</v>
      </c>
      <c r="N6" s="31">
        <v>5768.5616520735684</v>
      </c>
      <c r="O6" s="31">
        <v>5525.9596548895333</v>
      </c>
    </row>
    <row r="7" spans="1:15" ht="14.85" customHeight="1" x14ac:dyDescent="0.3">
      <c r="A7" s="12">
        <v>31105</v>
      </c>
      <c r="B7" s="8" t="s">
        <v>2070</v>
      </c>
      <c r="C7" s="31">
        <v>674</v>
      </c>
      <c r="D7" s="31">
        <v>668</v>
      </c>
      <c r="E7" s="31">
        <v>662</v>
      </c>
      <c r="F7" s="31">
        <v>655</v>
      </c>
      <c r="G7" s="31">
        <v>649</v>
      </c>
      <c r="H7" s="31">
        <v>664</v>
      </c>
      <c r="I7" s="31">
        <v>637.77300384</v>
      </c>
      <c r="J7" s="31">
        <v>631.14847344000009</v>
      </c>
      <c r="K7" s="31">
        <v>624.46181023999998</v>
      </c>
      <c r="L7" s="31">
        <v>617.71241415999998</v>
      </c>
      <c r="M7" s="31">
        <v>610.8996793</v>
      </c>
      <c r="N7" s="31">
        <v>604.01699392</v>
      </c>
      <c r="O7" s="31">
        <v>597.07574036000005</v>
      </c>
    </row>
    <row r="8" spans="1:15" ht="14.85" customHeight="1" x14ac:dyDescent="0.3">
      <c r="A8" s="12">
        <v>31106</v>
      </c>
      <c r="B8" s="8" t="s">
        <v>2071</v>
      </c>
      <c r="C8" s="31">
        <v>2651.1632399999999</v>
      </c>
      <c r="D8" s="31">
        <v>2613.4499999999998</v>
      </c>
      <c r="E8" s="31">
        <v>2583.4950608208901</v>
      </c>
      <c r="F8" s="31">
        <v>2528.4680172584399</v>
      </c>
      <c r="G8" s="31">
        <v>2481.29515320466</v>
      </c>
      <c r="H8" s="31">
        <v>2459.9059373046598</v>
      </c>
      <c r="I8" s="31">
        <v>2390.6645685735498</v>
      </c>
      <c r="J8" s="31">
        <v>2364.43018017247</v>
      </c>
      <c r="K8" s="31">
        <v>2301.3585861424699</v>
      </c>
      <c r="L8" s="31">
        <v>2238.1815757588402</v>
      </c>
      <c r="M8" s="31">
        <v>2197.5036394735698</v>
      </c>
      <c r="N8" s="31">
        <v>2183.2552199935699</v>
      </c>
      <c r="O8" s="31">
        <v>2133.8902691195299</v>
      </c>
    </row>
    <row r="9" spans="1:15" ht="14.85" customHeight="1" x14ac:dyDescent="0.3">
      <c r="A9" s="12">
        <v>31107</v>
      </c>
      <c r="B9" s="8" t="s">
        <v>2072</v>
      </c>
      <c r="C9" s="31">
        <v>2620.6844299999998</v>
      </c>
      <c r="D9" s="31">
        <v>2659.76</v>
      </c>
      <c r="E9" s="31">
        <v>2562.16731562</v>
      </c>
      <c r="F9" s="31">
        <v>2465.54472558</v>
      </c>
      <c r="G9" s="31">
        <v>2485.54150011</v>
      </c>
      <c r="H9" s="31">
        <v>2493.2103684099998</v>
      </c>
      <c r="I9" s="31">
        <v>2457.3147963000001</v>
      </c>
      <c r="J9" s="31">
        <v>2402.3647523300001</v>
      </c>
      <c r="K9" s="31">
        <v>2351.9235976300001</v>
      </c>
      <c r="L9" s="31">
        <v>2282.5133006199999</v>
      </c>
      <c r="M9" s="31">
        <v>2246.2541887799998</v>
      </c>
      <c r="N9" s="31">
        <v>2224.8064320799999</v>
      </c>
      <c r="O9" s="31">
        <v>2031.5693857700001</v>
      </c>
    </row>
    <row r="10" spans="1:15" ht="14.85" customHeight="1" x14ac:dyDescent="0.3">
      <c r="A10" s="12">
        <v>31108</v>
      </c>
      <c r="B10" s="8" t="s">
        <v>2073</v>
      </c>
      <c r="C10" s="31">
        <v>1755.5</v>
      </c>
      <c r="D10" s="31">
        <v>1735.5</v>
      </c>
      <c r="E10" s="31">
        <v>1735.5</v>
      </c>
      <c r="F10" s="31">
        <v>1735.5</v>
      </c>
      <c r="G10" s="31">
        <v>1680.5</v>
      </c>
      <c r="H10" s="31">
        <v>1680.5</v>
      </c>
      <c r="I10" s="31">
        <v>1680.5</v>
      </c>
      <c r="J10" s="31">
        <v>1680.5</v>
      </c>
      <c r="K10" s="31">
        <v>1660.5</v>
      </c>
      <c r="L10" s="31">
        <v>1410.5</v>
      </c>
      <c r="M10" s="31">
        <v>1360.5</v>
      </c>
      <c r="N10" s="31">
        <v>1360.5</v>
      </c>
      <c r="O10" s="31">
        <v>1360.5</v>
      </c>
    </row>
    <row r="11" spans="1:15" ht="14.85" customHeight="1" x14ac:dyDescent="0.3">
      <c r="A11" s="12">
        <v>31109</v>
      </c>
      <c r="B11" s="8" t="s">
        <v>2074</v>
      </c>
      <c r="C11" s="31" t="s">
        <v>1767</v>
      </c>
      <c r="D11" s="31">
        <v>16</v>
      </c>
      <c r="E11" s="31">
        <v>183</v>
      </c>
      <c r="F11" s="31">
        <v>642</v>
      </c>
      <c r="G11" s="31">
        <v>778</v>
      </c>
      <c r="H11" s="31">
        <v>935.62771733</v>
      </c>
      <c r="I11" s="31">
        <v>789.04291841999998</v>
      </c>
      <c r="J11" s="31">
        <v>939.61375276000001</v>
      </c>
      <c r="K11" s="31">
        <v>967.32494095000004</v>
      </c>
      <c r="L11" s="31">
        <v>963.17450754000004</v>
      </c>
      <c r="M11" s="31">
        <v>1032.0066813599999</v>
      </c>
      <c r="N11" s="31">
        <v>1698.6636431300001</v>
      </c>
      <c r="O11" s="31">
        <v>1698.34739762</v>
      </c>
    </row>
    <row r="12" spans="1:15" ht="14.85" customHeight="1" x14ac:dyDescent="0.3">
      <c r="A12" s="12">
        <v>31110</v>
      </c>
      <c r="B12" s="8" t="s">
        <v>2075</v>
      </c>
      <c r="C12" s="31" t="s">
        <v>1767</v>
      </c>
      <c r="D12" s="31">
        <v>16</v>
      </c>
      <c r="E12" s="31">
        <v>183</v>
      </c>
      <c r="F12" s="31">
        <v>642</v>
      </c>
      <c r="G12" s="31">
        <v>778</v>
      </c>
      <c r="H12" s="31">
        <v>936</v>
      </c>
      <c r="I12" s="31">
        <v>974.54211841999995</v>
      </c>
      <c r="J12" s="31">
        <v>1126.8729527600001</v>
      </c>
      <c r="K12" s="31">
        <v>1206.4778322699999</v>
      </c>
      <c r="L12" s="31">
        <v>1201.30877702</v>
      </c>
      <c r="M12" s="31">
        <v>1313.9223290000002</v>
      </c>
      <c r="N12" s="31">
        <v>1698.6636431299999</v>
      </c>
      <c r="O12" s="31">
        <v>1698.3473976200003</v>
      </c>
    </row>
    <row r="13" spans="1:15" ht="14.85" customHeight="1" x14ac:dyDescent="0.3">
      <c r="A13" s="12">
        <v>31111</v>
      </c>
      <c r="B13" s="8" t="s">
        <v>2076</v>
      </c>
      <c r="C13" s="31" t="s">
        <v>1767</v>
      </c>
      <c r="D13" s="31" t="s">
        <v>1767</v>
      </c>
      <c r="E13" s="31" t="s">
        <v>1767</v>
      </c>
      <c r="F13" s="31" t="s">
        <v>1767</v>
      </c>
      <c r="G13" s="31" t="s">
        <v>1767</v>
      </c>
      <c r="H13" s="31" t="s">
        <v>1767</v>
      </c>
      <c r="I13" s="31" t="s">
        <v>1767</v>
      </c>
      <c r="J13" s="31" t="s">
        <v>1767</v>
      </c>
      <c r="K13" s="31" t="s">
        <v>1767</v>
      </c>
      <c r="L13" s="31" t="s">
        <v>1767</v>
      </c>
      <c r="M13" s="31" t="s">
        <v>1767</v>
      </c>
      <c r="N13" s="31" t="s">
        <v>1767</v>
      </c>
      <c r="O13" s="31" t="s">
        <v>1767</v>
      </c>
    </row>
    <row r="14" spans="1:15" ht="14.85" customHeight="1" x14ac:dyDescent="0.3">
      <c r="A14" s="12">
        <v>31112</v>
      </c>
      <c r="B14" s="8" t="s">
        <v>2077</v>
      </c>
      <c r="C14" s="31" t="s">
        <v>1767</v>
      </c>
      <c r="D14" s="31" t="s">
        <v>1767</v>
      </c>
      <c r="E14" s="31" t="s">
        <v>1767</v>
      </c>
      <c r="F14" s="31" t="s">
        <v>1767</v>
      </c>
      <c r="G14" s="31" t="s">
        <v>1767</v>
      </c>
      <c r="H14" s="31" t="s">
        <v>1767</v>
      </c>
      <c r="I14" s="31" t="s">
        <v>1767</v>
      </c>
      <c r="J14" s="31" t="s">
        <v>1767</v>
      </c>
      <c r="K14" s="31" t="s">
        <v>1767</v>
      </c>
      <c r="L14" s="31" t="s">
        <v>1767</v>
      </c>
      <c r="M14" s="31" t="s">
        <v>1767</v>
      </c>
      <c r="N14" s="31" t="s">
        <v>1767</v>
      </c>
      <c r="O14" s="31" t="s">
        <v>1767</v>
      </c>
    </row>
    <row r="15" spans="1:15" ht="14.85" customHeight="1" x14ac:dyDescent="0.3">
      <c r="A15" s="12">
        <v>31113</v>
      </c>
      <c r="B15" s="8" t="s">
        <v>2078</v>
      </c>
      <c r="C15" s="31" t="s">
        <v>1767</v>
      </c>
      <c r="D15" s="31">
        <v>16</v>
      </c>
      <c r="E15" s="31">
        <v>183</v>
      </c>
      <c r="F15" s="31">
        <v>642</v>
      </c>
      <c r="G15" s="31">
        <v>778</v>
      </c>
      <c r="H15" s="31">
        <v>936</v>
      </c>
      <c r="I15" s="31">
        <v>974.54211841999995</v>
      </c>
      <c r="J15" s="31">
        <v>1126.8729527600001</v>
      </c>
      <c r="K15" s="31">
        <v>1206.4778322699999</v>
      </c>
      <c r="L15" s="31">
        <v>1201.30877702</v>
      </c>
      <c r="M15" s="31">
        <v>1313.9223290000002</v>
      </c>
      <c r="N15" s="31">
        <v>1698.6636431299999</v>
      </c>
      <c r="O15" s="31">
        <v>1698.3473976200003</v>
      </c>
    </row>
    <row r="16" spans="1:15" ht="14.85" customHeight="1" x14ac:dyDescent="0.3">
      <c r="A16" s="12">
        <v>31114</v>
      </c>
      <c r="B16" s="8" t="s">
        <v>2079</v>
      </c>
      <c r="C16" s="31" t="s">
        <v>1767</v>
      </c>
      <c r="D16" s="31" t="s">
        <v>1767</v>
      </c>
      <c r="E16" s="31" t="s">
        <v>1767</v>
      </c>
      <c r="F16" s="31" t="s">
        <v>1767</v>
      </c>
      <c r="G16" s="31" t="s">
        <v>1767</v>
      </c>
      <c r="H16" s="31" t="s">
        <v>1767</v>
      </c>
      <c r="I16" s="31" t="s">
        <v>1767</v>
      </c>
      <c r="J16" s="31" t="s">
        <v>1767</v>
      </c>
      <c r="K16" s="31" t="s">
        <v>1767</v>
      </c>
      <c r="L16" s="31" t="s">
        <v>1767</v>
      </c>
      <c r="M16" s="31" t="s">
        <v>1767</v>
      </c>
      <c r="N16" s="31" t="s">
        <v>1767</v>
      </c>
      <c r="O16" s="31" t="s">
        <v>1767</v>
      </c>
    </row>
    <row r="17" spans="1:15" ht="14.85" customHeight="1" x14ac:dyDescent="0.3">
      <c r="A17" s="12">
        <v>31115</v>
      </c>
      <c r="B17" s="8" t="s">
        <v>2080</v>
      </c>
      <c r="C17" s="31">
        <v>305</v>
      </c>
      <c r="D17" s="31">
        <v>301</v>
      </c>
      <c r="E17" s="31">
        <v>297</v>
      </c>
      <c r="F17" s="31">
        <v>294</v>
      </c>
      <c r="G17" s="31">
        <v>290</v>
      </c>
      <c r="H17" s="31">
        <v>287.45458352000003</v>
      </c>
      <c r="I17" s="31">
        <v>282.68595527999997</v>
      </c>
      <c r="J17" s="31">
        <v>279.03684306000002</v>
      </c>
      <c r="K17" s="31">
        <v>276.53684306000002</v>
      </c>
      <c r="L17" s="31">
        <v>271.36815422000001</v>
      </c>
      <c r="M17" s="31">
        <v>267.34839827000002</v>
      </c>
      <c r="N17" s="31">
        <v>264.84839827000002</v>
      </c>
      <c r="O17" s="31">
        <v>259.27803473</v>
      </c>
    </row>
    <row r="18" spans="1:15" ht="14.85" customHeight="1" x14ac:dyDescent="0.3">
      <c r="A18" s="12">
        <v>31116</v>
      </c>
      <c r="B18" s="8" t="s">
        <v>2081</v>
      </c>
      <c r="C18" s="31">
        <v>305</v>
      </c>
      <c r="D18" s="31">
        <v>301</v>
      </c>
      <c r="E18" s="31">
        <v>297</v>
      </c>
      <c r="F18" s="31">
        <v>294</v>
      </c>
      <c r="G18" s="31">
        <v>290</v>
      </c>
      <c r="H18" s="31">
        <v>287</v>
      </c>
      <c r="I18" s="31">
        <v>282.68595527999997</v>
      </c>
      <c r="J18" s="31">
        <v>279.03684306000002</v>
      </c>
      <c r="K18" s="31">
        <v>276.53684306000002</v>
      </c>
      <c r="L18" s="31">
        <v>271.36815422000001</v>
      </c>
      <c r="M18" s="31">
        <v>267.34839827000002</v>
      </c>
      <c r="N18" s="31">
        <v>264.84839827000002</v>
      </c>
      <c r="O18" s="31">
        <v>259.27803473</v>
      </c>
    </row>
    <row r="19" spans="1:15" ht="14.85" customHeight="1" x14ac:dyDescent="0.3">
      <c r="A19" s="12">
        <v>31117</v>
      </c>
      <c r="B19" s="8" t="s">
        <v>2082</v>
      </c>
      <c r="C19" s="31" t="s">
        <v>1767</v>
      </c>
      <c r="D19" s="31" t="s">
        <v>1767</v>
      </c>
      <c r="E19" s="31" t="s">
        <v>1767</v>
      </c>
      <c r="F19" s="31" t="s">
        <v>1767</v>
      </c>
      <c r="G19" s="31" t="s">
        <v>1767</v>
      </c>
      <c r="H19" s="31" t="s">
        <v>1767</v>
      </c>
      <c r="I19" s="31" t="s">
        <v>1767</v>
      </c>
      <c r="J19" s="31" t="s">
        <v>1767</v>
      </c>
      <c r="K19" s="31" t="s">
        <v>1767</v>
      </c>
      <c r="L19" s="31" t="s">
        <v>1767</v>
      </c>
      <c r="M19" s="31" t="s">
        <v>1767</v>
      </c>
      <c r="N19" s="31" t="s">
        <v>1767</v>
      </c>
      <c r="O19" s="31" t="s">
        <v>1767</v>
      </c>
    </row>
    <row r="20" spans="1:15" ht="14.85" customHeight="1" x14ac:dyDescent="0.3">
      <c r="A20" s="12">
        <v>31118</v>
      </c>
      <c r="B20" s="8" t="s">
        <v>2083</v>
      </c>
      <c r="C20" s="31" t="s">
        <v>1767</v>
      </c>
      <c r="D20" s="31" t="s">
        <v>1767</v>
      </c>
      <c r="E20" s="31" t="s">
        <v>1767</v>
      </c>
      <c r="F20" s="31" t="s">
        <v>1767</v>
      </c>
      <c r="G20" s="31" t="s">
        <v>1767</v>
      </c>
      <c r="H20" s="31" t="s">
        <v>1767</v>
      </c>
      <c r="I20" s="31" t="s">
        <v>1767</v>
      </c>
      <c r="J20" s="31" t="s">
        <v>1767</v>
      </c>
      <c r="K20" s="31" t="s">
        <v>1767</v>
      </c>
      <c r="L20" s="31" t="s">
        <v>1767</v>
      </c>
      <c r="M20" s="31" t="s">
        <v>1767</v>
      </c>
      <c r="N20" s="31" t="s">
        <v>1767</v>
      </c>
      <c r="O20" s="31" t="s">
        <v>1767</v>
      </c>
    </row>
    <row r="21" spans="1:15" ht="14.85" customHeight="1" x14ac:dyDescent="0.3">
      <c r="A21" s="12">
        <v>31119</v>
      </c>
      <c r="B21" s="8" t="s">
        <v>2084</v>
      </c>
      <c r="C21" s="31">
        <v>305</v>
      </c>
      <c r="D21" s="31">
        <v>301</v>
      </c>
      <c r="E21" s="31">
        <v>297</v>
      </c>
      <c r="F21" s="31">
        <v>294</v>
      </c>
      <c r="G21" s="31">
        <v>290</v>
      </c>
      <c r="H21" s="31">
        <v>287</v>
      </c>
      <c r="I21" s="31">
        <v>282.68595527999997</v>
      </c>
      <c r="J21" s="31">
        <v>279.03684306000002</v>
      </c>
      <c r="K21" s="31">
        <v>276.53684306000002</v>
      </c>
      <c r="L21" s="31">
        <v>271.36815422000001</v>
      </c>
      <c r="M21" s="31">
        <v>267.34839827000002</v>
      </c>
      <c r="N21" s="31">
        <v>264.84839827000002</v>
      </c>
      <c r="O21" s="31">
        <v>259.27803473</v>
      </c>
    </row>
    <row r="22" spans="1:15" ht="14.85" customHeight="1" x14ac:dyDescent="0.3">
      <c r="A22" s="12">
        <v>31120</v>
      </c>
      <c r="B22" s="8" t="s">
        <v>2085</v>
      </c>
      <c r="C22" s="31" t="s">
        <v>1767</v>
      </c>
      <c r="D22" s="31" t="s">
        <v>1767</v>
      </c>
      <c r="E22" s="31" t="s">
        <v>1767</v>
      </c>
      <c r="F22" s="31" t="s">
        <v>1767</v>
      </c>
      <c r="G22" s="31" t="s">
        <v>1767</v>
      </c>
      <c r="H22" s="31" t="s">
        <v>1767</v>
      </c>
      <c r="I22" s="31" t="s">
        <v>1767</v>
      </c>
      <c r="J22" s="31" t="s">
        <v>1767</v>
      </c>
      <c r="K22" s="31" t="s">
        <v>1767</v>
      </c>
      <c r="L22" s="31" t="s">
        <v>1767</v>
      </c>
      <c r="M22" s="31" t="s">
        <v>1767</v>
      </c>
      <c r="N22" s="31" t="s">
        <v>1767</v>
      </c>
      <c r="O22" s="31" t="s">
        <v>1767</v>
      </c>
    </row>
    <row r="23" spans="1:15" ht="14.85" customHeight="1" x14ac:dyDescent="0.3">
      <c r="A23" s="12">
        <v>31121</v>
      </c>
      <c r="B23" s="8" t="s">
        <v>2071</v>
      </c>
      <c r="C23" s="31">
        <v>88</v>
      </c>
      <c r="D23" s="31">
        <v>86</v>
      </c>
      <c r="E23" s="31">
        <v>83</v>
      </c>
      <c r="F23" s="31">
        <v>81</v>
      </c>
      <c r="G23" s="31">
        <v>78</v>
      </c>
      <c r="H23" s="31">
        <v>76</v>
      </c>
      <c r="I23" s="31">
        <v>73</v>
      </c>
      <c r="J23" s="31">
        <v>70.5</v>
      </c>
      <c r="K23" s="31">
        <v>68</v>
      </c>
      <c r="L23" s="31">
        <v>65.159574469999995</v>
      </c>
      <c r="M23" s="31">
        <v>62.319148939999998</v>
      </c>
      <c r="N23" s="31">
        <v>59.819148939999998</v>
      </c>
      <c r="O23" s="31">
        <v>56.638297880000003</v>
      </c>
    </row>
    <row r="24" spans="1:15" ht="14.85" customHeight="1" x14ac:dyDescent="0.3">
      <c r="A24" s="12">
        <v>31122</v>
      </c>
      <c r="B24" s="8" t="s">
        <v>2072</v>
      </c>
      <c r="C24" s="31">
        <v>217</v>
      </c>
      <c r="D24" s="31">
        <v>215</v>
      </c>
      <c r="E24" s="31">
        <v>214</v>
      </c>
      <c r="F24" s="31">
        <v>213</v>
      </c>
      <c r="G24" s="31">
        <v>212</v>
      </c>
      <c r="H24" s="31">
        <v>212</v>
      </c>
      <c r="I24" s="31">
        <v>209.68595528</v>
      </c>
      <c r="J24" s="31">
        <v>208.53684306</v>
      </c>
      <c r="K24" s="31">
        <v>208.53684306</v>
      </c>
      <c r="L24" s="31">
        <v>206.20857975000001</v>
      </c>
      <c r="M24" s="31">
        <v>205.02924933</v>
      </c>
      <c r="N24" s="31">
        <v>205.02924933</v>
      </c>
      <c r="O24" s="31">
        <v>202.63973684999999</v>
      </c>
    </row>
    <row r="25" spans="1:15" ht="14.85" customHeight="1" x14ac:dyDescent="0.3">
      <c r="A25" s="12">
        <v>31123</v>
      </c>
      <c r="B25" s="8" t="s">
        <v>2086</v>
      </c>
      <c r="C25" s="31">
        <v>4632</v>
      </c>
      <c r="D25" s="31">
        <v>4480</v>
      </c>
      <c r="E25" s="31">
        <v>3906</v>
      </c>
      <c r="F25" s="31">
        <v>3811</v>
      </c>
      <c r="G25" s="31">
        <v>3668</v>
      </c>
      <c r="H25" s="31">
        <v>3614.2744092802</v>
      </c>
      <c r="I25" s="31">
        <v>3521.0625673113</v>
      </c>
      <c r="J25" s="31">
        <v>3439.8732438613602</v>
      </c>
      <c r="K25" s="31">
        <v>3442.3851536614002</v>
      </c>
      <c r="L25" s="31">
        <v>2789.2987386999998</v>
      </c>
      <c r="M25" s="31">
        <v>2560.0004676558001</v>
      </c>
      <c r="N25" s="31">
        <v>2551.2483667058</v>
      </c>
      <c r="O25" s="31">
        <v>2305.7195444240001</v>
      </c>
    </row>
    <row r="26" spans="1:15" ht="14.85" customHeight="1" x14ac:dyDescent="0.3">
      <c r="A26" s="12">
        <v>31124</v>
      </c>
      <c r="B26" s="8" t="s">
        <v>2087</v>
      </c>
      <c r="C26" s="31">
        <v>2992</v>
      </c>
      <c r="D26" s="31">
        <v>2849</v>
      </c>
      <c r="E26" s="31">
        <v>2493</v>
      </c>
      <c r="F26" s="31">
        <v>2402</v>
      </c>
      <c r="G26" s="31">
        <v>2263</v>
      </c>
      <c r="H26" s="31">
        <v>2213</v>
      </c>
      <c r="I26" s="31">
        <v>2132.9642137400001</v>
      </c>
      <c r="J26" s="31">
        <v>2060.0349147299999</v>
      </c>
      <c r="K26" s="31">
        <v>2066.0606432999998</v>
      </c>
      <c r="L26" s="31">
        <v>1448.0212367700003</v>
      </c>
      <c r="M26" s="31">
        <v>1226.8740587300001</v>
      </c>
      <c r="N26" s="31">
        <v>1221.49510233</v>
      </c>
      <c r="O26" s="31">
        <v>988.93741832000001</v>
      </c>
    </row>
    <row r="27" spans="1:15" ht="14.85" customHeight="1" x14ac:dyDescent="0.3">
      <c r="A27" s="12">
        <v>31125</v>
      </c>
      <c r="B27" s="8" t="s">
        <v>2088</v>
      </c>
      <c r="C27" s="31">
        <v>1641</v>
      </c>
      <c r="D27" s="31">
        <v>1631</v>
      </c>
      <c r="E27" s="31">
        <v>1414</v>
      </c>
      <c r="F27" s="31">
        <v>1409</v>
      </c>
      <c r="G27" s="31">
        <v>1405</v>
      </c>
      <c r="H27" s="31">
        <v>1401</v>
      </c>
      <c r="I27" s="31">
        <v>1388.0983535713281</v>
      </c>
      <c r="J27" s="31">
        <v>1379.8383291313596</v>
      </c>
      <c r="K27" s="31">
        <v>1376.3245103613599</v>
      </c>
      <c r="L27" s="31">
        <v>1341.2775019299527</v>
      </c>
      <c r="M27" s="31">
        <v>1333.1264089257916</v>
      </c>
      <c r="N27" s="31">
        <v>1329.7532643757913</v>
      </c>
      <c r="O27" s="31">
        <v>1316.7821261039785</v>
      </c>
    </row>
    <row r="28" spans="1:15" ht="14.85" customHeight="1" x14ac:dyDescent="0.3">
      <c r="A28" s="12">
        <v>31126</v>
      </c>
      <c r="B28" s="8" t="s">
        <v>2089</v>
      </c>
      <c r="C28" s="31">
        <v>1641</v>
      </c>
      <c r="D28" s="31">
        <v>1631</v>
      </c>
      <c r="E28" s="31">
        <v>1414</v>
      </c>
      <c r="F28" s="31">
        <v>1409</v>
      </c>
      <c r="G28" s="31">
        <v>1405</v>
      </c>
      <c r="H28" s="31">
        <v>1401</v>
      </c>
      <c r="I28" s="31">
        <v>1388.0983535713281</v>
      </c>
      <c r="J28" s="31">
        <v>1379.8383291313596</v>
      </c>
      <c r="K28" s="31">
        <v>1376.3245103613599</v>
      </c>
      <c r="L28" s="31">
        <v>1341.2775019299527</v>
      </c>
      <c r="M28" s="31">
        <v>1333.1264089257916</v>
      </c>
      <c r="N28" s="31">
        <v>1329.7532643757913</v>
      </c>
      <c r="O28" s="31">
        <v>1316.7821261039785</v>
      </c>
    </row>
    <row r="29" spans="1:15" ht="14.85" customHeight="1" x14ac:dyDescent="0.3">
      <c r="A29" s="12">
        <v>31127</v>
      </c>
      <c r="B29" s="8" t="s">
        <v>2090</v>
      </c>
      <c r="C29" s="31">
        <v>2992</v>
      </c>
      <c r="D29" s="31">
        <v>2849</v>
      </c>
      <c r="E29" s="31">
        <v>2493</v>
      </c>
      <c r="F29" s="31">
        <v>2402</v>
      </c>
      <c r="G29" s="31">
        <v>2263</v>
      </c>
      <c r="H29" s="31">
        <v>2213</v>
      </c>
      <c r="I29" s="31">
        <v>2132.9642137400001</v>
      </c>
      <c r="J29" s="31">
        <v>2060.0349147299999</v>
      </c>
      <c r="K29" s="31">
        <v>2066.0606432999998</v>
      </c>
      <c r="L29" s="31">
        <v>1448.0212367700003</v>
      </c>
      <c r="M29" s="31">
        <v>1226.8740587300001</v>
      </c>
      <c r="N29" s="31">
        <v>1221.4951023300002</v>
      </c>
      <c r="O29" s="31">
        <v>988.93741832000001</v>
      </c>
    </row>
    <row r="30" spans="1:15" ht="14.85" customHeight="1" x14ac:dyDescent="0.3">
      <c r="A30" s="12">
        <v>31128</v>
      </c>
      <c r="B30" s="8" t="s">
        <v>2091</v>
      </c>
      <c r="C30" s="31">
        <v>17</v>
      </c>
      <c r="D30" s="31">
        <v>16</v>
      </c>
      <c r="E30" s="31">
        <v>14</v>
      </c>
      <c r="F30" s="31">
        <v>12</v>
      </c>
      <c r="G30" s="31">
        <v>10</v>
      </c>
      <c r="H30" s="31">
        <v>8</v>
      </c>
      <c r="I30" s="31">
        <v>5.8333333400000003</v>
      </c>
      <c r="J30" s="31">
        <v>3.8888888800000001</v>
      </c>
      <c r="K30" s="31" t="s">
        <v>1767</v>
      </c>
      <c r="L30" s="31" t="s">
        <v>1767</v>
      </c>
      <c r="M30" s="31" t="s">
        <v>1767</v>
      </c>
      <c r="N30" s="31"/>
      <c r="O30" s="31"/>
    </row>
    <row r="31" spans="1:15" ht="14.85" customHeight="1" x14ac:dyDescent="0.3">
      <c r="A31" s="12">
        <v>31129</v>
      </c>
      <c r="B31" s="8" t="s">
        <v>2073</v>
      </c>
      <c r="C31" s="31">
        <v>1572</v>
      </c>
      <c r="D31" s="31">
        <v>1544</v>
      </c>
      <c r="E31" s="31">
        <v>1544</v>
      </c>
      <c r="F31" s="31">
        <v>1544</v>
      </c>
      <c r="G31" s="31">
        <v>1494</v>
      </c>
      <c r="H31" s="31">
        <v>1493.9545000000001</v>
      </c>
      <c r="I31" s="31">
        <v>1493.9545000000001</v>
      </c>
      <c r="J31" s="31">
        <v>1463.9545000000001</v>
      </c>
      <c r="K31" s="31">
        <v>1463.9545000000001</v>
      </c>
      <c r="L31" s="31">
        <v>1069</v>
      </c>
      <c r="M31" s="100">
        <v>900</v>
      </c>
      <c r="N31" s="31">
        <v>900</v>
      </c>
      <c r="O31" s="100">
        <v>825</v>
      </c>
    </row>
    <row r="32" spans="1:15" ht="14.85" customHeight="1" x14ac:dyDescent="0.3">
      <c r="A32" s="96">
        <v>31130</v>
      </c>
      <c r="B32" s="97" t="s">
        <v>2071</v>
      </c>
      <c r="C32" s="31">
        <v>2167</v>
      </c>
      <c r="D32" s="31">
        <v>2070</v>
      </c>
      <c r="E32" s="31">
        <v>1530</v>
      </c>
      <c r="F32" s="31">
        <v>1457</v>
      </c>
      <c r="G32" s="31">
        <v>1390</v>
      </c>
      <c r="H32" s="31">
        <v>1336.6137595402199</v>
      </c>
      <c r="I32" s="31">
        <v>1159.0759910213301</v>
      </c>
      <c r="J32" s="31">
        <v>1136.20822345136</v>
      </c>
      <c r="K32" s="31">
        <v>1123.72013325136</v>
      </c>
      <c r="L32" s="31">
        <v>949.89896498995301</v>
      </c>
      <c r="M32" s="31">
        <v>927.35981941579098</v>
      </c>
      <c r="N32" s="31">
        <v>918.60771846579098</v>
      </c>
      <c r="O32" s="31">
        <v>793.76260251397798</v>
      </c>
    </row>
    <row r="33" spans="1:15" ht="14.85" customHeight="1" x14ac:dyDescent="0.3">
      <c r="A33" s="96">
        <v>31131</v>
      </c>
      <c r="B33" s="97" t="s">
        <v>2072</v>
      </c>
      <c r="C33" s="31">
        <v>893</v>
      </c>
      <c r="D33" s="31">
        <v>866</v>
      </c>
      <c r="E33" s="31">
        <v>832</v>
      </c>
      <c r="F33" s="31">
        <v>811</v>
      </c>
      <c r="G33" s="31">
        <v>784</v>
      </c>
      <c r="H33" s="31">
        <v>783.70614974</v>
      </c>
      <c r="I33" s="31">
        <v>868.03207628999996</v>
      </c>
      <c r="J33" s="31">
        <v>839.71052040999996</v>
      </c>
      <c r="K33" s="31">
        <v>854.71052040999996</v>
      </c>
      <c r="L33" s="31">
        <v>770.39977370999998</v>
      </c>
      <c r="M33" s="31">
        <v>732.64064824000002</v>
      </c>
      <c r="N33" s="31">
        <v>732.64064824000002</v>
      </c>
      <c r="O33" s="31">
        <v>686.95694190999995</v>
      </c>
    </row>
    <row r="34" spans="1:15" ht="14.85" customHeight="1" x14ac:dyDescent="0.3">
      <c r="A34" s="12">
        <v>31132</v>
      </c>
      <c r="B34" s="8" t="s">
        <v>2092</v>
      </c>
      <c r="C34" s="31">
        <v>32</v>
      </c>
      <c r="D34" s="31">
        <v>32</v>
      </c>
      <c r="E34" s="31">
        <v>36</v>
      </c>
      <c r="F34" s="31">
        <v>35</v>
      </c>
      <c r="G34" s="31">
        <v>40</v>
      </c>
      <c r="H34" s="31">
        <v>44</v>
      </c>
      <c r="I34" s="31">
        <v>43.900436929999998</v>
      </c>
      <c r="J34" s="31">
        <v>43.853582529999997</v>
      </c>
      <c r="K34" s="31">
        <v>45.686975680000003</v>
      </c>
      <c r="L34" s="31">
        <v>56.019289579999999</v>
      </c>
      <c r="M34" s="31">
        <v>57.85051653</v>
      </c>
      <c r="N34" s="31">
        <v>58.680652799999997</v>
      </c>
      <c r="O34" s="31">
        <v>59.5096937</v>
      </c>
    </row>
    <row r="35" spans="1:15" ht="14.85" customHeight="1" x14ac:dyDescent="0.3">
      <c r="A35" s="12">
        <v>31133</v>
      </c>
      <c r="B35" s="8" t="s">
        <v>2093</v>
      </c>
      <c r="C35" s="31">
        <v>677</v>
      </c>
      <c r="D35" s="31">
        <v>665</v>
      </c>
      <c r="E35" s="31">
        <v>735</v>
      </c>
      <c r="F35" s="31">
        <v>726</v>
      </c>
      <c r="G35" s="31">
        <v>789</v>
      </c>
      <c r="H35" s="31">
        <v>856</v>
      </c>
      <c r="I35" s="31">
        <v>823.80925916622198</v>
      </c>
      <c r="J35" s="31">
        <v>827.42939517603986</v>
      </c>
      <c r="K35" s="31">
        <v>852.58749665232006</v>
      </c>
      <c r="L35" s="31">
        <v>1025.976482870826</v>
      </c>
      <c r="M35" s="31">
        <v>1074.8394569207881</v>
      </c>
      <c r="N35" s="31">
        <v>1073.5801471718401</v>
      </c>
      <c r="O35" s="31">
        <v>1071.6505641495999</v>
      </c>
    </row>
    <row r="36" spans="1:15" ht="14.85" customHeight="1" x14ac:dyDescent="0.3">
      <c r="A36" s="12">
        <v>31134</v>
      </c>
      <c r="B36" s="8" t="s">
        <v>2094</v>
      </c>
      <c r="C36" s="31">
        <v>32</v>
      </c>
      <c r="D36" s="31">
        <v>32</v>
      </c>
      <c r="E36" s="31">
        <v>36</v>
      </c>
      <c r="F36" s="31">
        <v>35</v>
      </c>
      <c r="G36" s="31">
        <v>40</v>
      </c>
      <c r="H36" s="31">
        <v>44</v>
      </c>
      <c r="I36" s="31">
        <v>43.900436930000005</v>
      </c>
      <c r="J36" s="31">
        <v>43.853582530000004</v>
      </c>
      <c r="K36" s="31">
        <v>45.686975679999989</v>
      </c>
      <c r="L36" s="31">
        <v>56.019289579999999</v>
      </c>
      <c r="M36" s="31">
        <v>57.85051653</v>
      </c>
      <c r="N36" s="31">
        <v>58.680652799999997</v>
      </c>
      <c r="O36" s="31">
        <v>59.5096937</v>
      </c>
    </row>
    <row r="37" spans="1:15" ht="14.85" customHeight="1" x14ac:dyDescent="0.3">
      <c r="A37" s="12">
        <v>31135</v>
      </c>
      <c r="B37" s="8" t="s">
        <v>2095</v>
      </c>
      <c r="C37" s="31" t="s">
        <v>1767</v>
      </c>
      <c r="D37" s="31" t="s">
        <v>1767</v>
      </c>
      <c r="E37" s="31" t="s">
        <v>1767</v>
      </c>
      <c r="F37" s="31" t="s">
        <v>1767</v>
      </c>
      <c r="G37" s="31" t="s">
        <v>1767</v>
      </c>
      <c r="H37" s="31" t="s">
        <v>1767</v>
      </c>
      <c r="I37" s="31" t="s">
        <v>1767</v>
      </c>
      <c r="J37" s="31" t="s">
        <v>1767</v>
      </c>
      <c r="K37" s="31" t="s">
        <v>1767</v>
      </c>
      <c r="L37" s="31" t="s">
        <v>1767</v>
      </c>
      <c r="M37" s="31" t="s">
        <v>1767</v>
      </c>
      <c r="N37" s="31" t="s">
        <v>1767</v>
      </c>
      <c r="O37" s="31" t="s">
        <v>1767</v>
      </c>
    </row>
    <row r="38" spans="1:15" ht="14.85" customHeight="1" x14ac:dyDescent="0.3">
      <c r="A38" s="12">
        <v>31136</v>
      </c>
      <c r="B38" s="8" t="s">
        <v>2096</v>
      </c>
      <c r="C38" s="31" t="s">
        <v>1767</v>
      </c>
      <c r="D38" s="31" t="s">
        <v>1767</v>
      </c>
      <c r="E38" s="31" t="s">
        <v>1767</v>
      </c>
      <c r="F38" s="31" t="s">
        <v>1767</v>
      </c>
      <c r="G38" s="31" t="s">
        <v>1767</v>
      </c>
      <c r="H38" s="31" t="s">
        <v>1767</v>
      </c>
      <c r="I38" s="31" t="s">
        <v>1767</v>
      </c>
      <c r="J38" s="31" t="s">
        <v>1767</v>
      </c>
      <c r="K38" s="31" t="s">
        <v>1767</v>
      </c>
      <c r="L38" s="31" t="s">
        <v>1767</v>
      </c>
      <c r="M38" s="31" t="s">
        <v>1767</v>
      </c>
      <c r="N38" s="31" t="s">
        <v>1767</v>
      </c>
      <c r="O38" s="31" t="s">
        <v>1767</v>
      </c>
    </row>
    <row r="39" spans="1:15" ht="14.85" customHeight="1" x14ac:dyDescent="0.3">
      <c r="A39" s="12">
        <v>31137</v>
      </c>
      <c r="B39" s="8" t="s">
        <v>2097</v>
      </c>
      <c r="C39" s="31">
        <v>32</v>
      </c>
      <c r="D39" s="31">
        <v>32</v>
      </c>
      <c r="E39" s="31">
        <v>36</v>
      </c>
      <c r="F39" s="31">
        <v>35</v>
      </c>
      <c r="G39" s="31">
        <v>40</v>
      </c>
      <c r="H39" s="31">
        <v>44</v>
      </c>
      <c r="I39" s="31">
        <v>43.900436930000005</v>
      </c>
      <c r="J39" s="31">
        <v>43.853582530000004</v>
      </c>
      <c r="K39" s="31">
        <v>45.686975679999989</v>
      </c>
      <c r="L39" s="31">
        <v>56.019289579999999</v>
      </c>
      <c r="M39" s="31">
        <v>57.85051653</v>
      </c>
      <c r="N39" s="31">
        <v>58.680652799999997</v>
      </c>
      <c r="O39" s="31">
        <v>59.5096937</v>
      </c>
    </row>
    <row r="40" spans="1:15" ht="14.85" customHeight="1" x14ac:dyDescent="0.3">
      <c r="A40" s="12">
        <v>31138</v>
      </c>
      <c r="B40" s="8" t="s">
        <v>2098</v>
      </c>
      <c r="C40" s="31" t="s">
        <v>1767</v>
      </c>
      <c r="D40" s="31" t="s">
        <v>1767</v>
      </c>
      <c r="E40" s="31" t="s">
        <v>1767</v>
      </c>
      <c r="F40" s="31" t="s">
        <v>1767</v>
      </c>
      <c r="G40" s="31" t="s">
        <v>1767</v>
      </c>
      <c r="H40" s="31" t="s">
        <v>1767</v>
      </c>
      <c r="I40" s="31" t="s">
        <v>1767</v>
      </c>
      <c r="J40" s="31" t="s">
        <v>1767</v>
      </c>
      <c r="K40" s="31" t="s">
        <v>1767</v>
      </c>
      <c r="L40" s="31" t="s">
        <v>1767</v>
      </c>
      <c r="M40" s="31" t="s">
        <v>1767</v>
      </c>
      <c r="N40" s="31" t="s">
        <v>1767</v>
      </c>
      <c r="O40" s="31" t="s">
        <v>1767</v>
      </c>
    </row>
    <row r="41" spans="1:15" ht="14.85" customHeight="1" x14ac:dyDescent="0.3">
      <c r="A41" s="12">
        <v>31139</v>
      </c>
      <c r="B41" s="8" t="s">
        <v>2099</v>
      </c>
      <c r="C41" s="31">
        <v>0</v>
      </c>
      <c r="D41" s="31">
        <v>0</v>
      </c>
      <c r="E41" s="31">
        <v>0</v>
      </c>
      <c r="F41" s="31">
        <v>0</v>
      </c>
      <c r="G41" s="31">
        <v>0</v>
      </c>
      <c r="H41" s="31">
        <v>0</v>
      </c>
      <c r="I41" s="31">
        <v>0</v>
      </c>
      <c r="J41" s="31">
        <v>0</v>
      </c>
      <c r="K41" s="31">
        <v>0</v>
      </c>
      <c r="L41" s="31">
        <v>0</v>
      </c>
      <c r="M41" s="31">
        <v>0</v>
      </c>
      <c r="N41" s="31">
        <v>0</v>
      </c>
      <c r="O41" s="31">
        <v>0</v>
      </c>
    </row>
    <row r="42" spans="1:15" ht="14.85" customHeight="1" x14ac:dyDescent="0.3">
      <c r="A42" s="12">
        <v>31140</v>
      </c>
      <c r="B42" s="8" t="s">
        <v>2100</v>
      </c>
      <c r="C42" s="31">
        <v>0</v>
      </c>
      <c r="D42" s="31">
        <v>0</v>
      </c>
      <c r="E42" s="31">
        <v>0</v>
      </c>
      <c r="F42" s="31">
        <v>0</v>
      </c>
      <c r="G42" s="31">
        <v>0</v>
      </c>
      <c r="H42" s="31">
        <v>0</v>
      </c>
      <c r="I42" s="31">
        <v>0</v>
      </c>
      <c r="J42" s="31">
        <v>0</v>
      </c>
      <c r="K42" s="31">
        <v>0</v>
      </c>
      <c r="L42" s="31">
        <v>0</v>
      </c>
      <c r="M42" s="31">
        <v>0</v>
      </c>
      <c r="N42" s="31">
        <v>0</v>
      </c>
      <c r="O42" s="31">
        <v>0</v>
      </c>
    </row>
    <row r="43" spans="1:15" ht="14.85" customHeight="1" x14ac:dyDescent="0.3">
      <c r="A43" s="12">
        <v>31141</v>
      </c>
      <c r="B43" s="8" t="s">
        <v>2101</v>
      </c>
      <c r="C43" s="31" t="s">
        <v>1767</v>
      </c>
      <c r="D43" s="31" t="s">
        <v>1767</v>
      </c>
      <c r="E43" s="31" t="s">
        <v>1767</v>
      </c>
      <c r="F43" s="31" t="s">
        <v>1767</v>
      </c>
      <c r="G43" s="31" t="s">
        <v>1767</v>
      </c>
      <c r="H43" s="31" t="s">
        <v>1767</v>
      </c>
      <c r="I43" s="31" t="s">
        <v>1767</v>
      </c>
      <c r="J43" s="31" t="s">
        <v>1767</v>
      </c>
      <c r="K43" s="31" t="s">
        <v>1767</v>
      </c>
      <c r="L43" s="31" t="s">
        <v>1767</v>
      </c>
      <c r="M43" s="31" t="s">
        <v>1767</v>
      </c>
      <c r="N43" s="31" t="s">
        <v>1767</v>
      </c>
      <c r="O43" s="31" t="s">
        <v>1767</v>
      </c>
    </row>
    <row r="44" spans="1:15" ht="14.85" customHeight="1" x14ac:dyDescent="0.3">
      <c r="A44" s="12">
        <v>31142</v>
      </c>
      <c r="B44" s="8" t="s">
        <v>2102</v>
      </c>
      <c r="C44" s="31" t="s">
        <v>1767</v>
      </c>
      <c r="D44" s="31" t="s">
        <v>1767</v>
      </c>
      <c r="E44" s="31" t="s">
        <v>1767</v>
      </c>
      <c r="F44" s="31" t="s">
        <v>1767</v>
      </c>
      <c r="G44" s="31" t="s">
        <v>1767</v>
      </c>
      <c r="H44" s="31" t="s">
        <v>1767</v>
      </c>
      <c r="I44" s="31" t="s">
        <v>1767</v>
      </c>
      <c r="J44" s="31" t="s">
        <v>1767</v>
      </c>
      <c r="K44" s="31" t="s">
        <v>1767</v>
      </c>
      <c r="L44" s="31" t="s">
        <v>1767</v>
      </c>
      <c r="M44" s="31" t="s">
        <v>1767</v>
      </c>
      <c r="N44" s="31" t="s">
        <v>1767</v>
      </c>
      <c r="O44" s="31" t="s">
        <v>1767</v>
      </c>
    </row>
    <row r="45" spans="1:15" ht="14.85" customHeight="1" x14ac:dyDescent="0.3">
      <c r="A45" s="12">
        <v>31143</v>
      </c>
      <c r="B45" s="8" t="s">
        <v>2103</v>
      </c>
      <c r="C45" s="31" t="s">
        <v>1767</v>
      </c>
      <c r="D45" s="31" t="s">
        <v>1767</v>
      </c>
      <c r="E45" s="31" t="s">
        <v>1767</v>
      </c>
      <c r="F45" s="31" t="s">
        <v>1767</v>
      </c>
      <c r="G45" s="31" t="s">
        <v>1767</v>
      </c>
      <c r="H45" s="31" t="s">
        <v>1767</v>
      </c>
      <c r="I45" s="31" t="s">
        <v>1767</v>
      </c>
      <c r="J45" s="31" t="s">
        <v>1767</v>
      </c>
      <c r="K45" s="31" t="s">
        <v>1767</v>
      </c>
      <c r="L45" s="31" t="s">
        <v>1767</v>
      </c>
      <c r="M45" s="31" t="s">
        <v>1767</v>
      </c>
      <c r="N45" s="31" t="s">
        <v>1767</v>
      </c>
      <c r="O45" s="31" t="s">
        <v>1767</v>
      </c>
    </row>
    <row r="46" spans="1:15" ht="14.85" customHeight="1" x14ac:dyDescent="0.3">
      <c r="A46" s="12">
        <v>31144</v>
      </c>
      <c r="B46" s="8" t="s">
        <v>2104</v>
      </c>
      <c r="C46" s="31" t="s">
        <v>1767</v>
      </c>
      <c r="D46" s="31" t="s">
        <v>1767</v>
      </c>
      <c r="E46" s="31" t="s">
        <v>1767</v>
      </c>
      <c r="F46" s="31" t="s">
        <v>1767</v>
      </c>
      <c r="G46" s="31" t="s">
        <v>1767</v>
      </c>
      <c r="H46" s="31" t="s">
        <v>1767</v>
      </c>
      <c r="I46" s="31" t="s">
        <v>1767</v>
      </c>
      <c r="J46" s="31" t="s">
        <v>1767</v>
      </c>
      <c r="K46" s="31" t="s">
        <v>1767</v>
      </c>
      <c r="L46" s="31" t="s">
        <v>1767</v>
      </c>
      <c r="M46" s="31" t="s">
        <v>1767</v>
      </c>
      <c r="N46" s="31" t="s">
        <v>1767</v>
      </c>
      <c r="O46" s="31" t="s">
        <v>1767</v>
      </c>
    </row>
    <row r="47" spans="1:15" ht="14.85" customHeight="1" x14ac:dyDescent="0.3">
      <c r="A47" s="12">
        <v>31145</v>
      </c>
      <c r="B47" s="8" t="s">
        <v>2105</v>
      </c>
      <c r="C47" s="31" t="s">
        <v>1767</v>
      </c>
      <c r="D47" s="31" t="s">
        <v>1767</v>
      </c>
      <c r="E47" s="31" t="s">
        <v>1767</v>
      </c>
      <c r="F47" s="31" t="s">
        <v>1767</v>
      </c>
      <c r="G47" s="31" t="s">
        <v>1767</v>
      </c>
      <c r="H47" s="31" t="s">
        <v>1767</v>
      </c>
      <c r="I47" s="31" t="s">
        <v>1767</v>
      </c>
      <c r="J47" s="31" t="s">
        <v>1767</v>
      </c>
      <c r="K47" s="31" t="s">
        <v>1767</v>
      </c>
      <c r="L47" s="31" t="s">
        <v>1767</v>
      </c>
      <c r="M47" s="31" t="s">
        <v>1767</v>
      </c>
      <c r="N47" s="31" t="s">
        <v>1767</v>
      </c>
      <c r="O47" s="31" t="s">
        <v>1767</v>
      </c>
    </row>
    <row r="48" spans="1:15" ht="14.85" customHeight="1" x14ac:dyDescent="0.3">
      <c r="A48" s="12">
        <v>31146</v>
      </c>
      <c r="B48" s="8" t="s">
        <v>2106</v>
      </c>
      <c r="C48" s="31">
        <v>42</v>
      </c>
      <c r="D48" s="31">
        <v>53</v>
      </c>
      <c r="E48" s="31">
        <v>39</v>
      </c>
      <c r="F48" s="31">
        <v>52</v>
      </c>
      <c r="G48" s="31">
        <v>54</v>
      </c>
      <c r="H48" s="31">
        <v>50</v>
      </c>
      <c r="I48" s="31">
        <v>60.732511729999999</v>
      </c>
      <c r="J48" s="31">
        <v>61.10308749</v>
      </c>
      <c r="K48" s="31">
        <v>53.152602109999997</v>
      </c>
      <c r="L48" s="31">
        <v>100.39796607</v>
      </c>
      <c r="M48" s="31">
        <v>85.907395600000001</v>
      </c>
      <c r="N48" s="31">
        <v>77.971505579999999</v>
      </c>
      <c r="O48" s="31">
        <v>72.678725159999999</v>
      </c>
    </row>
    <row r="49" spans="1:15" ht="14.85" customHeight="1" x14ac:dyDescent="0.3">
      <c r="A49" s="12">
        <v>31147</v>
      </c>
      <c r="B49" s="8" t="s">
        <v>2107</v>
      </c>
      <c r="C49" s="31">
        <v>874</v>
      </c>
      <c r="D49" s="31">
        <v>1097</v>
      </c>
      <c r="E49" s="31">
        <v>805</v>
      </c>
      <c r="F49" s="31">
        <v>1068</v>
      </c>
      <c r="G49" s="31">
        <v>1054</v>
      </c>
      <c r="H49" s="31">
        <v>973</v>
      </c>
      <c r="I49" s="31">
        <v>1139.669875618142</v>
      </c>
      <c r="J49" s="31">
        <v>1152.8930547613199</v>
      </c>
      <c r="K49" s="31">
        <v>991.90728427576494</v>
      </c>
      <c r="L49" s="31">
        <v>1838.7586291822288</v>
      </c>
      <c r="M49" s="31">
        <v>1596.12504728976</v>
      </c>
      <c r="N49" s="31">
        <v>1426.512086037774</v>
      </c>
      <c r="O49" s="31">
        <v>1308.7984826812799</v>
      </c>
    </row>
    <row r="50" spans="1:15" ht="14.85" customHeight="1" x14ac:dyDescent="0.3">
      <c r="A50" s="12">
        <v>31148</v>
      </c>
      <c r="B50" s="8" t="s">
        <v>2108</v>
      </c>
      <c r="C50" s="31">
        <v>26</v>
      </c>
      <c r="D50" s="31">
        <v>35</v>
      </c>
      <c r="E50" s="31">
        <v>26</v>
      </c>
      <c r="F50" s="31">
        <v>38</v>
      </c>
      <c r="G50" s="31">
        <v>41</v>
      </c>
      <c r="H50" s="31">
        <v>36</v>
      </c>
      <c r="I50" s="31">
        <v>33.808593750000007</v>
      </c>
      <c r="J50" s="31">
        <v>34.375703210000012</v>
      </c>
      <c r="K50" s="31">
        <v>29.015130230000008</v>
      </c>
      <c r="L50" s="31">
        <v>76.316049079999999</v>
      </c>
      <c r="M50" s="31">
        <v>64.336016819999998</v>
      </c>
      <c r="N50" s="31">
        <v>57.020560940000003</v>
      </c>
      <c r="O50" s="31">
        <v>58.885234570000001</v>
      </c>
    </row>
    <row r="51" spans="1:15" ht="14.85" customHeight="1" x14ac:dyDescent="0.3">
      <c r="A51" s="12">
        <v>31149</v>
      </c>
      <c r="B51" s="8" t="s">
        <v>2109</v>
      </c>
      <c r="C51" s="31">
        <v>15</v>
      </c>
      <c r="D51" s="31">
        <v>18</v>
      </c>
      <c r="E51" s="31">
        <v>13</v>
      </c>
      <c r="F51" s="31">
        <v>14</v>
      </c>
      <c r="G51" s="31">
        <v>13</v>
      </c>
      <c r="H51" s="31">
        <v>15</v>
      </c>
      <c r="I51" s="31">
        <v>27.173917979999995</v>
      </c>
      <c r="J51" s="31">
        <v>26.727384279999999</v>
      </c>
      <c r="K51" s="31">
        <v>24.162471879999995</v>
      </c>
      <c r="L51" s="31">
        <v>24.081916990000003</v>
      </c>
      <c r="M51" s="31">
        <v>21.571378779999989</v>
      </c>
      <c r="N51" s="31">
        <v>20.950944639999999</v>
      </c>
      <c r="O51" s="31">
        <v>13.793490589999999</v>
      </c>
    </row>
    <row r="52" spans="1:15" ht="14.85" customHeight="1" x14ac:dyDescent="0.3">
      <c r="A52" s="12">
        <v>31150</v>
      </c>
      <c r="B52" s="8" t="s">
        <v>2110</v>
      </c>
      <c r="C52" s="31">
        <v>15</v>
      </c>
      <c r="D52" s="31">
        <v>18</v>
      </c>
      <c r="E52" s="31">
        <v>13</v>
      </c>
      <c r="F52" s="31">
        <v>14</v>
      </c>
      <c r="G52" s="31">
        <v>13</v>
      </c>
      <c r="H52" s="31">
        <v>15</v>
      </c>
      <c r="I52" s="31">
        <v>27.423917979999999</v>
      </c>
      <c r="J52" s="31">
        <v>26.727384280000003</v>
      </c>
      <c r="K52" s="31">
        <v>24.187471879999997</v>
      </c>
      <c r="L52" s="31">
        <v>24.081916990000007</v>
      </c>
      <c r="M52" s="31">
        <v>21.571378779999989</v>
      </c>
      <c r="N52" s="31">
        <v>20.950944639999999</v>
      </c>
      <c r="O52" s="31">
        <v>13.793490589999998</v>
      </c>
    </row>
    <row r="53" spans="1:15" ht="14.85" customHeight="1" x14ac:dyDescent="0.3">
      <c r="A53" s="12">
        <v>31151</v>
      </c>
      <c r="B53" s="8" t="s">
        <v>2111</v>
      </c>
      <c r="C53" s="31">
        <v>26</v>
      </c>
      <c r="D53" s="31">
        <v>35</v>
      </c>
      <c r="E53" s="31">
        <v>26</v>
      </c>
      <c r="F53" s="31">
        <v>38</v>
      </c>
      <c r="G53" s="31">
        <v>41</v>
      </c>
      <c r="H53" s="31">
        <v>36</v>
      </c>
      <c r="I53" s="31">
        <v>33.558593750000007</v>
      </c>
      <c r="J53" s="31">
        <v>34.375703210000012</v>
      </c>
      <c r="K53" s="31">
        <v>28.990130230000009</v>
      </c>
      <c r="L53" s="31">
        <v>76.316049079999999</v>
      </c>
      <c r="M53" s="31">
        <v>64.336016820000012</v>
      </c>
      <c r="N53" s="31">
        <v>57.020560939999996</v>
      </c>
      <c r="O53" s="31">
        <v>58.885234570000001</v>
      </c>
    </row>
    <row r="54" spans="1:15" ht="14.85" customHeight="1" x14ac:dyDescent="0.3">
      <c r="A54" s="12">
        <v>31152</v>
      </c>
      <c r="B54" s="8" t="s">
        <v>2112</v>
      </c>
      <c r="C54" s="31">
        <v>1</v>
      </c>
      <c r="D54" s="31" t="s">
        <v>1767</v>
      </c>
      <c r="E54" s="31">
        <v>2</v>
      </c>
      <c r="F54" s="31" t="s">
        <v>1767</v>
      </c>
      <c r="G54" s="31" t="s">
        <v>1767</v>
      </c>
      <c r="H54" s="31">
        <v>1</v>
      </c>
      <c r="I54" s="31">
        <v>1.2650808599999999</v>
      </c>
      <c r="J54" s="31">
        <v>1.51</v>
      </c>
      <c r="K54" s="31">
        <v>1.41</v>
      </c>
      <c r="L54" s="31">
        <v>0.65</v>
      </c>
      <c r="M54" s="31">
        <v>3.2544223999999997</v>
      </c>
      <c r="N54" s="31">
        <v>1.6178236000000001</v>
      </c>
      <c r="O54" s="31">
        <v>2.2080843200000002</v>
      </c>
    </row>
    <row r="55" spans="1:15" ht="14.85" customHeight="1" x14ac:dyDescent="0.3">
      <c r="A55" s="12">
        <v>31153</v>
      </c>
      <c r="B55" s="8" t="s">
        <v>2113</v>
      </c>
      <c r="C55" s="31">
        <f>1012244/1000000</f>
        <v>1.0122439999999999</v>
      </c>
      <c r="D55" s="31">
        <f>1062244/1000000</f>
        <v>1.062244</v>
      </c>
      <c r="E55" s="31">
        <f>1312244/1000000</f>
        <v>1.312244</v>
      </c>
      <c r="F55" s="31">
        <f>1062244/1000000</f>
        <v>1.062244</v>
      </c>
      <c r="G55" s="31">
        <f>1159244/1000000</f>
        <v>1.1592439999999999</v>
      </c>
      <c r="H55" s="31">
        <v>7.8440071199999997</v>
      </c>
      <c r="I55" s="31">
        <v>6.7778445999999999</v>
      </c>
      <c r="J55" s="31">
        <v>6.34114092</v>
      </c>
      <c r="K55" s="31">
        <v>5.8593038200000001</v>
      </c>
      <c r="L55" s="31">
        <v>5.2656245999999998</v>
      </c>
      <c r="M55" s="31">
        <v>4.3443694400000004</v>
      </c>
      <c r="N55" s="31">
        <v>3.4365323999999999</v>
      </c>
      <c r="O55" s="31">
        <v>3.5645248399999998</v>
      </c>
    </row>
    <row r="56" spans="1:15" ht="14.85" customHeight="1" x14ac:dyDescent="0.3">
      <c r="A56" s="12">
        <v>31154</v>
      </c>
      <c r="B56" s="8" t="s">
        <v>2114</v>
      </c>
      <c r="C56" s="31">
        <v>21</v>
      </c>
      <c r="D56" s="31">
        <v>22</v>
      </c>
      <c r="E56" s="31">
        <v>27</v>
      </c>
      <c r="F56" s="31">
        <v>22</v>
      </c>
      <c r="G56" s="31">
        <v>23</v>
      </c>
      <c r="H56" s="31">
        <v>152</v>
      </c>
      <c r="I56" s="31">
        <v>127.18896505683999</v>
      </c>
      <c r="J56" s="31">
        <v>119.64464687856</v>
      </c>
      <c r="K56" s="31">
        <v>109.34339823693</v>
      </c>
      <c r="L56" s="31">
        <v>96.438334861619992</v>
      </c>
      <c r="M56" s="31">
        <v>80.716646447423997</v>
      </c>
      <c r="N56" s="31">
        <v>62.872391217720001</v>
      </c>
      <c r="O56" s="31">
        <v>64.18996331871999</v>
      </c>
    </row>
    <row r="57" spans="1:15" ht="14.85" customHeight="1" x14ac:dyDescent="0.3">
      <c r="A57" s="12">
        <v>31155</v>
      </c>
      <c r="B57" s="8" t="s">
        <v>2115</v>
      </c>
      <c r="C57" s="31">
        <v>1</v>
      </c>
      <c r="D57" s="31">
        <v>1</v>
      </c>
      <c r="E57" s="31">
        <v>1</v>
      </c>
      <c r="F57" s="31">
        <v>0.7</v>
      </c>
      <c r="G57" s="31">
        <v>0.6</v>
      </c>
      <c r="H57" s="31">
        <v>4</v>
      </c>
      <c r="I57" s="31">
        <v>3.3139222999999998</v>
      </c>
      <c r="J57" s="31">
        <v>3.0955704599999998</v>
      </c>
      <c r="K57" s="31">
        <v>2.8546519099999998</v>
      </c>
      <c r="L57" s="31">
        <v>2.5578123000000001</v>
      </c>
      <c r="M57" s="31">
        <v>2.0971847199999996</v>
      </c>
      <c r="N57" s="31">
        <v>1.7182662</v>
      </c>
      <c r="O57" s="31">
        <v>2.17947142</v>
      </c>
    </row>
    <row r="58" spans="1:15" ht="14.85" customHeight="1" x14ac:dyDescent="0.3">
      <c r="A58" s="12">
        <v>31156</v>
      </c>
      <c r="B58" s="8" t="s">
        <v>2116</v>
      </c>
      <c r="C58" s="31">
        <v>0</v>
      </c>
      <c r="D58" s="31">
        <v>0.1</v>
      </c>
      <c r="E58" s="31">
        <v>0.4</v>
      </c>
      <c r="F58" s="31">
        <v>0.4</v>
      </c>
      <c r="G58" s="31">
        <v>0.6</v>
      </c>
      <c r="H58" s="31">
        <v>4</v>
      </c>
      <c r="I58" s="31">
        <v>3.4639222999999997</v>
      </c>
      <c r="J58" s="31">
        <v>3.2455704600000002</v>
      </c>
      <c r="K58" s="31">
        <v>3.0046519100000002</v>
      </c>
      <c r="L58" s="31">
        <v>2.7078122999999996</v>
      </c>
      <c r="M58" s="31">
        <v>2.2471847199999999</v>
      </c>
      <c r="N58" s="31">
        <v>1.7182662</v>
      </c>
      <c r="O58" s="31">
        <v>1.38505342</v>
      </c>
    </row>
    <row r="59" spans="1:15" ht="14.85" customHeight="1" x14ac:dyDescent="0.3">
      <c r="A59" s="12">
        <v>31157</v>
      </c>
      <c r="B59" s="8" t="s">
        <v>2117</v>
      </c>
      <c r="C59" s="31">
        <v>0</v>
      </c>
      <c r="D59" s="31">
        <v>0.1</v>
      </c>
      <c r="E59" s="31">
        <v>0.4</v>
      </c>
      <c r="F59" s="31">
        <v>0.4</v>
      </c>
      <c r="G59" s="31">
        <v>0.6</v>
      </c>
      <c r="H59" s="31">
        <v>4</v>
      </c>
      <c r="I59" s="31">
        <v>3.4639222999999997</v>
      </c>
      <c r="J59" s="31">
        <v>3.2455704600000002</v>
      </c>
      <c r="K59" s="31">
        <v>3.0046519099999998</v>
      </c>
      <c r="L59" s="31">
        <v>2.7078122999999996</v>
      </c>
      <c r="M59" s="31">
        <v>2.2471847199999999</v>
      </c>
      <c r="N59" s="31">
        <v>1.7182662</v>
      </c>
      <c r="O59" s="31">
        <v>1.38505342</v>
      </c>
    </row>
    <row r="60" spans="1:15" ht="14.85" customHeight="1" x14ac:dyDescent="0.3">
      <c r="A60" s="12">
        <v>31158</v>
      </c>
      <c r="B60" s="8" t="s">
        <v>2118</v>
      </c>
      <c r="C60" s="31">
        <v>1</v>
      </c>
      <c r="D60" s="31">
        <v>1</v>
      </c>
      <c r="E60" s="31">
        <v>1</v>
      </c>
      <c r="F60" s="31">
        <v>0.7</v>
      </c>
      <c r="G60" s="31">
        <v>0.6</v>
      </c>
      <c r="H60" s="31">
        <v>4</v>
      </c>
      <c r="I60" s="31">
        <v>3.3139222999999998</v>
      </c>
      <c r="J60" s="31">
        <v>3.0955704599999998</v>
      </c>
      <c r="K60" s="31">
        <v>2.8546519099999998</v>
      </c>
      <c r="L60" s="31">
        <v>2.5578123000000001</v>
      </c>
      <c r="M60" s="31">
        <v>2.0971847199999996</v>
      </c>
      <c r="N60" s="31">
        <v>1.7182662</v>
      </c>
      <c r="O60" s="31">
        <v>2.17947142</v>
      </c>
    </row>
    <row r="61" spans="1:15" ht="14.85" customHeight="1" x14ac:dyDescent="0.3">
      <c r="A61" s="12">
        <v>31159</v>
      </c>
      <c r="B61" s="8" t="s">
        <v>2119</v>
      </c>
      <c r="C61" s="31" t="s">
        <v>1767</v>
      </c>
      <c r="D61" s="31" t="s">
        <v>1767</v>
      </c>
      <c r="E61" s="31">
        <v>0.1</v>
      </c>
      <c r="F61" s="31" t="s">
        <v>1767</v>
      </c>
      <c r="G61" s="31" t="s">
        <v>1767</v>
      </c>
      <c r="H61" s="31" t="s">
        <v>1767</v>
      </c>
      <c r="I61" s="31" t="s">
        <v>1767</v>
      </c>
      <c r="J61" s="31" t="s">
        <v>1767</v>
      </c>
      <c r="K61" s="31" t="s">
        <v>1767</v>
      </c>
      <c r="L61" s="31" t="s">
        <v>1767</v>
      </c>
      <c r="M61" s="31" t="s">
        <v>1767</v>
      </c>
      <c r="N61" s="31"/>
      <c r="O61" s="31"/>
    </row>
    <row r="62" spans="1:15" ht="14.85" customHeight="1" x14ac:dyDescent="0.3">
      <c r="A62" s="12">
        <v>31160</v>
      </c>
      <c r="B62" s="8" t="s">
        <v>2120</v>
      </c>
      <c r="C62" s="23" t="s">
        <v>1767</v>
      </c>
      <c r="D62" s="23" t="s">
        <v>1767</v>
      </c>
      <c r="E62" s="23" t="s">
        <v>1767</v>
      </c>
      <c r="F62" s="31">
        <v>-60</v>
      </c>
      <c r="G62" s="31">
        <v>-117</v>
      </c>
      <c r="H62" s="31">
        <v>-103</v>
      </c>
      <c r="I62" s="31">
        <f>SUM([1]Posición!$C$29:$C$32)</f>
        <v>-107.64352085119336</v>
      </c>
      <c r="J62" s="31">
        <v>-88.190417610106536</v>
      </c>
      <c r="K62" s="31">
        <v>-137.81741817401698</v>
      </c>
      <c r="L62" s="31">
        <v>-149.71323319361861</v>
      </c>
      <c r="M62" s="31">
        <v>-147.26042185935057</v>
      </c>
      <c r="N62" s="31">
        <v>-144.50604267779727</v>
      </c>
      <c r="O62" s="31">
        <v>-100.85629933752725</v>
      </c>
    </row>
    <row r="63" spans="1:15" ht="14.85" customHeight="1" x14ac:dyDescent="0.3">
      <c r="A63" s="12">
        <v>31161</v>
      </c>
      <c r="B63" s="8" t="s">
        <v>2121</v>
      </c>
      <c r="C63" s="23" t="s">
        <v>1767</v>
      </c>
      <c r="D63" s="23" t="s">
        <v>1767</v>
      </c>
      <c r="E63" s="23" t="s">
        <v>1767</v>
      </c>
      <c r="F63" s="31">
        <v>92</v>
      </c>
      <c r="G63" s="31">
        <v>151</v>
      </c>
      <c r="H63" s="31">
        <v>142</v>
      </c>
      <c r="I63" s="31">
        <f>SUM([1]Posición!$D$29:$D$32)</f>
        <v>144.28737491677401</v>
      </c>
      <c r="J63" s="31">
        <v>125.51542678016818</v>
      </c>
      <c r="K63" s="31">
        <v>176.23608598742101</v>
      </c>
      <c r="L63" s="31">
        <v>188.41151375305418</v>
      </c>
      <c r="M63" s="31">
        <v>186.72357112224043</v>
      </c>
      <c r="N63" s="31">
        <v>187.88214205125482</v>
      </c>
      <c r="O63" s="31">
        <v>141.32790703031412</v>
      </c>
    </row>
    <row r="64" spans="1:15" ht="14.85" customHeight="1" x14ac:dyDescent="0.3">
      <c r="A64" s="12">
        <v>31162</v>
      </c>
      <c r="B64" s="8" t="s">
        <v>2122</v>
      </c>
      <c r="C64" s="23" t="s">
        <v>1767</v>
      </c>
      <c r="D64" s="23" t="s">
        <v>1767</v>
      </c>
      <c r="E64" s="23" t="s">
        <v>1767</v>
      </c>
      <c r="F64" s="31">
        <v>-7</v>
      </c>
      <c r="G64" s="31">
        <v>-10</v>
      </c>
      <c r="H64" s="31">
        <v>-9</v>
      </c>
      <c r="I64" s="31">
        <v>-9.96309916490703</v>
      </c>
      <c r="J64" s="31">
        <v>-8.6963290423865427</v>
      </c>
      <c r="K64" s="31">
        <v>-11.988957302544682</v>
      </c>
      <c r="L64" s="31">
        <v>-13.122484857277296</v>
      </c>
      <c r="M64" s="31">
        <v>-13.140257428055577</v>
      </c>
      <c r="N64" s="31">
        <v>-12.704759471322792</v>
      </c>
      <c r="O64" s="31">
        <v>-8.3188745248829097</v>
      </c>
    </row>
    <row r="65" spans="1:15" ht="14.85" customHeight="1" x14ac:dyDescent="0.3">
      <c r="A65" s="12">
        <v>31163</v>
      </c>
      <c r="B65" s="8" t="s">
        <v>2123</v>
      </c>
      <c r="C65" s="23" t="s">
        <v>1767</v>
      </c>
      <c r="D65" s="23" t="s">
        <v>1767</v>
      </c>
      <c r="E65" s="23" t="s">
        <v>1767</v>
      </c>
      <c r="F65" s="31">
        <v>11</v>
      </c>
      <c r="G65" s="31">
        <v>14</v>
      </c>
      <c r="H65" s="31">
        <v>14</v>
      </c>
      <c r="I65" s="31">
        <v>14.184295411587234</v>
      </c>
      <c r="J65" s="31">
        <v>12.821829024271675</v>
      </c>
      <c r="K65" s="31">
        <v>16.147461548306829</v>
      </c>
      <c r="L65" s="31">
        <v>17.115827670944505</v>
      </c>
      <c r="M65" s="31">
        <v>17.048050832528972</v>
      </c>
      <c r="N65" s="31">
        <v>17.616719463244927</v>
      </c>
      <c r="O65" s="31">
        <v>14.75143129677987</v>
      </c>
    </row>
    <row r="66" spans="1:15" ht="14.85" customHeight="1" x14ac:dyDescent="0.3">
      <c r="A66" s="12">
        <v>31164</v>
      </c>
      <c r="B66" s="8" t="s">
        <v>2124</v>
      </c>
      <c r="C66" s="23" t="s">
        <v>1767</v>
      </c>
      <c r="D66" s="23" t="s">
        <v>1767</v>
      </c>
      <c r="E66" s="23" t="s">
        <v>1767</v>
      </c>
      <c r="F66" s="31">
        <v>-38</v>
      </c>
      <c r="G66" s="31">
        <v>-49</v>
      </c>
      <c r="H66" s="31">
        <v>-46</v>
      </c>
      <c r="I66" s="31">
        <v>-44.320232166907289</v>
      </c>
      <c r="J66" s="31">
        <v>-41.510878527317473</v>
      </c>
      <c r="K66" s="31">
        <v>-48.541030244061517</v>
      </c>
      <c r="L66" s="31">
        <v>-51.117462337399431</v>
      </c>
      <c r="M66" s="31">
        <v>-50.059613935602961</v>
      </c>
      <c r="N66" s="31">
        <v>-47.726081331693393</v>
      </c>
      <c r="O66" s="31">
        <v>-42.147736222701511</v>
      </c>
    </row>
    <row r="67" spans="1:15" ht="14.85" customHeight="1" x14ac:dyDescent="0.3">
      <c r="A67" s="12">
        <v>31165</v>
      </c>
      <c r="B67" s="8" t="s">
        <v>2125</v>
      </c>
      <c r="C67" s="23" t="s">
        <v>1767</v>
      </c>
      <c r="D67" s="23" t="s">
        <v>1767</v>
      </c>
      <c r="E67" s="23" t="s">
        <v>1767</v>
      </c>
      <c r="F67" s="31">
        <v>38</v>
      </c>
      <c r="G67" s="31">
        <v>49</v>
      </c>
      <c r="H67" s="31">
        <v>46</v>
      </c>
      <c r="I67" s="31">
        <v>44.320232166907246</v>
      </c>
      <c r="J67" s="31">
        <v>41.510878527317502</v>
      </c>
      <c r="K67" s="31">
        <v>48.541030244061496</v>
      </c>
      <c r="L67" s="31">
        <v>51.117462337399431</v>
      </c>
      <c r="M67" s="31">
        <v>50.059613935602961</v>
      </c>
      <c r="N67" s="31">
        <v>47.726081331693386</v>
      </c>
      <c r="O67" s="31">
        <v>42.147736222701504</v>
      </c>
    </row>
    <row r="68" spans="1:15" ht="14.85" customHeight="1" x14ac:dyDescent="0.3">
      <c r="A68" s="12">
        <v>31166</v>
      </c>
      <c r="B68" s="8" t="s">
        <v>2126</v>
      </c>
      <c r="C68" s="23" t="s">
        <v>1767</v>
      </c>
      <c r="D68" s="23" t="s">
        <v>1767</v>
      </c>
      <c r="E68" s="23" t="s">
        <v>1767</v>
      </c>
      <c r="F68" s="31">
        <v>0.2</v>
      </c>
      <c r="G68" s="31">
        <v>-0.5</v>
      </c>
      <c r="H68" s="31">
        <v>-1</v>
      </c>
      <c r="I68" s="31">
        <v>0.65119479491840004</v>
      </c>
      <c r="J68" s="31">
        <v>0.26712306916779993</v>
      </c>
      <c r="K68" s="31">
        <v>0.58557796777167992</v>
      </c>
      <c r="L68" s="31">
        <v>0.98090999772529008</v>
      </c>
      <c r="M68" s="31">
        <v>0.18190952440144995</v>
      </c>
      <c r="N68" s="31">
        <v>0.11207305048069018</v>
      </c>
      <c r="O68" s="31">
        <v>0.2268652198578798</v>
      </c>
    </row>
    <row r="69" spans="1:15" ht="14.85" customHeight="1" x14ac:dyDescent="0.3">
      <c r="A69" s="12">
        <v>31167</v>
      </c>
      <c r="B69" s="8" t="s">
        <v>2127</v>
      </c>
      <c r="C69" s="23" t="s">
        <v>1767</v>
      </c>
      <c r="D69" s="23" t="s">
        <v>1767</v>
      </c>
      <c r="E69" s="23" t="s">
        <v>1767</v>
      </c>
      <c r="F69" s="31">
        <v>-0.2</v>
      </c>
      <c r="G69" s="31">
        <v>0.5</v>
      </c>
      <c r="H69" s="31">
        <v>1</v>
      </c>
      <c r="I69" s="31">
        <v>-0.6511947949183996</v>
      </c>
      <c r="J69" s="31">
        <v>-0.26712306916779982</v>
      </c>
      <c r="K69" s="31">
        <v>-0.58557796777167992</v>
      </c>
      <c r="L69" s="31">
        <v>-0.98090999772529008</v>
      </c>
      <c r="M69" s="31">
        <v>-0.18190952440144995</v>
      </c>
      <c r="N69" s="31">
        <v>-0.11207305048069018</v>
      </c>
      <c r="O69" s="31">
        <v>-0.2268652198578798</v>
      </c>
    </row>
    <row r="70" spans="1:15" ht="14.85" customHeight="1" x14ac:dyDescent="0.3">
      <c r="A70" s="12">
        <v>31168</v>
      </c>
      <c r="B70" s="8" t="s">
        <v>2128</v>
      </c>
      <c r="C70" s="23" t="s">
        <v>1767</v>
      </c>
      <c r="D70" s="23" t="s">
        <v>1767</v>
      </c>
      <c r="E70" s="23" t="s">
        <v>1767</v>
      </c>
      <c r="F70" s="31">
        <v>23</v>
      </c>
      <c r="G70" s="31">
        <v>3</v>
      </c>
      <c r="H70" s="31">
        <v>-2</v>
      </c>
      <c r="I70" s="31">
        <v>-10.652994500343183</v>
      </c>
      <c r="J70" s="31">
        <v>-8.3527008304103738</v>
      </c>
      <c r="K70" s="31">
        <v>-9.2724031761699788</v>
      </c>
      <c r="L70" s="31">
        <v>-15.116549475994923</v>
      </c>
      <c r="M70" s="31">
        <v>-7.826465445234799</v>
      </c>
      <c r="N70" s="31">
        <v>-16.18549687122033</v>
      </c>
      <c r="O70" s="31">
        <v>-28.125862267940995</v>
      </c>
    </row>
    <row r="71" spans="1:15" ht="14.85" customHeight="1" x14ac:dyDescent="0.3">
      <c r="A71" s="12">
        <v>31169</v>
      </c>
      <c r="B71" s="8" t="s">
        <v>2129</v>
      </c>
      <c r="C71" s="23" t="s">
        <v>1767</v>
      </c>
      <c r="D71" s="23" t="s">
        <v>1767</v>
      </c>
      <c r="E71" s="23" t="s">
        <v>1767</v>
      </c>
      <c r="F71" s="31">
        <v>-20</v>
      </c>
      <c r="G71" s="31">
        <v>0.4</v>
      </c>
      <c r="H71" s="31">
        <v>5</v>
      </c>
      <c r="I71" s="31">
        <v>14.278963285980625</v>
      </c>
      <c r="J71" s="31">
        <v>12.357711122020946</v>
      </c>
      <c r="K71" s="31">
        <v>13.110937741075935</v>
      </c>
      <c r="L71" s="31">
        <v>25.037169293604137</v>
      </c>
      <c r="M71" s="31">
        <v>17.413184041349403</v>
      </c>
      <c r="N71" s="31">
        <v>26.269778916568374</v>
      </c>
      <c r="O71" s="31">
        <v>39.87960967596014</v>
      </c>
    </row>
    <row r="72" spans="1:15" ht="14.85" customHeight="1" x14ac:dyDescent="0.3">
      <c r="A72" s="12">
        <v>31170</v>
      </c>
      <c r="B72" s="8" t="s">
        <v>2130</v>
      </c>
      <c r="C72" s="23" t="s">
        <v>1767</v>
      </c>
      <c r="D72" s="23" t="s">
        <v>1767</v>
      </c>
      <c r="E72" s="23" t="s">
        <v>1767</v>
      </c>
      <c r="F72" s="23" t="s">
        <v>1767</v>
      </c>
      <c r="G72" s="23" t="s">
        <v>1767</v>
      </c>
      <c r="H72" s="23" t="s">
        <v>1767</v>
      </c>
      <c r="I72" s="23" t="s">
        <v>1767</v>
      </c>
      <c r="J72" s="23" t="s">
        <v>1767</v>
      </c>
      <c r="K72" s="23" t="s">
        <v>1767</v>
      </c>
      <c r="L72" s="23" t="s">
        <v>1767</v>
      </c>
      <c r="M72" s="23" t="s">
        <v>1767</v>
      </c>
      <c r="N72" s="23"/>
      <c r="O72" s="23"/>
    </row>
    <row r="73" spans="1:15" ht="14.85" customHeight="1" x14ac:dyDescent="0.3">
      <c r="A73" s="12">
        <v>31171</v>
      </c>
      <c r="B73" s="8" t="s">
        <v>2131</v>
      </c>
      <c r="C73" s="23" t="s">
        <v>1767</v>
      </c>
      <c r="D73" s="23" t="s">
        <v>1767</v>
      </c>
      <c r="E73" s="23" t="s">
        <v>1767</v>
      </c>
      <c r="F73" s="23" t="s">
        <v>1767</v>
      </c>
      <c r="G73" s="23" t="s">
        <v>1767</v>
      </c>
      <c r="H73" s="23" t="s">
        <v>1767</v>
      </c>
      <c r="I73" s="23" t="s">
        <v>1767</v>
      </c>
      <c r="J73" s="23" t="s">
        <v>1767</v>
      </c>
      <c r="K73" s="23" t="s">
        <v>1767</v>
      </c>
      <c r="L73" s="23" t="s">
        <v>1767</v>
      </c>
      <c r="M73" s="23" t="s">
        <v>1767</v>
      </c>
      <c r="N73" s="23"/>
      <c r="O73" s="23"/>
    </row>
    <row r="74" spans="1:15" ht="14.85" customHeight="1" x14ac:dyDescent="0.3">
      <c r="A74" s="12">
        <v>31172</v>
      </c>
      <c r="B74" s="8" t="s">
        <v>2132</v>
      </c>
      <c r="C74" s="23" t="s">
        <v>1767</v>
      </c>
      <c r="D74" s="23" t="s">
        <v>1767</v>
      </c>
      <c r="E74" s="23" t="s">
        <v>1767</v>
      </c>
      <c r="F74" s="23" t="s">
        <v>1767</v>
      </c>
      <c r="G74" s="23" t="s">
        <v>1767</v>
      </c>
      <c r="H74" s="23" t="s">
        <v>1767</v>
      </c>
      <c r="I74" s="23" t="s">
        <v>1767</v>
      </c>
      <c r="J74" s="23" t="s">
        <v>1767</v>
      </c>
      <c r="K74" s="23" t="s">
        <v>1767</v>
      </c>
      <c r="L74" s="23" t="s">
        <v>1767</v>
      </c>
      <c r="M74" s="23" t="s">
        <v>1767</v>
      </c>
      <c r="N74" s="23"/>
      <c r="O74" s="23"/>
    </row>
    <row r="75" spans="1:15" ht="14.85" customHeight="1" x14ac:dyDescent="0.3">
      <c r="A75" s="12">
        <v>31173</v>
      </c>
      <c r="B75" s="8" t="s">
        <v>2133</v>
      </c>
      <c r="C75" s="23" t="s">
        <v>1767</v>
      </c>
      <c r="D75" s="23" t="s">
        <v>1767</v>
      </c>
      <c r="E75" s="23" t="s">
        <v>1767</v>
      </c>
      <c r="F75" s="23" t="s">
        <v>1767</v>
      </c>
      <c r="G75" s="23" t="s">
        <v>1767</v>
      </c>
      <c r="H75" s="23" t="s">
        <v>1767</v>
      </c>
      <c r="I75" s="23" t="s">
        <v>1767</v>
      </c>
      <c r="J75" s="23" t="s">
        <v>1767</v>
      </c>
      <c r="K75" s="23" t="s">
        <v>1767</v>
      </c>
      <c r="L75" s="23" t="s">
        <v>1767</v>
      </c>
      <c r="M75" s="23" t="s">
        <v>1767</v>
      </c>
      <c r="N75" s="23"/>
      <c r="O75" s="23"/>
    </row>
    <row r="76" spans="1:15" ht="14.85" customHeight="1" x14ac:dyDescent="0.3">
      <c r="A76" s="12">
        <v>31174</v>
      </c>
      <c r="B76" s="8" t="s">
        <v>2134</v>
      </c>
      <c r="C76" s="23" t="s">
        <v>1767</v>
      </c>
      <c r="D76" s="23" t="s">
        <v>1767</v>
      </c>
      <c r="E76" s="23" t="s">
        <v>1767</v>
      </c>
      <c r="F76" s="23" t="s">
        <v>1767</v>
      </c>
      <c r="G76" s="23" t="s">
        <v>1767</v>
      </c>
      <c r="H76" s="23" t="s">
        <v>1767</v>
      </c>
      <c r="I76" s="23" t="s">
        <v>1767</v>
      </c>
      <c r="J76" s="23" t="s">
        <v>1767</v>
      </c>
      <c r="K76" s="23" t="s">
        <v>1767</v>
      </c>
      <c r="L76" s="23" t="s">
        <v>1767</v>
      </c>
      <c r="M76" s="23" t="s">
        <v>1767</v>
      </c>
      <c r="N76" s="23"/>
      <c r="O76" s="23"/>
    </row>
    <row r="77" spans="1:15" ht="14.85" customHeight="1" x14ac:dyDescent="0.3">
      <c r="A77" s="12">
        <v>31175</v>
      </c>
      <c r="B77" s="8" t="s">
        <v>2135</v>
      </c>
      <c r="C77" s="23" t="s">
        <v>1767</v>
      </c>
      <c r="D77" s="23" t="s">
        <v>1767</v>
      </c>
      <c r="E77" s="23" t="s">
        <v>1767</v>
      </c>
      <c r="F77" s="23" t="s">
        <v>1767</v>
      </c>
      <c r="G77" s="23" t="s">
        <v>1767</v>
      </c>
      <c r="H77" s="23" t="s">
        <v>1767</v>
      </c>
      <c r="I77" s="23" t="s">
        <v>1767</v>
      </c>
      <c r="J77" s="23" t="s">
        <v>1767</v>
      </c>
      <c r="K77" s="23" t="s">
        <v>1767</v>
      </c>
      <c r="L77" s="23" t="s">
        <v>1767</v>
      </c>
      <c r="M77" s="23" t="s">
        <v>1767</v>
      </c>
      <c r="N77" s="23"/>
      <c r="O77" s="23"/>
    </row>
    <row r="78" spans="1:15" ht="14.85" customHeight="1" x14ac:dyDescent="0.3">
      <c r="A78" s="12">
        <v>31176</v>
      </c>
      <c r="B78" s="8" t="s">
        <v>2131</v>
      </c>
      <c r="C78" s="23" t="s">
        <v>1767</v>
      </c>
      <c r="D78" s="23" t="s">
        <v>1767</v>
      </c>
      <c r="E78" s="23" t="s">
        <v>1767</v>
      </c>
      <c r="F78" s="23" t="s">
        <v>1767</v>
      </c>
      <c r="G78" s="23" t="s">
        <v>1767</v>
      </c>
      <c r="H78" s="23" t="s">
        <v>1767</v>
      </c>
      <c r="I78" s="23" t="s">
        <v>1767</v>
      </c>
      <c r="J78" s="23" t="s">
        <v>1767</v>
      </c>
      <c r="K78" s="23" t="s">
        <v>1767</v>
      </c>
      <c r="L78" s="23" t="s">
        <v>1767</v>
      </c>
      <c r="M78" s="23" t="s">
        <v>1767</v>
      </c>
      <c r="N78" s="23"/>
      <c r="O78" s="23"/>
    </row>
    <row r="79" spans="1:15" ht="14.85" customHeight="1" x14ac:dyDescent="0.3">
      <c r="A79" s="12">
        <v>31177</v>
      </c>
      <c r="B79" s="8" t="s">
        <v>2133</v>
      </c>
      <c r="C79" s="23" t="s">
        <v>1767</v>
      </c>
      <c r="D79" s="23" t="s">
        <v>1767</v>
      </c>
      <c r="E79" s="23" t="s">
        <v>1767</v>
      </c>
      <c r="F79" s="23" t="s">
        <v>1767</v>
      </c>
      <c r="G79" s="23" t="s">
        <v>1767</v>
      </c>
      <c r="H79" s="23" t="s">
        <v>1767</v>
      </c>
      <c r="I79" s="23" t="s">
        <v>1767</v>
      </c>
      <c r="J79" s="23" t="s">
        <v>1767</v>
      </c>
      <c r="K79" s="23" t="s">
        <v>1767</v>
      </c>
      <c r="L79" s="23" t="s">
        <v>1767</v>
      </c>
      <c r="M79" s="23" t="s">
        <v>1767</v>
      </c>
      <c r="N79" s="23"/>
      <c r="O79" s="23"/>
    </row>
    <row r="80" spans="1:15" ht="14.85" customHeight="1" x14ac:dyDescent="0.3">
      <c r="A80" s="12">
        <v>31178</v>
      </c>
      <c r="B80" s="8" t="s">
        <v>2136</v>
      </c>
      <c r="C80" s="23" t="s">
        <v>1767</v>
      </c>
      <c r="D80" s="23" t="s">
        <v>1767</v>
      </c>
      <c r="E80" s="23" t="s">
        <v>1767</v>
      </c>
      <c r="F80" s="23" t="s">
        <v>1767</v>
      </c>
      <c r="G80" s="23" t="s">
        <v>1767</v>
      </c>
      <c r="H80" s="23" t="s">
        <v>1767</v>
      </c>
      <c r="I80" s="23" t="s">
        <v>1767</v>
      </c>
      <c r="J80" s="23" t="s">
        <v>1767</v>
      </c>
      <c r="K80" s="23" t="s">
        <v>1767</v>
      </c>
      <c r="L80" s="23" t="s">
        <v>1767</v>
      </c>
      <c r="M80" s="23" t="s">
        <v>1767</v>
      </c>
      <c r="N80" s="23"/>
      <c r="O80" s="23"/>
    </row>
    <row r="81" spans="1:15" ht="14.85" customHeight="1" x14ac:dyDescent="0.3">
      <c r="A81" s="12">
        <v>31179</v>
      </c>
      <c r="B81" s="8" t="s">
        <v>2132</v>
      </c>
      <c r="C81" s="23" t="s">
        <v>1767</v>
      </c>
      <c r="D81" s="23" t="s">
        <v>1767</v>
      </c>
      <c r="E81" s="23" t="s">
        <v>1767</v>
      </c>
      <c r="F81" s="23" t="s">
        <v>1767</v>
      </c>
      <c r="G81" s="23" t="s">
        <v>1767</v>
      </c>
      <c r="H81" s="23" t="s">
        <v>1767</v>
      </c>
      <c r="I81" s="23" t="s">
        <v>1767</v>
      </c>
      <c r="J81" s="23" t="s">
        <v>1767</v>
      </c>
      <c r="K81" s="23" t="s">
        <v>1767</v>
      </c>
      <c r="L81" s="23" t="s">
        <v>1767</v>
      </c>
      <c r="M81" s="23" t="s">
        <v>1767</v>
      </c>
      <c r="N81" s="23"/>
      <c r="O81" s="23"/>
    </row>
    <row r="82" spans="1:15" ht="14.85" customHeight="1" x14ac:dyDescent="0.3">
      <c r="A82" s="12">
        <v>31180</v>
      </c>
      <c r="B82" s="8" t="s">
        <v>2131</v>
      </c>
      <c r="C82" s="23" t="s">
        <v>1767</v>
      </c>
      <c r="D82" s="23" t="s">
        <v>1767</v>
      </c>
      <c r="E82" s="23" t="s">
        <v>1767</v>
      </c>
      <c r="F82" s="23" t="s">
        <v>1767</v>
      </c>
      <c r="G82" s="23" t="s">
        <v>1767</v>
      </c>
      <c r="H82" s="23" t="s">
        <v>1767</v>
      </c>
      <c r="I82" s="23" t="s">
        <v>1767</v>
      </c>
      <c r="J82" s="23" t="s">
        <v>1767</v>
      </c>
      <c r="K82" s="23" t="s">
        <v>1767</v>
      </c>
      <c r="L82" s="23" t="s">
        <v>1767</v>
      </c>
      <c r="M82" s="23" t="s">
        <v>1767</v>
      </c>
      <c r="N82" s="23"/>
      <c r="O82" s="23"/>
    </row>
    <row r="83" spans="1:15" ht="14.85" customHeight="1" x14ac:dyDescent="0.3">
      <c r="A83" s="12">
        <v>31181</v>
      </c>
      <c r="B83" s="8" t="s">
        <v>2133</v>
      </c>
      <c r="C83" s="23" t="s">
        <v>1767</v>
      </c>
      <c r="D83" s="23" t="s">
        <v>1767</v>
      </c>
      <c r="E83" s="23" t="s">
        <v>1767</v>
      </c>
      <c r="F83" s="23" t="s">
        <v>1767</v>
      </c>
      <c r="G83" s="23" t="s">
        <v>1767</v>
      </c>
      <c r="H83" s="23" t="s">
        <v>1767</v>
      </c>
      <c r="I83" s="23" t="s">
        <v>1767</v>
      </c>
      <c r="J83" s="23" t="s">
        <v>1767</v>
      </c>
      <c r="K83" s="23" t="s">
        <v>1767</v>
      </c>
      <c r="L83" s="23" t="s">
        <v>1767</v>
      </c>
      <c r="M83" s="23" t="s">
        <v>1767</v>
      </c>
      <c r="N83" s="23"/>
      <c r="O83" s="23"/>
    </row>
    <row r="84" spans="1:15" ht="14.85" customHeight="1" x14ac:dyDescent="0.3">
      <c r="A84" s="12">
        <v>31182</v>
      </c>
      <c r="B84" s="8" t="s">
        <v>2137</v>
      </c>
      <c r="C84" s="23" t="s">
        <v>1767</v>
      </c>
      <c r="D84" s="23" t="s">
        <v>1767</v>
      </c>
      <c r="E84" s="23" t="s">
        <v>1767</v>
      </c>
      <c r="F84" s="23" t="s">
        <v>1767</v>
      </c>
      <c r="G84" s="23" t="s">
        <v>1767</v>
      </c>
      <c r="H84" s="23" t="s">
        <v>1767</v>
      </c>
      <c r="I84" s="23" t="s">
        <v>1767</v>
      </c>
      <c r="J84" s="23" t="s">
        <v>1767</v>
      </c>
      <c r="K84" s="23" t="s">
        <v>1767</v>
      </c>
      <c r="L84" s="23" t="s">
        <v>1767</v>
      </c>
      <c r="M84" s="23" t="s">
        <v>1767</v>
      </c>
      <c r="N84" s="23"/>
      <c r="O84" s="23"/>
    </row>
    <row r="85" spans="1:15" ht="14.85" customHeight="1" x14ac:dyDescent="0.3">
      <c r="A85" s="12">
        <v>31183</v>
      </c>
      <c r="B85" s="8" t="s">
        <v>2138</v>
      </c>
      <c r="C85" s="23" t="s">
        <v>1767</v>
      </c>
      <c r="D85" s="23" t="s">
        <v>1767</v>
      </c>
      <c r="E85" s="23" t="s">
        <v>1767</v>
      </c>
      <c r="F85" s="23" t="s">
        <v>1767</v>
      </c>
      <c r="G85" s="23" t="s">
        <v>1767</v>
      </c>
      <c r="H85" s="23" t="s">
        <v>1767</v>
      </c>
      <c r="I85" s="23" t="s">
        <v>1767</v>
      </c>
      <c r="J85" s="23" t="s">
        <v>1767</v>
      </c>
      <c r="K85" s="23" t="s">
        <v>1767</v>
      </c>
      <c r="L85" s="23" t="s">
        <v>1767</v>
      </c>
      <c r="M85" s="23" t="s">
        <v>1767</v>
      </c>
      <c r="N85" s="23"/>
      <c r="O85" s="23"/>
    </row>
    <row r="86" spans="1:15" ht="14.85" customHeight="1" x14ac:dyDescent="0.3">
      <c r="A86" s="12">
        <v>31184</v>
      </c>
      <c r="B86" s="8" t="s">
        <v>2139</v>
      </c>
      <c r="C86" s="23" t="s">
        <v>1767</v>
      </c>
      <c r="D86" s="23" t="s">
        <v>1767</v>
      </c>
      <c r="E86" s="23" t="s">
        <v>1767</v>
      </c>
      <c r="F86" s="23" t="s">
        <v>1767</v>
      </c>
      <c r="G86" s="23" t="s">
        <v>1767</v>
      </c>
      <c r="H86" s="23" t="s">
        <v>1767</v>
      </c>
      <c r="I86" s="23" t="s">
        <v>1767</v>
      </c>
      <c r="J86" s="23" t="s">
        <v>1767</v>
      </c>
      <c r="K86" s="23" t="s">
        <v>1767</v>
      </c>
      <c r="L86" s="23" t="s">
        <v>1767</v>
      </c>
      <c r="M86" s="23" t="s">
        <v>1767</v>
      </c>
      <c r="N86" s="23"/>
      <c r="O86" s="23"/>
    </row>
    <row r="87" spans="1:15" ht="14.85" customHeight="1" x14ac:dyDescent="0.3">
      <c r="A87" s="12">
        <v>31185</v>
      </c>
      <c r="B87" s="8" t="s">
        <v>2140</v>
      </c>
      <c r="C87" s="23" t="s">
        <v>1767</v>
      </c>
      <c r="D87" s="23" t="s">
        <v>1767</v>
      </c>
      <c r="E87" s="23" t="s">
        <v>1767</v>
      </c>
      <c r="F87" s="23" t="s">
        <v>1767</v>
      </c>
      <c r="G87" s="23" t="s">
        <v>1767</v>
      </c>
      <c r="H87" s="23" t="s">
        <v>1767</v>
      </c>
      <c r="I87" s="23" t="s">
        <v>1767</v>
      </c>
      <c r="J87" s="23" t="s">
        <v>1767</v>
      </c>
      <c r="K87" s="23" t="s">
        <v>1767</v>
      </c>
      <c r="L87" s="23" t="s">
        <v>1767</v>
      </c>
      <c r="M87" s="23" t="s">
        <v>1767</v>
      </c>
      <c r="N87" s="23"/>
      <c r="O87" s="23"/>
    </row>
    <row r="88" spans="1:15" ht="14.85" customHeight="1" x14ac:dyDescent="0.3">
      <c r="A88" s="12">
        <v>31186</v>
      </c>
      <c r="B88" s="8" t="s">
        <v>2141</v>
      </c>
      <c r="C88" s="23" t="s">
        <v>1767</v>
      </c>
      <c r="D88" s="23" t="s">
        <v>1767</v>
      </c>
      <c r="E88" s="23" t="s">
        <v>1767</v>
      </c>
      <c r="F88" s="23" t="s">
        <v>1767</v>
      </c>
      <c r="G88" s="23" t="s">
        <v>1767</v>
      </c>
      <c r="H88" s="23" t="s">
        <v>1767</v>
      </c>
      <c r="I88" s="23" t="s">
        <v>1767</v>
      </c>
      <c r="J88" s="23" t="s">
        <v>1767</v>
      </c>
      <c r="K88" s="23" t="s">
        <v>1767</v>
      </c>
      <c r="L88" s="23" t="s">
        <v>1767</v>
      </c>
      <c r="M88" s="23" t="s">
        <v>1767</v>
      </c>
      <c r="N88" s="23"/>
      <c r="O88" s="23"/>
    </row>
    <row r="89" spans="1:15" ht="14.85" customHeight="1" x14ac:dyDescent="0.3">
      <c r="A89" s="12">
        <v>31187</v>
      </c>
      <c r="B89" s="8" t="s">
        <v>2142</v>
      </c>
      <c r="C89" s="23" t="s">
        <v>1767</v>
      </c>
      <c r="D89" s="23" t="s">
        <v>1767</v>
      </c>
      <c r="E89" s="23" t="s">
        <v>1767</v>
      </c>
      <c r="F89" s="23" t="s">
        <v>1767</v>
      </c>
      <c r="G89" s="23" t="s">
        <v>1767</v>
      </c>
      <c r="H89" s="23" t="s">
        <v>1767</v>
      </c>
      <c r="I89" s="23" t="s">
        <v>1767</v>
      </c>
      <c r="J89" s="23" t="s">
        <v>1767</v>
      </c>
      <c r="K89" s="23" t="s">
        <v>1767</v>
      </c>
      <c r="L89" s="23" t="s">
        <v>1767</v>
      </c>
      <c r="M89" s="23" t="s">
        <v>1767</v>
      </c>
      <c r="N89" s="23"/>
      <c r="O89" s="23"/>
    </row>
    <row r="90" spans="1:15" ht="14.85" customHeight="1" x14ac:dyDescent="0.3">
      <c r="A90" s="12">
        <v>31188</v>
      </c>
      <c r="B90" s="8" t="s">
        <v>2143</v>
      </c>
      <c r="C90" s="23" t="s">
        <v>1767</v>
      </c>
      <c r="D90" s="23" t="s">
        <v>1767</v>
      </c>
      <c r="E90" s="23" t="s">
        <v>1767</v>
      </c>
      <c r="F90" s="23" t="s">
        <v>1767</v>
      </c>
      <c r="G90" s="23" t="s">
        <v>1767</v>
      </c>
      <c r="H90" s="23" t="s">
        <v>1767</v>
      </c>
      <c r="I90" s="23" t="s">
        <v>1767</v>
      </c>
      <c r="J90" s="23" t="s">
        <v>1767</v>
      </c>
      <c r="K90" s="23" t="s">
        <v>1767</v>
      </c>
      <c r="L90" s="23" t="s">
        <v>1767</v>
      </c>
      <c r="M90" s="23" t="s">
        <v>1767</v>
      </c>
      <c r="N90" s="23"/>
      <c r="O90" s="23"/>
    </row>
    <row r="91" spans="1:15" ht="14.85" customHeight="1" x14ac:dyDescent="0.3">
      <c r="A91" s="12">
        <v>31189</v>
      </c>
      <c r="B91" s="8" t="s">
        <v>2144</v>
      </c>
      <c r="C91" s="23" t="s">
        <v>1767</v>
      </c>
      <c r="D91" s="23" t="s">
        <v>1767</v>
      </c>
      <c r="E91" s="23" t="s">
        <v>1767</v>
      </c>
      <c r="F91" s="23" t="s">
        <v>1767</v>
      </c>
      <c r="G91" s="23" t="s">
        <v>1767</v>
      </c>
      <c r="H91" s="23" t="s">
        <v>1767</v>
      </c>
      <c r="I91" s="23" t="s">
        <v>1767</v>
      </c>
      <c r="J91" s="23" t="s">
        <v>1767</v>
      </c>
      <c r="K91" s="23" t="s">
        <v>1767</v>
      </c>
      <c r="L91" s="23" t="s">
        <v>1767</v>
      </c>
      <c r="M91" s="23" t="s">
        <v>1767</v>
      </c>
      <c r="N91" s="23"/>
      <c r="O91" s="23"/>
    </row>
    <row r="92" spans="1:15" ht="14.85" customHeight="1" x14ac:dyDescent="0.3">
      <c r="A92" s="12">
        <v>31190</v>
      </c>
      <c r="B92" s="8" t="s">
        <v>2145</v>
      </c>
      <c r="C92" s="23">
        <v>-3.8214834462900085E-3</v>
      </c>
      <c r="D92" s="23">
        <v>-3.0003183834200007E-3</v>
      </c>
      <c r="E92" s="23">
        <v>-2.330435689129991E-3</v>
      </c>
      <c r="F92" s="23">
        <v>-2.6261704214399933E-3</v>
      </c>
      <c r="G92" s="23">
        <v>-2.214008435890002E-3</v>
      </c>
      <c r="H92" s="23">
        <v>-5.1022295144800027E-3</v>
      </c>
      <c r="I92" s="23">
        <v>-1.4189151361679978E-2</v>
      </c>
      <c r="J92" s="23">
        <v>-1.3247322459579998E-2</v>
      </c>
      <c r="K92" s="23">
        <v>-1.1958640785919997E-2</v>
      </c>
      <c r="L92" s="23">
        <v>-4.0891713567809997E-2</v>
      </c>
      <c r="M92" s="23">
        <v>-3.8602799751250014E-2</v>
      </c>
      <c r="N92" s="23">
        <v>-3.3867916307210005E-2</v>
      </c>
      <c r="O92" s="23">
        <v>-2.7632194842620004E-2</v>
      </c>
    </row>
    <row r="93" spans="1:15" ht="14.85" customHeight="1" x14ac:dyDescent="0.3">
      <c r="A93" s="12">
        <v>31191</v>
      </c>
      <c r="B93" s="8" t="s">
        <v>2146</v>
      </c>
      <c r="C93" s="23">
        <v>54.683008406732775</v>
      </c>
      <c r="D93" s="23">
        <v>55.629142955529609</v>
      </c>
      <c r="E93" s="23">
        <v>57.463382044879609</v>
      </c>
      <c r="F93" s="23">
        <v>57.390751288725468</v>
      </c>
      <c r="G93" s="23">
        <v>58.294862264977411</v>
      </c>
      <c r="H93" s="23">
        <v>57.225227001073875</v>
      </c>
      <c r="I93" s="23">
        <v>56.763073824900985</v>
      </c>
      <c r="J93" s="23">
        <v>55.130483558308555</v>
      </c>
      <c r="K93" s="23">
        <v>55.82081154843236</v>
      </c>
      <c r="L93" s="23">
        <v>55.769019085319975</v>
      </c>
      <c r="M93" s="23">
        <v>53.316706318941669</v>
      </c>
      <c r="N93" s="23">
        <v>51.993587111480572</v>
      </c>
      <c r="O93" s="23">
        <v>49.785323163703552</v>
      </c>
    </row>
    <row r="94" spans="1:15" ht="14.85" customHeight="1" x14ac:dyDescent="0.3">
      <c r="A94" s="12">
        <v>31192</v>
      </c>
      <c r="B94" s="8" t="s">
        <v>2147</v>
      </c>
      <c r="C94" s="23">
        <v>-0.54782229018023343</v>
      </c>
      <c r="D94" s="23">
        <v>-0.52483351148541091</v>
      </c>
      <c r="E94" s="23">
        <v>-0.50610572210464499</v>
      </c>
      <c r="F94" s="23">
        <v>-0.4776931111491543</v>
      </c>
      <c r="G94" s="23">
        <v>-0.45496990978654622</v>
      </c>
      <c r="H94" s="23">
        <v>-0.42662946989092565</v>
      </c>
      <c r="I94" s="23">
        <v>-0.39907467325755869</v>
      </c>
      <c r="J94" s="23">
        <v>-0.37148504812092037</v>
      </c>
      <c r="K94" s="23">
        <v>-0.35108344122172397</v>
      </c>
      <c r="L94" s="23">
        <v>-0.31132752708228528</v>
      </c>
      <c r="M94" s="23">
        <v>-0.29031423553787589</v>
      </c>
      <c r="N94" s="23">
        <v>-0.27164199765902713</v>
      </c>
      <c r="O94" s="23">
        <v>-0.24735673053871235</v>
      </c>
    </row>
    <row r="95" spans="1:15" ht="14.85" customHeight="1" x14ac:dyDescent="0.3">
      <c r="A95" s="12">
        <v>31193</v>
      </c>
      <c r="B95" s="8" t="s">
        <v>2148</v>
      </c>
      <c r="C95" s="23" t="s">
        <v>1767</v>
      </c>
      <c r="D95" s="23">
        <v>-1.8047232345500014E-3</v>
      </c>
      <c r="E95" s="23">
        <v>-2.7510798221760197E-2</v>
      </c>
      <c r="F95" s="23">
        <v>-0.13551312551822184</v>
      </c>
      <c r="G95" s="23">
        <v>-0.14533400711633768</v>
      </c>
      <c r="H95" s="23">
        <v>-0.16853348204064042</v>
      </c>
      <c r="I95" s="23">
        <v>-0.16870052456339682</v>
      </c>
      <c r="J95" s="23">
        <v>-0.18565844065310433</v>
      </c>
      <c r="K95" s="23">
        <v>-0.21654075078050139</v>
      </c>
      <c r="L95" s="23">
        <v>-0.20812292960999626</v>
      </c>
      <c r="M95" s="23">
        <v>-0.22186955512950512</v>
      </c>
      <c r="N95" s="23">
        <v>-0.33394224007606088</v>
      </c>
      <c r="O95" s="23">
        <v>-0.31912859246556086</v>
      </c>
    </row>
    <row r="96" spans="1:15" ht="14.85" customHeight="1" x14ac:dyDescent="0.3">
      <c r="A96" s="12">
        <v>31194</v>
      </c>
      <c r="B96" s="8" t="s">
        <v>2149</v>
      </c>
      <c r="C96" s="23">
        <v>-7.4014439465800066E-2</v>
      </c>
      <c r="D96" s="23">
        <v>-7.3726478755800517E-2</v>
      </c>
      <c r="E96" s="23">
        <v>-7.4114699610590001E-2</v>
      </c>
      <c r="F96" s="23">
        <v>-7.3022632322269951E-2</v>
      </c>
      <c r="G96" s="23">
        <v>-7.2400359502439851E-2</v>
      </c>
      <c r="H96" s="23">
        <v>-7.0160449411730053E-2</v>
      </c>
      <c r="I96" s="23">
        <v>-6.8159429517800227E-2</v>
      </c>
      <c r="J96" s="23">
        <v>-6.5657966553960001E-2</v>
      </c>
      <c r="K96" s="23">
        <v>-6.4918684042609989E-2</v>
      </c>
      <c r="L96" s="23">
        <v>-6.3284536489530002E-2</v>
      </c>
      <c r="M96" s="23">
        <v>-6.1269268729459959E-2</v>
      </c>
      <c r="N96" s="23">
        <v>-5.9241232313980118E-2</v>
      </c>
      <c r="O96" s="23">
        <v>-5.6327859651309903E-2</v>
      </c>
    </row>
    <row r="97" spans="1:15" ht="14.85" customHeight="1" x14ac:dyDescent="0.3">
      <c r="A97" s="12">
        <v>31195</v>
      </c>
      <c r="B97" s="8" t="s">
        <v>2150</v>
      </c>
      <c r="C97" s="23">
        <v>0.58692223945306976</v>
      </c>
      <c r="D97" s="23">
        <v>0.56078224420434819</v>
      </c>
      <c r="E97" s="23">
        <v>0.46905631876094783</v>
      </c>
      <c r="F97" s="23">
        <v>0.4521378860431699</v>
      </c>
      <c r="G97" s="23">
        <v>0.41666180310295919</v>
      </c>
      <c r="H97" s="23">
        <v>0.34596099777414507</v>
      </c>
      <c r="I97" s="23">
        <v>0.32608122602053174</v>
      </c>
      <c r="J97" s="23">
        <v>-0.37148504812092037</v>
      </c>
      <c r="K97" s="23">
        <v>0.30382427462365152</v>
      </c>
      <c r="L97" s="23">
        <v>0.18154455224031862</v>
      </c>
      <c r="M97" s="23">
        <v>0.1775167025806578</v>
      </c>
      <c r="N97" s="23">
        <v>0.16984758973512332</v>
      </c>
      <c r="O97" s="23">
        <v>0.15979622511798144</v>
      </c>
    </row>
    <row r="98" spans="1:15" ht="14.85" customHeight="1" x14ac:dyDescent="0.3">
      <c r="A98" s="12">
        <v>31196</v>
      </c>
      <c r="B98" s="8" t="s">
        <v>2151</v>
      </c>
      <c r="C98" s="23">
        <v>5.4162523670418006</v>
      </c>
      <c r="D98" s="23">
        <v>5.2213706032103504</v>
      </c>
      <c r="E98" s="23">
        <v>5.3057313124691605</v>
      </c>
      <c r="F98" s="23">
        <v>5.24736946599036</v>
      </c>
      <c r="G98" s="23">
        <v>5.0639797775044597</v>
      </c>
      <c r="H98" s="23">
        <v>4.8265808296203696</v>
      </c>
      <c r="I98" s="23">
        <v>4.6541258373034804</v>
      </c>
      <c r="J98" s="23">
        <v>4.5786586977588302</v>
      </c>
      <c r="K98" s="23">
        <v>4.556601757214481</v>
      </c>
      <c r="L98" s="23">
        <v>4.4075130291972107</v>
      </c>
      <c r="M98" s="23">
        <v>4.3887799836578605</v>
      </c>
      <c r="N98" s="23">
        <v>4.2870239553367995</v>
      </c>
      <c r="O98" s="23">
        <v>4.0837184751998903</v>
      </c>
    </row>
    <row r="99" spans="1:15" ht="14.85" customHeight="1" x14ac:dyDescent="0.3">
      <c r="A99" s="12">
        <v>31197</v>
      </c>
      <c r="B99" s="8" t="s">
        <v>2152</v>
      </c>
      <c r="C99" s="23">
        <v>-0.23250887458645758</v>
      </c>
      <c r="D99" s="23">
        <v>-1.8047232345822057E-3</v>
      </c>
      <c r="E99" s="23">
        <v>-2.7517331088519413E-2</v>
      </c>
      <c r="F99" s="23">
        <v>-0.13551312551820732</v>
      </c>
      <c r="G99" s="23">
        <v>-0.14533400711638841</v>
      </c>
      <c r="H99" s="23">
        <v>-0.16853348204065002</v>
      </c>
      <c r="I99" s="23">
        <v>-0.16870052456341242</v>
      </c>
      <c r="J99" s="23">
        <v>-0.18565844065311723</v>
      </c>
      <c r="K99" s="23">
        <v>-0.21654075078047802</v>
      </c>
      <c r="L99" s="23">
        <v>-0.20812292961001444</v>
      </c>
      <c r="M99" s="23">
        <v>-0.22186955512948076</v>
      </c>
      <c r="N99" s="23">
        <v>-0.33394224007608803</v>
      </c>
      <c r="O99" s="23">
        <v>-0.31912859246557163</v>
      </c>
    </row>
    <row r="100" spans="1:15" ht="14.85" customHeight="1" x14ac:dyDescent="0.3">
      <c r="A100" s="12">
        <v>31198</v>
      </c>
      <c r="B100" s="8" t="s">
        <v>2153</v>
      </c>
      <c r="C100" s="23">
        <v>3.8621683393599963E-3</v>
      </c>
      <c r="D100" s="23">
        <v>3.0281040557499942E-3</v>
      </c>
      <c r="E100" s="23">
        <v>2.3492550695399981E-3</v>
      </c>
      <c r="F100" s="23">
        <v>2.6436757847100026E-3</v>
      </c>
      <c r="G100" s="23">
        <v>2.2390380289199971E-3</v>
      </c>
      <c r="H100" s="23">
        <v>5.1876290530300006E-3</v>
      </c>
      <c r="I100" s="23">
        <v>1.4467506049540004E-2</v>
      </c>
      <c r="J100" s="23">
        <v>1.3478085103419994E-2</v>
      </c>
      <c r="K100" s="23">
        <v>-1.1958640785919997E-2</v>
      </c>
      <c r="L100" s="23">
        <v>4.1416833513030021E-2</v>
      </c>
      <c r="M100" s="23">
        <v>3.9045222394389997E-2</v>
      </c>
      <c r="N100" s="23">
        <v>3.4221864818930012E-2</v>
      </c>
      <c r="O100" s="23">
        <v>2.7886388147809991E-2</v>
      </c>
    </row>
    <row r="101" spans="1:15" ht="14.85" customHeight="1" x14ac:dyDescent="0.3">
      <c r="A101" s="12">
        <v>31199</v>
      </c>
      <c r="B101" s="8" t="s">
        <v>2154</v>
      </c>
      <c r="C101" s="23">
        <v>-57.695117021539012</v>
      </c>
      <c r="D101" s="23">
        <v>-58.743947025681933</v>
      </c>
      <c r="E101" s="23">
        <v>-60.800683497203082</v>
      </c>
      <c r="F101" s="23">
        <v>-60.754872610420399</v>
      </c>
      <c r="G101" s="23">
        <v>-61.738505835315223</v>
      </c>
      <c r="H101" s="23">
        <v>-60.579103752820089</v>
      </c>
      <c r="I101" s="23">
        <v>-60.08509069505719</v>
      </c>
      <c r="J101" s="23">
        <v>-58.302404974828292</v>
      </c>
      <c r="K101" s="23">
        <v>55.820811548432353</v>
      </c>
      <c r="L101" s="23">
        <v>-59.057659253979899</v>
      </c>
      <c r="M101" s="23">
        <v>-56.542330213355406</v>
      </c>
      <c r="N101" s="23">
        <v>-55.114365787487195</v>
      </c>
      <c r="O101" s="23">
        <v>-52.65821550861871</v>
      </c>
    </row>
    <row r="102" spans="1:15" ht="14.85" customHeight="1" x14ac:dyDescent="0.3">
      <c r="A102" s="12">
        <v>31200</v>
      </c>
      <c r="B102" s="8" t="s">
        <v>2155</v>
      </c>
      <c r="C102" s="23">
        <v>0.564699783381856</v>
      </c>
      <c r="D102" s="23">
        <v>0.54103044685340917</v>
      </c>
      <c r="E102" s="23">
        <v>0.5218394610740773</v>
      </c>
      <c r="F102" s="23">
        <v>0.49248467355301856</v>
      </c>
      <c r="G102" s="23">
        <v>0.46906827570560911</v>
      </c>
      <c r="H102" s="23">
        <v>0.43967461026035187</v>
      </c>
      <c r="I102" s="23">
        <v>0.41115059843451174</v>
      </c>
      <c r="J102" s="23">
        <v>0.38255212479739092</v>
      </c>
      <c r="K102" s="23">
        <v>-0.35108344122173085</v>
      </c>
      <c r="L102" s="23">
        <v>0.32081846626806676</v>
      </c>
      <c r="M102" s="23">
        <v>0.2990783810109251</v>
      </c>
      <c r="N102" s="23">
        <v>0.27974885864480603</v>
      </c>
      <c r="O102" s="23">
        <v>0.25463117635748783</v>
      </c>
    </row>
    <row r="103" spans="1:15" ht="14.85" customHeight="1" x14ac:dyDescent="0.3">
      <c r="A103" s="12">
        <v>31201</v>
      </c>
      <c r="B103" s="8" t="s">
        <v>2156</v>
      </c>
      <c r="C103" s="23" t="s">
        <v>1767</v>
      </c>
      <c r="D103" s="23">
        <v>1.8654658896300024E-3</v>
      </c>
      <c r="E103" s="23">
        <v>2.8378724986879971E-2</v>
      </c>
      <c r="F103" s="23">
        <v>0.1404966225350503</v>
      </c>
      <c r="G103" s="23">
        <v>0.15061568346288984</v>
      </c>
      <c r="H103" s="23">
        <v>0.17483368071388147</v>
      </c>
      <c r="I103" s="23">
        <v>0.17493983353912013</v>
      </c>
      <c r="J103" s="23">
        <v>0.1924553533390988</v>
      </c>
      <c r="K103" s="23">
        <v>-0.21654075078050042</v>
      </c>
      <c r="L103" s="23">
        <v>0.21586259327153909</v>
      </c>
      <c r="M103" s="23">
        <v>0.22981614744780957</v>
      </c>
      <c r="N103" s="23">
        <v>0.34907664600381216</v>
      </c>
      <c r="O103" s="23">
        <v>0.33342219940264056</v>
      </c>
    </row>
    <row r="104" spans="1:15" ht="14.85" customHeight="1" x14ac:dyDescent="0.3">
      <c r="A104" s="12">
        <v>31202</v>
      </c>
      <c r="B104" s="8" t="s">
        <v>2157</v>
      </c>
      <c r="C104" s="23">
        <v>7.7273108642730168E-2</v>
      </c>
      <c r="D104" s="23">
        <v>7.6996172018369891E-2</v>
      </c>
      <c r="E104" s="23">
        <v>7.7450091416979672E-2</v>
      </c>
      <c r="F104" s="23">
        <v>7.630672194998013E-2</v>
      </c>
      <c r="G104" s="23">
        <v>7.5669146214819974E-2</v>
      </c>
      <c r="H104" s="23">
        <v>7.3286419394509861E-2</v>
      </c>
      <c r="I104" s="23">
        <v>7.1165638949339277E-2</v>
      </c>
      <c r="J104" s="23">
        <v>6.8502690137139985E-2</v>
      </c>
      <c r="K104" s="23">
        <v>-6.4918684042609989E-2</v>
      </c>
      <c r="L104" s="23">
        <v>6.6010426101120651E-2</v>
      </c>
      <c r="M104" s="23">
        <v>6.3873190551560141E-2</v>
      </c>
      <c r="N104" s="23">
        <v>6.1719195081780198E-2</v>
      </c>
      <c r="O104" s="23">
        <v>5.8619854829850139E-2</v>
      </c>
    </row>
    <row r="105" spans="1:15" ht="14.85" customHeight="1" x14ac:dyDescent="0.3">
      <c r="A105" s="12">
        <v>31203</v>
      </c>
      <c r="B105" s="8" t="s">
        <v>2158</v>
      </c>
      <c r="C105" s="23">
        <v>-0.61862434394331844</v>
      </c>
      <c r="D105" s="23">
        <v>-0.59063884927513988</v>
      </c>
      <c r="E105" s="23">
        <v>-0.49453247107182324</v>
      </c>
      <c r="F105" s="23">
        <v>-0.47648932206060712</v>
      </c>
      <c r="G105" s="23">
        <v>-0.43940032264864382</v>
      </c>
      <c r="H105" s="23">
        <v>-0.36502525703915162</v>
      </c>
      <c r="I105" s="23">
        <v>-0.34395396967160496</v>
      </c>
      <c r="J105" s="23">
        <v>-0.32958228408593188</v>
      </c>
      <c r="K105" s="23">
        <v>0.30382427462364686</v>
      </c>
      <c r="L105" s="23">
        <v>-0.19142156916311337</v>
      </c>
      <c r="M105" s="23">
        <v>-0.18704231702830984</v>
      </c>
      <c r="N105" s="23">
        <v>-0.17887654864593575</v>
      </c>
      <c r="O105" s="23">
        <v>-0.16811861843674927</v>
      </c>
    </row>
    <row r="106" spans="1:15" ht="14.85" customHeight="1" x14ac:dyDescent="0.3">
      <c r="A106" s="12">
        <v>31204</v>
      </c>
      <c r="B106" s="8" t="s">
        <v>2159</v>
      </c>
      <c r="C106" s="23">
        <v>-5.8611822968188099</v>
      </c>
      <c r="D106" s="23">
        <v>-5.6462463478520606</v>
      </c>
      <c r="E106" s="23">
        <v>-5.7429368706093413</v>
      </c>
      <c r="F106" s="23">
        <v>-5.6785596833367595</v>
      </c>
      <c r="G106" s="23">
        <v>-5.4832845828066201</v>
      </c>
      <c r="H106" s="23">
        <v>-5.216934049174851</v>
      </c>
      <c r="I106" s="23">
        <v>-5.0308839426641399</v>
      </c>
      <c r="J106" s="23">
        <v>-4.9415762645464891</v>
      </c>
      <c r="K106" s="23">
        <v>4.556601757214481</v>
      </c>
      <c r="L106" s="23">
        <v>-4.7529730284909597</v>
      </c>
      <c r="M106" s="23">
        <v>-4.7272385147391294</v>
      </c>
      <c r="N106" s="23">
        <v>-4.6156432460512695</v>
      </c>
      <c r="O106" s="23">
        <v>-4.3893043625301491</v>
      </c>
    </row>
    <row r="107" spans="1:15" ht="14.85" customHeight="1" x14ac:dyDescent="0.3">
      <c r="A107" s="12">
        <v>31205</v>
      </c>
      <c r="B107" s="8" t="s">
        <v>2160</v>
      </c>
      <c r="C107" s="23">
        <v>3.7948807819657059E-2</v>
      </c>
      <c r="D107" s="23">
        <v>1.8654658896124657E-3</v>
      </c>
      <c r="E107" s="23">
        <v>2.8385194496429164E-2</v>
      </c>
      <c r="F107" s="23">
        <v>0.14049662253505207</v>
      </c>
      <c r="G107" s="23">
        <v>0.15061568346286155</v>
      </c>
      <c r="H107" s="23">
        <v>0.17483368071388541</v>
      </c>
      <c r="I107" s="23">
        <v>0.17493983353909262</v>
      </c>
      <c r="J107" s="23">
        <v>0.19245535333906849</v>
      </c>
      <c r="K107" s="23">
        <v>-0.21654075078047705</v>
      </c>
      <c r="L107" s="23">
        <v>0.21586259327154197</v>
      </c>
      <c r="M107" s="23">
        <v>0.22981614744778117</v>
      </c>
      <c r="N107" s="23">
        <v>0.34907664600380972</v>
      </c>
      <c r="O107" s="23">
        <v>0.33342219940263823</v>
      </c>
    </row>
    <row r="108" spans="1:15" ht="14.85" customHeight="1" x14ac:dyDescent="0.3">
      <c r="A108" s="12">
        <v>31206</v>
      </c>
      <c r="B108" s="8" t="s">
        <v>2161</v>
      </c>
      <c r="C108" s="23">
        <v>-53.362023567189532</v>
      </c>
      <c r="D108" s="23">
        <v>-61.501473645406129</v>
      </c>
      <c r="E108" s="23">
        <v>-5.0931703299283981E-17</v>
      </c>
      <c r="F108" s="23">
        <v>3.2014213502407073E-16</v>
      </c>
      <c r="G108" s="23">
        <v>-1.0477378964424134E-15</v>
      </c>
      <c r="H108" s="23">
        <v>5.8207660913467405E-17</v>
      </c>
      <c r="I108" s="23">
        <v>-2.9103830456733706E-16</v>
      </c>
      <c r="J108" s="23">
        <v>-9.3132257461547847E-16</v>
      </c>
      <c r="K108" s="23">
        <v>-1.3969838619232178E-15</v>
      </c>
      <c r="L108" s="23">
        <v>1.5302728861570359E-9</v>
      </c>
      <c r="M108" s="23">
        <v>-3.637779736891389E-10</v>
      </c>
      <c r="N108" s="23">
        <v>-7.2661684826016425E-9</v>
      </c>
      <c r="O108" s="23">
        <v>5.7973461225628857E-9</v>
      </c>
    </row>
    <row r="109" spans="1:15" ht="14.85" customHeight="1" x14ac:dyDescent="0.3">
      <c r="A109" s="12">
        <v>31207</v>
      </c>
      <c r="B109" s="8" t="s">
        <v>2162</v>
      </c>
      <c r="C109" s="23">
        <v>1.5452104514033904</v>
      </c>
      <c r="D109" s="23">
        <v>1.4692952035908498</v>
      </c>
      <c r="E109" s="23">
        <v>1.2773807498780707</v>
      </c>
      <c r="F109" s="23">
        <v>1.2383523364794908</v>
      </c>
      <c r="G109" s="23">
        <v>1.1728111470677198</v>
      </c>
      <c r="H109" s="23">
        <v>0.98026858237008085</v>
      </c>
      <c r="I109" s="23">
        <v>0.96104403288250051</v>
      </c>
      <c r="J109" s="23">
        <v>1.7741128660737016</v>
      </c>
      <c r="K109" s="23">
        <v>1.7998169124517174</v>
      </c>
      <c r="L109" s="23">
        <v>1.2110414445871993</v>
      </c>
      <c r="M109" s="23">
        <v>1.0151081063510992</v>
      </c>
      <c r="N109" s="23">
        <v>2.073056708586579</v>
      </c>
      <c r="O109" s="23">
        <v>1.0164637688886169</v>
      </c>
    </row>
    <row r="110" spans="1:15" ht="14.85" customHeight="1" x14ac:dyDescent="0.3">
      <c r="A110" s="12">
        <v>31208</v>
      </c>
      <c r="B110" s="8" t="s">
        <v>2163</v>
      </c>
      <c r="C110" s="23">
        <v>9.39969894295246</v>
      </c>
      <c r="D110" s="23">
        <v>9.1874359424542718</v>
      </c>
      <c r="E110" s="23">
        <v>9.0854664707772894</v>
      </c>
      <c r="F110" s="23">
        <v>8.9125114959271698</v>
      </c>
      <c r="G110" s="23">
        <v>8.8012070597588394</v>
      </c>
      <c r="H110" s="23">
        <v>8.522104117046279</v>
      </c>
      <c r="I110" s="23">
        <v>8.3720427173324392</v>
      </c>
      <c r="J110" s="23">
        <v>16.382272031631661</v>
      </c>
      <c r="K110" s="23">
        <v>16.27277455569692</v>
      </c>
      <c r="L110" s="23">
        <v>15.97934726840298</v>
      </c>
      <c r="M110" s="23">
        <v>15.713134703562663</v>
      </c>
      <c r="N110" s="23">
        <v>15.49581512409296</v>
      </c>
      <c r="O110" s="23">
        <v>15.333938447522399</v>
      </c>
    </row>
    <row r="111" spans="1:15" ht="14.85" customHeight="1" x14ac:dyDescent="0.3">
      <c r="A111" s="12">
        <v>31209</v>
      </c>
      <c r="B111" s="8" t="s">
        <v>2164</v>
      </c>
      <c r="C111" s="23">
        <v>-2.254295664833E-2</v>
      </c>
      <c r="D111" s="23">
        <v>-1.181171231273E-2</v>
      </c>
      <c r="E111" s="23">
        <v>6.36553735658E-3</v>
      </c>
      <c r="F111" s="23">
        <v>0</v>
      </c>
      <c r="G111" s="23">
        <v>3.9477485016090004E-2</v>
      </c>
      <c r="H111" s="23">
        <v>6.3530068085369998E-2</v>
      </c>
      <c r="I111" s="23">
        <v>0</v>
      </c>
      <c r="J111" s="23">
        <v>0.1362422239735</v>
      </c>
      <c r="K111" s="23">
        <v>3.9414515889800002E-2</v>
      </c>
      <c r="L111" s="23">
        <v>2.33294E-9</v>
      </c>
      <c r="M111" s="23">
        <v>0</v>
      </c>
      <c r="N111" s="23">
        <v>0</v>
      </c>
      <c r="O111" s="23">
        <v>0</v>
      </c>
    </row>
    <row r="112" spans="1:15" ht="14.85" customHeight="1" x14ac:dyDescent="0.3">
      <c r="A112" s="12">
        <v>31210</v>
      </c>
      <c r="B112" s="8" t="s">
        <v>2165</v>
      </c>
      <c r="C112" s="23">
        <v>58.716757031403823</v>
      </c>
      <c r="D112" s="23">
        <v>67.734065958199821</v>
      </c>
      <c r="E112" s="23">
        <v>5.7480065152049065E-10</v>
      </c>
      <c r="F112" s="23">
        <v>-1.7462298274040222E-10</v>
      </c>
      <c r="G112" s="23">
        <v>5.8207660913467407E-10</v>
      </c>
      <c r="H112" s="23">
        <v>-1.7462298274040222E-10</v>
      </c>
      <c r="I112" s="23">
        <v>2.9103830456733706E-16</v>
      </c>
      <c r="J112" s="23">
        <v>9.3132257461547847E-16</v>
      </c>
      <c r="K112" s="23">
        <v>1.3969838619232178E-15</v>
      </c>
      <c r="L112" s="23">
        <v>-1.5302728861570359E-9</v>
      </c>
      <c r="M112" s="23">
        <v>3.637779736891389E-10</v>
      </c>
      <c r="N112" s="23">
        <v>-7.2661736048758031E-9</v>
      </c>
      <c r="O112" s="23">
        <v>-5.7973461225628857E-9</v>
      </c>
    </row>
    <row r="113" spans="1:15" ht="14.85" customHeight="1" x14ac:dyDescent="0.3">
      <c r="A113" s="12">
        <v>31211</v>
      </c>
      <c r="B113" s="8" t="s">
        <v>2166</v>
      </c>
      <c r="C113" s="23">
        <v>-1.5452104514034004</v>
      </c>
      <c r="D113" s="23">
        <v>-1.4692952035908498</v>
      </c>
      <c r="E113" s="23">
        <v>-1.27738074987808</v>
      </c>
      <c r="F113" s="23">
        <v>-1.2383523364795099</v>
      </c>
      <c r="G113" s="23">
        <v>-1.17281114706773</v>
      </c>
      <c r="H113" s="23">
        <v>-0.98026858237009185</v>
      </c>
      <c r="I113" s="23">
        <v>-0.96104403288250051</v>
      </c>
      <c r="J113" s="23">
        <v>-1.7741128660737415</v>
      </c>
      <c r="K113" s="23">
        <v>-1.7998169124516983</v>
      </c>
      <c r="L113" s="23">
        <v>-1.2110414445871993</v>
      </c>
      <c r="M113" s="23">
        <v>-1.0151081063510605</v>
      </c>
      <c r="N113" s="23">
        <v>0.41295999415192081</v>
      </c>
      <c r="O113" s="23">
        <v>-1.0164637688885558</v>
      </c>
    </row>
    <row r="114" spans="1:15" ht="14.85" customHeight="1" x14ac:dyDescent="0.3">
      <c r="A114" s="12">
        <v>31212</v>
      </c>
      <c r="B114" s="8" t="s">
        <v>2167</v>
      </c>
      <c r="C114" s="23">
        <v>-9.3996989429524795</v>
      </c>
      <c r="D114" s="23">
        <v>-9.1874359424543002</v>
      </c>
      <c r="E114" s="23">
        <v>-9.0854664707772894</v>
      </c>
      <c r="F114" s="23">
        <v>-8.9125114959271698</v>
      </c>
      <c r="G114" s="23">
        <v>-8.8012070597588501</v>
      </c>
      <c r="H114" s="23">
        <v>-8.5221041170462595</v>
      </c>
      <c r="I114" s="23">
        <v>-8.3720427173324392</v>
      </c>
      <c r="J114" s="23">
        <v>-16.382272031631661</v>
      </c>
      <c r="K114" s="23">
        <v>-16.27277455569692</v>
      </c>
      <c r="L114" s="23">
        <v>-15.97934726840302</v>
      </c>
      <c r="M114" s="23">
        <v>-15.71313470356268</v>
      </c>
      <c r="N114" s="23">
        <v>-15.495815124092999</v>
      </c>
      <c r="O114" s="23">
        <v>-15.333938447522421</v>
      </c>
    </row>
    <row r="115" spans="1:15" ht="14.85" customHeight="1" x14ac:dyDescent="0.3">
      <c r="A115" s="12">
        <v>31213</v>
      </c>
      <c r="B115" s="8" t="s">
        <v>2168</v>
      </c>
      <c r="C115" s="23">
        <v>-2.9103830456733702E-17</v>
      </c>
      <c r="D115" s="23">
        <v>1.4551915228366851E-17</v>
      </c>
      <c r="E115" s="23">
        <v>6.3655373565800911E-3</v>
      </c>
      <c r="F115" s="23">
        <v>7.2759576141834265E-17</v>
      </c>
      <c r="G115" s="23">
        <v>-2.1827872842550278E-17</v>
      </c>
      <c r="H115" s="23">
        <v>-8.3673512563109398E-17</v>
      </c>
      <c r="I115" s="23">
        <v>4.3655745685100557E-17</v>
      </c>
      <c r="J115" s="23">
        <v>-3.6379788070917132E-17</v>
      </c>
      <c r="K115" s="23">
        <v>-4.7293724492192265E-17</v>
      </c>
      <c r="L115" s="23">
        <v>-6.7302607931196686E-17</v>
      </c>
      <c r="M115" s="23">
        <v>-3.5470293369144201E-17</v>
      </c>
      <c r="N115" s="23">
        <v>1.9099388737231492E-17</v>
      </c>
      <c r="O115" s="23">
        <v>1.1641532182693481E-16</v>
      </c>
    </row>
    <row r="116" spans="1:15" ht="14.85" customHeight="1" x14ac:dyDescent="0.3">
      <c r="A116" s="12">
        <v>31214</v>
      </c>
      <c r="B116" s="8" t="s">
        <v>2169</v>
      </c>
      <c r="C116" s="23">
        <v>-3.8214834462900089E-5</v>
      </c>
      <c r="D116" s="23">
        <v>-3.0003183834200006E-5</v>
      </c>
      <c r="E116" s="23">
        <v>-2.3304356891299912E-5</v>
      </c>
      <c r="F116" s="23">
        <v>-2.6261704214399933E-5</v>
      </c>
      <c r="G116" s="23">
        <v>-2.2140084358900021E-5</v>
      </c>
      <c r="H116" s="23">
        <v>-5.1022295144800026E-5</v>
      </c>
      <c r="I116" s="23">
        <v>-1.4189151361679978E-4</v>
      </c>
      <c r="J116" s="23">
        <v>-1.3247322459579997E-4</v>
      </c>
      <c r="K116" s="23">
        <v>-1.1958640785919998E-4</v>
      </c>
      <c r="L116" s="23">
        <v>-4.0891713567809996E-4</v>
      </c>
      <c r="M116" s="23">
        <v>-3.8602799751250017E-4</v>
      </c>
      <c r="N116" s="23">
        <v>-3.3867916307210008E-4</v>
      </c>
      <c r="O116" s="23">
        <v>-2.7632194842620004E-4</v>
      </c>
    </row>
    <row r="117" spans="1:15" ht="14.85" customHeight="1" x14ac:dyDescent="0.3">
      <c r="A117" s="12">
        <v>31215</v>
      </c>
      <c r="B117" s="8" t="s">
        <v>2170</v>
      </c>
      <c r="C117" s="23">
        <v>0.5468300840673278</v>
      </c>
      <c r="D117" s="23">
        <v>0.55629142955529609</v>
      </c>
      <c r="E117" s="23">
        <v>0.57463382044879607</v>
      </c>
      <c r="F117" s="23">
        <v>0.57390751288725472</v>
      </c>
      <c r="G117" s="23">
        <v>0.5829486226497741</v>
      </c>
      <c r="H117" s="23">
        <v>0.57225227001073875</v>
      </c>
      <c r="I117" s="23">
        <v>0.56763073824900989</v>
      </c>
      <c r="J117" s="23">
        <v>0.55130483558308552</v>
      </c>
      <c r="K117" s="23">
        <v>0.55820811548432359</v>
      </c>
      <c r="L117" s="23">
        <v>0.55769019085319982</v>
      </c>
      <c r="M117" s="23">
        <v>0.53316706318941676</v>
      </c>
      <c r="N117" s="23">
        <v>0.51993587111480577</v>
      </c>
      <c r="O117" s="23">
        <v>-2.7632194842620004E-4</v>
      </c>
    </row>
    <row r="118" spans="1:15" ht="14.85" customHeight="1" x14ac:dyDescent="0.3">
      <c r="A118" s="12">
        <v>31216</v>
      </c>
      <c r="B118" s="8" t="s">
        <v>2171</v>
      </c>
      <c r="C118" s="23">
        <v>-5.4782229018023347E-3</v>
      </c>
      <c r="D118" s="23">
        <v>-5.2483351148541095E-3</v>
      </c>
      <c r="E118" s="23">
        <v>-5.0610572210464501E-3</v>
      </c>
      <c r="F118" s="23">
        <v>-4.7769311114915433E-3</v>
      </c>
      <c r="G118" s="23">
        <v>-4.5496990978654622E-3</v>
      </c>
      <c r="H118" s="23">
        <v>-4.2662946989092563E-3</v>
      </c>
      <c r="I118" s="23">
        <v>-3.9907467325755869E-3</v>
      </c>
      <c r="J118" s="23">
        <v>-3.7148504812092036E-3</v>
      </c>
      <c r="K118" s="23">
        <v>-3.5108344122172399E-3</v>
      </c>
      <c r="L118" s="23">
        <v>-3.1132752708228528E-3</v>
      </c>
      <c r="M118" s="23">
        <v>-2.903142355378759E-3</v>
      </c>
      <c r="N118" s="23">
        <v>-2.7164199765902712E-3</v>
      </c>
      <c r="O118" s="23">
        <v>-2.4735673053871234E-3</v>
      </c>
    </row>
    <row r="119" spans="1:15" ht="14.85" customHeight="1" x14ac:dyDescent="0.3">
      <c r="A119" s="12">
        <v>31217</v>
      </c>
      <c r="B119" s="8" t="s">
        <v>2172</v>
      </c>
      <c r="C119" s="23" t="s">
        <v>1767</v>
      </c>
      <c r="D119" s="23">
        <v>-1.8047232345500016E-5</v>
      </c>
      <c r="E119" s="23">
        <v>-2.7510798221760198E-4</v>
      </c>
      <c r="F119" s="23">
        <v>-1.3551312551822183E-3</v>
      </c>
      <c r="G119" s="23">
        <v>-1.4533400711633769E-3</v>
      </c>
      <c r="H119" s="23">
        <v>-1.6853348204064042E-3</v>
      </c>
      <c r="I119" s="23">
        <v>-1.6870052456339681E-3</v>
      </c>
      <c r="J119" s="23">
        <v>-1.8565844065310433E-3</v>
      </c>
      <c r="K119" s="23">
        <v>-2.165407507805014E-3</v>
      </c>
      <c r="L119" s="23">
        <v>-2.0812292960999627E-3</v>
      </c>
      <c r="M119" s="23">
        <v>-2.2186955512950514E-3</v>
      </c>
      <c r="N119" s="23">
        <v>-2.7164199765902712E-3</v>
      </c>
      <c r="O119" s="23">
        <v>-3.1912859246556085E-3</v>
      </c>
    </row>
    <row r="120" spans="1:15" ht="14.85" customHeight="1" x14ac:dyDescent="0.3">
      <c r="A120" s="12">
        <v>31218</v>
      </c>
      <c r="B120" s="8" t="s">
        <v>2173</v>
      </c>
      <c r="C120" s="23">
        <v>-7.401443946580007E-4</v>
      </c>
      <c r="D120" s="23">
        <v>-7.372647875580052E-4</v>
      </c>
      <c r="E120" s="23">
        <v>-7.4114699610590006E-4</v>
      </c>
      <c r="F120" s="23">
        <v>-7.3022632322269953E-4</v>
      </c>
      <c r="G120" s="23">
        <v>-7.2400359502439854E-4</v>
      </c>
      <c r="H120" s="23">
        <v>-7.0160449411730056E-4</v>
      </c>
      <c r="I120" s="23">
        <v>-6.8159429517800226E-4</v>
      </c>
      <c r="J120" s="23">
        <v>-6.5657966553960001E-4</v>
      </c>
      <c r="K120" s="23">
        <v>-6.4918684042609986E-4</v>
      </c>
      <c r="L120" s="23">
        <v>-6.328453648953E-4</v>
      </c>
      <c r="M120" s="23">
        <v>-6.1269268729459956E-4</v>
      </c>
      <c r="N120" s="23"/>
      <c r="O120" s="23">
        <v>0</v>
      </c>
    </row>
    <row r="121" spans="1:15" ht="14.85" customHeight="1" x14ac:dyDescent="0.3">
      <c r="A121" s="12">
        <v>31219</v>
      </c>
      <c r="B121" s="8" t="s">
        <v>2174</v>
      </c>
      <c r="C121" s="23">
        <v>5.8692223945306975E-3</v>
      </c>
      <c r="D121" s="23">
        <v>5.6078224420434818E-3</v>
      </c>
      <c r="E121" s="23">
        <v>4.6905631876094783E-3</v>
      </c>
      <c r="F121" s="23">
        <v>4.5213788604316994E-3</v>
      </c>
      <c r="G121" s="23">
        <v>4.1666180310295916E-3</v>
      </c>
      <c r="H121" s="23">
        <v>3.4596099777414509E-3</v>
      </c>
      <c r="I121" s="23">
        <v>3.2608122602053174E-3</v>
      </c>
      <c r="J121" s="23">
        <v>3.1279807594327231E-3</v>
      </c>
      <c r="K121" s="23">
        <v>3.0382427462365153E-3</v>
      </c>
      <c r="L121" s="23">
        <v>1.8154455224031862E-3</v>
      </c>
      <c r="M121" s="23">
        <v>1.775167025806578E-3</v>
      </c>
      <c r="N121" s="23">
        <v>1.6984758973512331E-3</v>
      </c>
      <c r="O121" s="23">
        <v>1.5979622511798144E-3</v>
      </c>
    </row>
    <row r="122" spans="1:15" ht="14.85" customHeight="1" x14ac:dyDescent="0.3">
      <c r="A122" s="12">
        <v>31220</v>
      </c>
      <c r="B122" s="8" t="s">
        <v>2175</v>
      </c>
      <c r="C122" s="23">
        <v>5.416252367041801E-2</v>
      </c>
      <c r="D122" s="23">
        <v>5.2213706032103506E-2</v>
      </c>
      <c r="E122" s="23">
        <v>5.3057313124691606E-2</v>
      </c>
      <c r="F122" s="23">
        <v>5.2473694659903598E-2</v>
      </c>
      <c r="G122" s="23">
        <v>5.0639797775044598E-2</v>
      </c>
      <c r="H122" s="23">
        <v>4.8265808296203694E-2</v>
      </c>
      <c r="I122" s="23">
        <v>4.6541258373034806E-2</v>
      </c>
      <c r="J122" s="23">
        <v>4.5786586977588299E-2</v>
      </c>
      <c r="K122" s="23">
        <v>4.5566017572144811E-2</v>
      </c>
      <c r="L122" s="23">
        <v>4.407513029197211E-2</v>
      </c>
      <c r="M122" s="23">
        <v>4.3887799836578603E-2</v>
      </c>
      <c r="N122" s="23">
        <v>4.2870239553367995E-2</v>
      </c>
      <c r="O122" s="23">
        <v>4.0837184751998906E-2</v>
      </c>
    </row>
    <row r="123" spans="1:15" ht="14.85" customHeight="1" x14ac:dyDescent="0.3">
      <c r="A123" s="12">
        <v>31221</v>
      </c>
      <c r="B123" s="8" t="s">
        <v>2176</v>
      </c>
      <c r="C123" s="23">
        <v>-2.3250887458645757E-3</v>
      </c>
      <c r="D123" s="23">
        <v>-1.8047232345822058E-5</v>
      </c>
      <c r="E123" s="23">
        <v>-2.7517331088519414E-4</v>
      </c>
      <c r="F123" s="23">
        <v>-1.3551312551820733E-3</v>
      </c>
      <c r="G123" s="23">
        <v>-1.4533400711638843E-3</v>
      </c>
      <c r="H123" s="23">
        <v>-1.6853348204065003E-3</v>
      </c>
      <c r="I123" s="23">
        <v>-1.6870052456341243E-3</v>
      </c>
      <c r="J123" s="23">
        <v>-1.8565844065311723E-3</v>
      </c>
      <c r="K123" s="23">
        <v>-2.1654075078047803E-3</v>
      </c>
      <c r="L123" s="23">
        <v>-2.0812292961001444E-3</v>
      </c>
      <c r="M123" s="23">
        <v>-2.2186955512948077E-3</v>
      </c>
      <c r="N123" s="23">
        <v>-3.3394224007608805E-3</v>
      </c>
      <c r="O123" s="23">
        <v>-3.1912859246557164E-3</v>
      </c>
    </row>
    <row r="124" spans="1:15" ht="14.85" customHeight="1" x14ac:dyDescent="0.3">
      <c r="A124" s="12">
        <v>31222</v>
      </c>
      <c r="B124" s="8" t="s">
        <v>2177</v>
      </c>
      <c r="C124" s="23">
        <v>3.8621683393599965E-5</v>
      </c>
      <c r="D124" s="23">
        <v>3.0281040557499942E-5</v>
      </c>
      <c r="E124" s="23">
        <v>2.3492550695399981E-5</v>
      </c>
      <c r="F124" s="23">
        <v>2.6436757847100025E-5</v>
      </c>
      <c r="G124" s="23">
        <v>2.2390380289199973E-5</v>
      </c>
      <c r="H124" s="23">
        <v>5.1876290530300009E-5</v>
      </c>
      <c r="I124" s="23">
        <v>1.4467506049540004E-4</v>
      </c>
      <c r="J124" s="23">
        <v>1.3478085103419993E-4</v>
      </c>
      <c r="K124" s="23">
        <v>-1.1958640785919998E-4</v>
      </c>
      <c r="L124" s="23">
        <v>4.1416833513030022E-4</v>
      </c>
      <c r="M124" s="23">
        <v>3.904522239439E-4</v>
      </c>
      <c r="N124" s="23">
        <v>3.4221864818930012E-4</v>
      </c>
      <c r="O124" s="23">
        <v>2.7886388147809995E-4</v>
      </c>
    </row>
    <row r="125" spans="1:15" ht="14.85" customHeight="1" x14ac:dyDescent="0.3">
      <c r="A125" s="12">
        <v>31223</v>
      </c>
      <c r="B125" s="8" t="s">
        <v>2178</v>
      </c>
      <c r="C125" s="23">
        <f>'[2]Resumen VAR'!$D$100</f>
        <v>-0.57695117021539011</v>
      </c>
      <c r="D125" s="23">
        <v>-0.58743947025681931</v>
      </c>
      <c r="E125" s="23">
        <v>-0.60800683497203079</v>
      </c>
      <c r="F125" s="23">
        <v>-0.60754872610420396</v>
      </c>
      <c r="G125" s="23">
        <v>-0.61738505835315227</v>
      </c>
      <c r="H125" s="23">
        <v>-0.60579103752820085</v>
      </c>
      <c r="I125" s="23">
        <v>-0.60085090695057186</v>
      </c>
      <c r="J125" s="23">
        <v>-0.58302404974828292</v>
      </c>
      <c r="K125" s="23">
        <v>0.55820811548432359</v>
      </c>
      <c r="L125" s="23">
        <v>-0.59057659253979899</v>
      </c>
      <c r="M125" s="23">
        <v>-0.56542330213355407</v>
      </c>
      <c r="N125" s="23">
        <v>-0.55114365787487196</v>
      </c>
      <c r="O125" s="23">
        <v>-0.52658215508618711</v>
      </c>
    </row>
    <row r="126" spans="1:15" ht="14.85" customHeight="1" x14ac:dyDescent="0.3">
      <c r="A126" s="12">
        <v>31224</v>
      </c>
      <c r="B126" s="8" t="s">
        <v>2179</v>
      </c>
      <c r="C126" s="23">
        <v>5.6469978338185602E-3</v>
      </c>
      <c r="D126" s="23">
        <v>5.4103044685340921E-3</v>
      </c>
      <c r="E126" s="23">
        <v>5.2183946107407734E-3</v>
      </c>
      <c r="F126" s="23">
        <v>4.9248467355301855E-3</v>
      </c>
      <c r="G126" s="23">
        <v>4.6906827570560913E-3</v>
      </c>
      <c r="H126" s="23">
        <v>4.3967461026035186E-3</v>
      </c>
      <c r="I126" s="23">
        <v>4.1115059843451172E-3</v>
      </c>
      <c r="J126" s="23">
        <v>3.8255212479739093E-3</v>
      </c>
      <c r="K126" s="23">
        <v>-3.5108344122173085E-3</v>
      </c>
      <c r="L126" s="23">
        <v>3.2081846626806675E-3</v>
      </c>
      <c r="M126" s="23">
        <v>2.9907838101092508E-3</v>
      </c>
      <c r="N126" s="23">
        <v>2.7974885864480606E-3</v>
      </c>
      <c r="O126" s="23">
        <v>2.5463117635748786E-3</v>
      </c>
    </row>
    <row r="127" spans="1:15" ht="14.85" customHeight="1" x14ac:dyDescent="0.3">
      <c r="A127" s="12">
        <v>31225</v>
      </c>
      <c r="B127" s="8" t="s">
        <v>2180</v>
      </c>
      <c r="C127" s="23" t="s">
        <v>1767</v>
      </c>
      <c r="D127" s="23">
        <v>1.8654658896300024E-5</v>
      </c>
      <c r="E127" s="23">
        <v>2.8378724986879972E-4</v>
      </c>
      <c r="F127" s="23">
        <v>1.4049662253505029E-3</v>
      </c>
      <c r="G127" s="23">
        <v>1.5061568346288984E-3</v>
      </c>
      <c r="H127" s="23">
        <v>1.7483368071388148E-3</v>
      </c>
      <c r="I127" s="23">
        <v>1.7493983353912012E-3</v>
      </c>
      <c r="J127" s="23">
        <v>1.9245535333909881E-3</v>
      </c>
      <c r="K127" s="23">
        <v>-2.165407507805004E-3</v>
      </c>
      <c r="L127" s="23">
        <v>2.158625932715391E-3</v>
      </c>
      <c r="M127" s="23">
        <v>2.2981614744780957E-3</v>
      </c>
      <c r="N127" s="23">
        <v>3.4907664600381215E-3</v>
      </c>
      <c r="O127" s="23">
        <v>3.3342219940264055E-3</v>
      </c>
    </row>
    <row r="128" spans="1:15" ht="14.85" customHeight="1" x14ac:dyDescent="0.3">
      <c r="A128" s="12">
        <v>31226</v>
      </c>
      <c r="B128" s="8" t="s">
        <v>2181</v>
      </c>
      <c r="C128" s="23">
        <f>'[2]Resumen VAR'!$D$101</f>
        <v>7.7273108642730165E-4</v>
      </c>
      <c r="D128" s="23">
        <v>7.6996172018369891E-4</v>
      </c>
      <c r="E128" s="23">
        <v>7.7450091416979673E-4</v>
      </c>
      <c r="F128" s="23">
        <v>7.6306721949980134E-4</v>
      </c>
      <c r="G128" s="23">
        <v>7.5669146214819979E-4</v>
      </c>
      <c r="H128" s="23">
        <v>7.3286419394509865E-4</v>
      </c>
      <c r="I128" s="23">
        <v>7.116563894933928E-4</v>
      </c>
      <c r="J128" s="23">
        <v>6.8502690137139987E-4</v>
      </c>
      <c r="K128" s="23">
        <v>-6.4918684042609986E-4</v>
      </c>
      <c r="L128" s="23">
        <v>6.6010426101120647E-4</v>
      </c>
      <c r="M128" s="23">
        <v>6.3873190551560143E-4</v>
      </c>
      <c r="N128" s="23">
        <v>0</v>
      </c>
      <c r="O128" s="23">
        <v>5.8619854829850145E-4</v>
      </c>
    </row>
    <row r="129" spans="1:15" ht="14.85" customHeight="1" x14ac:dyDescent="0.3">
      <c r="A129" s="12">
        <v>31227</v>
      </c>
      <c r="B129" s="8" t="s">
        <v>2182</v>
      </c>
      <c r="C129" s="23">
        <v>-6.1862434394331844E-3</v>
      </c>
      <c r="D129" s="23">
        <v>-5.906388492751399E-3</v>
      </c>
      <c r="E129" s="23">
        <v>-4.9453247107182326E-3</v>
      </c>
      <c r="F129" s="23">
        <v>-4.7648932206060717E-3</v>
      </c>
      <c r="G129" s="23">
        <v>-4.3940032264864386E-3</v>
      </c>
      <c r="H129" s="23">
        <v>-3.6502525703915162E-3</v>
      </c>
      <c r="I129" s="23">
        <v>-3.4395396967160496E-3</v>
      </c>
      <c r="J129" s="23">
        <v>-3.2958228408593187E-3</v>
      </c>
      <c r="K129" s="23">
        <v>3.0382427462364685E-3</v>
      </c>
      <c r="L129" s="23">
        <v>-1.9142156916311338E-3</v>
      </c>
      <c r="M129" s="23">
        <v>-1.8704231702830983E-3</v>
      </c>
      <c r="N129" s="23">
        <v>-1.7887654864593575E-3</v>
      </c>
      <c r="O129" s="23">
        <v>-1.6811861843674927E-3</v>
      </c>
    </row>
    <row r="130" spans="1:15" ht="14.85" customHeight="1" x14ac:dyDescent="0.3">
      <c r="A130" s="12">
        <v>31228</v>
      </c>
      <c r="B130" s="8" t="s">
        <v>2183</v>
      </c>
      <c r="C130" s="23">
        <v>-5.86118229681881E-2</v>
      </c>
      <c r="D130" s="23">
        <v>-5.6462463478520609E-2</v>
      </c>
      <c r="E130" s="23">
        <v>-5.7429368706093414E-2</v>
      </c>
      <c r="F130" s="23">
        <v>-5.6785596833367598E-2</v>
      </c>
      <c r="G130" s="23">
        <v>-5.4832845828066204E-2</v>
      </c>
      <c r="H130" s="23">
        <v>-5.2169340491748512E-2</v>
      </c>
      <c r="I130" s="23">
        <v>-5.0308839426641397E-2</v>
      </c>
      <c r="J130" s="23">
        <v>-4.9415762645464892E-2</v>
      </c>
      <c r="K130" s="23">
        <v>4.5566017572144811E-2</v>
      </c>
      <c r="L130" s="23">
        <v>-4.7529730284909595E-2</v>
      </c>
      <c r="M130" s="23">
        <v>-4.7272385147391294E-2</v>
      </c>
      <c r="N130" s="23">
        <v>-4.6156432460512695E-2</v>
      </c>
      <c r="O130" s="23">
        <v>-4.3893043625301491E-2</v>
      </c>
    </row>
    <row r="131" spans="1:15" ht="14.85" customHeight="1" x14ac:dyDescent="0.3">
      <c r="A131" s="12">
        <v>31229</v>
      </c>
      <c r="B131" s="8" t="s">
        <v>2184</v>
      </c>
      <c r="C131" s="23">
        <v>3.7948807819657062E-4</v>
      </c>
      <c r="D131" s="23">
        <v>1.8654658896124657E-5</v>
      </c>
      <c r="E131" s="23">
        <v>2.8385194496429166E-4</v>
      </c>
      <c r="F131" s="23">
        <v>1.4049662253505207E-3</v>
      </c>
      <c r="G131" s="23">
        <v>1.5061568346286156E-3</v>
      </c>
      <c r="H131" s="23">
        <v>1.7483368071388541E-3</v>
      </c>
      <c r="I131" s="23">
        <v>1.7493983353909263E-3</v>
      </c>
      <c r="J131" s="23">
        <v>1.924553533390685E-3</v>
      </c>
      <c r="K131" s="23">
        <v>-2.1654075078047707E-3</v>
      </c>
      <c r="L131" s="23">
        <v>2.1586259327154196E-3</v>
      </c>
      <c r="M131" s="23">
        <v>2.2981614744778116E-3</v>
      </c>
      <c r="N131" s="23">
        <v>3.4907664600380972E-3</v>
      </c>
      <c r="O131" s="23">
        <v>3.3342219940263825E-3</v>
      </c>
    </row>
    <row r="132" spans="1:15" x14ac:dyDescent="0.3">
      <c r="A132" s="12">
        <v>31230</v>
      </c>
      <c r="B132" s="8" t="s">
        <v>2349</v>
      </c>
      <c r="G132" s="23">
        <v>262.3</v>
      </c>
      <c r="H132" s="23">
        <v>194.5</v>
      </c>
      <c r="I132" s="23"/>
      <c r="J132" s="23">
        <v>143.69595213999997</v>
      </c>
      <c r="K132" s="23">
        <v>100.83226467599999</v>
      </c>
      <c r="L132" s="23">
        <v>59.766818377499995</v>
      </c>
      <c r="M132" s="23">
        <v>0</v>
      </c>
      <c r="N132" s="23">
        <v>0</v>
      </c>
      <c r="O132" s="23">
        <v>0</v>
      </c>
    </row>
    <row r="133" spans="1:15" x14ac:dyDescent="0.3">
      <c r="A133" s="12">
        <v>31231</v>
      </c>
      <c r="B133" s="8" t="s">
        <v>2350</v>
      </c>
      <c r="G133" s="23">
        <v>2924.4</v>
      </c>
      <c r="H133" s="23">
        <v>2870.5</v>
      </c>
      <c r="I133" s="23"/>
      <c r="J133" s="23">
        <v>2787.2950930000002</v>
      </c>
      <c r="K133" s="23">
        <v>2750.1839770000001</v>
      </c>
      <c r="L133" s="23">
        <v>2714.0784319999998</v>
      </c>
      <c r="M133" s="23">
        <v>2649.620066</v>
      </c>
      <c r="N133" s="23">
        <v>2614.1141499999999</v>
      </c>
      <c r="O133" s="23">
        <v>2578.4932469999999</v>
      </c>
    </row>
    <row r="134" spans="1:15" x14ac:dyDescent="0.3">
      <c r="A134" s="12">
        <v>31232</v>
      </c>
      <c r="B134" s="8" t="s">
        <v>2351</v>
      </c>
      <c r="G134" s="23">
        <v>179.5</v>
      </c>
      <c r="H134" s="23">
        <v>173.4</v>
      </c>
      <c r="I134" s="23"/>
      <c r="J134" s="23">
        <v>162.07607471680001</v>
      </c>
      <c r="K134" s="23">
        <v>157.70132481460499</v>
      </c>
      <c r="L134" s="23">
        <v>152.21806759081798</v>
      </c>
      <c r="M134" s="23">
        <v>151.83021724275602</v>
      </c>
      <c r="N134" s="23">
        <v>146.95707043120001</v>
      </c>
      <c r="O134" s="23">
        <v>143.64016371199997</v>
      </c>
    </row>
  </sheetData>
  <autoFilter ref="A1:H131" xr:uid="{00000000-0009-0000-0000-000016000000}"/>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5"/>
  <sheetViews>
    <sheetView workbookViewId="0">
      <pane xSplit="2" ySplit="2" topLeftCell="M3" activePane="bottomRight" state="frozen"/>
      <selection activeCell="I35" sqref="I35"/>
      <selection pane="topRight" activeCell="I35" sqref="I35"/>
      <selection pane="bottomLeft" activeCell="I35" sqref="I35"/>
      <selection pane="bottomRight" activeCell="P31" sqref="P31"/>
    </sheetView>
  </sheetViews>
  <sheetFormatPr baseColWidth="10" defaultColWidth="9.44140625" defaultRowHeight="14.4" x14ac:dyDescent="0.3"/>
  <cols>
    <col min="1" max="1" width="11" style="11" bestFit="1" customWidth="1"/>
    <col min="2" max="2" width="35.44140625" style="11" customWidth="1"/>
    <col min="3" max="16" width="13.5546875" style="12" customWidth="1"/>
  </cols>
  <sheetData>
    <row r="1" spans="1:16" x14ac:dyDescent="0.3">
      <c r="C1" s="12" t="s">
        <v>2013</v>
      </c>
      <c r="D1" s="12" t="s">
        <v>92</v>
      </c>
      <c r="E1" s="12" t="s">
        <v>92</v>
      </c>
      <c r="F1" s="12" t="s">
        <v>92</v>
      </c>
      <c r="G1" s="12" t="s">
        <v>92</v>
      </c>
      <c r="H1" s="12" t="s">
        <v>92</v>
      </c>
      <c r="I1" s="12" t="s">
        <v>92</v>
      </c>
      <c r="J1" s="12" t="s">
        <v>92</v>
      </c>
      <c r="K1" s="12" t="s">
        <v>92</v>
      </c>
      <c r="L1" s="12" t="s">
        <v>92</v>
      </c>
      <c r="M1" s="12" t="s">
        <v>92</v>
      </c>
      <c r="N1" s="12" t="s">
        <v>92</v>
      </c>
      <c r="O1" s="12" t="s">
        <v>92</v>
      </c>
      <c r="P1" s="12" t="s">
        <v>91</v>
      </c>
    </row>
    <row r="2" spans="1:16" x14ac:dyDescent="0.3">
      <c r="A2" s="13" t="s">
        <v>206</v>
      </c>
      <c r="B2" s="13" t="s">
        <v>205</v>
      </c>
      <c r="C2" s="14">
        <v>45261</v>
      </c>
      <c r="D2" s="14">
        <v>45627</v>
      </c>
      <c r="E2" s="14">
        <v>45658</v>
      </c>
      <c r="F2" s="14">
        <v>45689</v>
      </c>
      <c r="G2" s="14">
        <v>45717</v>
      </c>
      <c r="H2" s="14">
        <v>45748</v>
      </c>
      <c r="I2" s="14">
        <v>45778</v>
      </c>
      <c r="J2" s="14">
        <v>45809</v>
      </c>
      <c r="K2" s="14">
        <v>45839</v>
      </c>
      <c r="L2" s="14">
        <v>45870</v>
      </c>
      <c r="M2" s="14">
        <v>45901</v>
      </c>
      <c r="N2" s="14">
        <v>45931</v>
      </c>
      <c r="O2" s="14">
        <v>45962</v>
      </c>
      <c r="P2" s="14">
        <v>45992</v>
      </c>
    </row>
    <row r="3" spans="1:16" x14ac:dyDescent="0.3">
      <c r="A3" s="11" t="s">
        <v>2012</v>
      </c>
      <c r="B3" s="8" t="s">
        <v>2011</v>
      </c>
      <c r="C3" s="23">
        <f>2261602938.76/1000000</f>
        <v>2261.6029387600001</v>
      </c>
      <c r="D3" s="23">
        <f>2261602938.76/1000000</f>
        <v>2261.6029387600001</v>
      </c>
      <c r="E3" s="23">
        <v>2216.1619547700002</v>
      </c>
      <c r="F3" s="23">
        <v>2171.3138631574898</v>
      </c>
      <c r="G3" s="23">
        <v>2090.2642057831281</v>
      </c>
      <c r="H3" s="23">
        <v>1950.5882999999999</v>
      </c>
      <c r="I3" s="23">
        <v>1914.4666</v>
      </c>
      <c r="J3" s="23">
        <v>1862.9788000000001</v>
      </c>
      <c r="K3" s="23">
        <v>1838.4612999999999</v>
      </c>
      <c r="L3" s="23">
        <v>1810.759198</v>
      </c>
      <c r="M3" s="23">
        <v>1747.713812367962</v>
      </c>
      <c r="N3" s="23">
        <v>1765.94708113206</v>
      </c>
      <c r="O3" s="23">
        <v>1771.5698614997841</v>
      </c>
      <c r="P3" s="23">
        <v>1728.0604818935999</v>
      </c>
    </row>
    <row r="4" spans="1:16" x14ac:dyDescent="0.3">
      <c r="A4" s="11" t="s">
        <v>2010</v>
      </c>
      <c r="B4" s="8" t="s">
        <v>2009</v>
      </c>
      <c r="C4" s="23">
        <f>1983428641.51/1000000</f>
        <v>1983.42864151</v>
      </c>
      <c r="D4" s="23">
        <f>1983428641.51/1000000</f>
        <v>1983.42864151</v>
      </c>
      <c r="E4" s="23">
        <v>1965.9042505800001</v>
      </c>
      <c r="F4" s="23">
        <v>1948.30197707</v>
      </c>
      <c r="G4" s="23">
        <v>1930.6214192100001</v>
      </c>
      <c r="H4" s="23">
        <v>1912.7245</v>
      </c>
      <c r="I4" s="23">
        <v>1892.6005</v>
      </c>
      <c r="J4" s="23">
        <v>1874.8234</v>
      </c>
      <c r="K4" s="23">
        <v>1857.0663999999999</v>
      </c>
      <c r="L4" s="23">
        <v>1839.329013</v>
      </c>
      <c r="M4" s="23">
        <v>1822.42860092</v>
      </c>
      <c r="N4" s="23">
        <v>1820.38444435</v>
      </c>
      <c r="O4" s="23">
        <v>1804.69245151</v>
      </c>
      <c r="P4" s="23">
        <v>1788.7147777600001</v>
      </c>
    </row>
    <row r="5" spans="1:16" x14ac:dyDescent="0.3">
      <c r="A5" s="11" t="s">
        <v>2008</v>
      </c>
      <c r="B5" s="8" t="s">
        <v>2007</v>
      </c>
      <c r="C5" s="23">
        <f>2303424409.03/1000000</f>
        <v>2303.4244090300003</v>
      </c>
      <c r="D5" s="23">
        <f>2303424409.03/1000000</f>
        <v>2303.4244090300003</v>
      </c>
      <c r="E5" s="23">
        <v>2278.7626807400002</v>
      </c>
      <c r="F5" s="23">
        <v>2227.4218559866799</v>
      </c>
      <c r="G5" s="23">
        <v>2183.2433694855431</v>
      </c>
      <c r="H5" s="23">
        <v>2169.6948000000002</v>
      </c>
      <c r="I5" s="23">
        <v>2168.5300999999999</v>
      </c>
      <c r="J5" s="23">
        <v>2094.9103</v>
      </c>
      <c r="K5" s="23">
        <v>2004.8444</v>
      </c>
      <c r="L5" s="23">
        <v>1970.237946</v>
      </c>
      <c r="M5" s="23">
        <v>1789.6454597488889</v>
      </c>
      <c r="N5" s="23">
        <v>1651.4958568577781</v>
      </c>
      <c r="O5" s="23">
        <v>1658.557780707778</v>
      </c>
      <c r="P5" s="23">
        <v>1431.04195299553</v>
      </c>
    </row>
    <row r="6" spans="1:16" x14ac:dyDescent="0.3">
      <c r="A6" s="11" t="s">
        <v>2006</v>
      </c>
      <c r="B6" s="8" t="s">
        <v>2005</v>
      </c>
      <c r="C6" s="23">
        <f>1691032359.68/1000000</f>
        <v>1691.0323596800001</v>
      </c>
      <c r="D6" s="23">
        <f>1691032359.68/1000000</f>
        <v>1691.0323596800001</v>
      </c>
      <c r="E6" s="23">
        <v>1627.7124130899999</v>
      </c>
      <c r="F6" s="23">
        <v>1541.8878888448</v>
      </c>
      <c r="G6" s="23">
        <v>1539.7002224995999</v>
      </c>
      <c r="H6" s="23">
        <v>1502.0491</v>
      </c>
      <c r="I6" s="23">
        <v>1506.6405999999999</v>
      </c>
      <c r="J6" s="23">
        <v>1493.4909</v>
      </c>
      <c r="K6" s="23">
        <v>1631.3758</v>
      </c>
      <c r="L6" s="23">
        <v>1636.5650000000001</v>
      </c>
      <c r="M6" s="23">
        <v>1217.1593527847999</v>
      </c>
      <c r="N6" s="23">
        <v>1212.9948534624</v>
      </c>
      <c r="O6" s="23">
        <v>1579.7065707111999</v>
      </c>
      <c r="P6" s="23">
        <v>1558.9397891020001</v>
      </c>
    </row>
    <row r="7" spans="1:16" x14ac:dyDescent="0.3">
      <c r="A7" s="11" t="s">
        <v>2004</v>
      </c>
      <c r="B7" s="8" t="s">
        <v>2003</v>
      </c>
      <c r="C7" s="23">
        <f>1627026794.64/1000000</f>
        <v>1627.0267946400002</v>
      </c>
      <c r="D7" s="23">
        <f>1627026794.64/1000000</f>
        <v>1627.0267946400002</v>
      </c>
      <c r="E7" s="23">
        <v>1593.75321338</v>
      </c>
      <c r="F7" s="23">
        <v>1566.14406609</v>
      </c>
      <c r="G7" s="23">
        <v>1818.9728142199999</v>
      </c>
      <c r="H7" s="23">
        <v>1719.2358999999999</v>
      </c>
      <c r="I7" s="23">
        <v>1791.7244000000001</v>
      </c>
      <c r="J7" s="23">
        <v>1734.1225999999999</v>
      </c>
      <c r="K7" s="23">
        <v>1765.7931000000001</v>
      </c>
      <c r="L7" s="23">
        <v>1786.3328080000001</v>
      </c>
      <c r="M7" s="23">
        <v>1810.4407039299999</v>
      </c>
      <c r="N7" s="23">
        <v>1835.26299535</v>
      </c>
      <c r="O7" s="23">
        <v>1858.2224879400001</v>
      </c>
      <c r="P7" s="23">
        <v>1816.6992297899999</v>
      </c>
    </row>
    <row r="8" spans="1:16" x14ac:dyDescent="0.3">
      <c r="A8" s="11" t="s">
        <v>2002</v>
      </c>
      <c r="B8" s="8" t="s">
        <v>2001</v>
      </c>
      <c r="C8" s="23">
        <f>1406426549.41/1000000</f>
        <v>1406.42654941</v>
      </c>
      <c r="D8" s="23">
        <f>1406426549.41/1000000</f>
        <v>1406.42654941</v>
      </c>
      <c r="E8" s="23">
        <v>1397.3229059600001</v>
      </c>
      <c r="F8" s="23">
        <v>1406.65524897</v>
      </c>
      <c r="G8" s="23">
        <v>1419.83929008</v>
      </c>
      <c r="H8" s="23">
        <v>1429.3676</v>
      </c>
      <c r="I8" s="23">
        <v>1423.8251</v>
      </c>
      <c r="J8" s="23">
        <v>1432.9630999999999</v>
      </c>
      <c r="K8" s="23">
        <v>1421.5993000000001</v>
      </c>
      <c r="L8" s="23">
        <v>1416.0568069999999</v>
      </c>
      <c r="M8" s="23">
        <v>1333.2098947899999</v>
      </c>
      <c r="N8" s="23">
        <v>1311.7052146799999</v>
      </c>
      <c r="O8" s="23">
        <v>1302.6239992999999</v>
      </c>
      <c r="P8" s="23">
        <v>1277.8021049900001</v>
      </c>
    </row>
    <row r="9" spans="1:16" x14ac:dyDescent="0.3">
      <c r="A9" s="11" t="s">
        <v>2000</v>
      </c>
      <c r="B9" s="8" t="s">
        <v>1999</v>
      </c>
      <c r="C9" s="23">
        <f>835165839.17/1000000</f>
        <v>835.16583916999991</v>
      </c>
      <c r="D9" s="23">
        <f>835165839.17/1000000</f>
        <v>835.16583916999991</v>
      </c>
      <c r="E9" s="23">
        <v>805.32560317000002</v>
      </c>
      <c r="F9" s="23">
        <v>671.53575680480003</v>
      </c>
      <c r="G9" s="23">
        <v>661.72037737559992</v>
      </c>
      <c r="H9" s="23">
        <v>632.55309999999997</v>
      </c>
      <c r="I9" s="23">
        <v>626.20609999999999</v>
      </c>
      <c r="J9" s="23">
        <v>613.94219999999996</v>
      </c>
      <c r="K9" s="23">
        <v>590.12459999999999</v>
      </c>
      <c r="L9" s="23">
        <v>577.6135941</v>
      </c>
      <c r="M9" s="23">
        <v>566.1280127</v>
      </c>
      <c r="N9" s="23">
        <v>504.11291040999998</v>
      </c>
      <c r="O9" s="23">
        <v>497.87435514999999</v>
      </c>
      <c r="P9" s="23">
        <v>486.31272919999998</v>
      </c>
    </row>
    <row r="10" spans="1:16" x14ac:dyDescent="0.3">
      <c r="A10" s="11" t="s">
        <v>1998</v>
      </c>
      <c r="B10" s="8" t="s">
        <v>1997</v>
      </c>
      <c r="C10" s="23">
        <f>312056664.69/1000000</f>
        <v>312.05666468999999</v>
      </c>
      <c r="D10" s="23">
        <f>312056664.69/1000000</f>
        <v>312.05666468999999</v>
      </c>
      <c r="E10" s="23">
        <v>435.89685157999998</v>
      </c>
      <c r="F10" s="23">
        <v>289.52949951601204</v>
      </c>
      <c r="G10" s="23">
        <v>495.55010021520002</v>
      </c>
      <c r="H10" s="23">
        <v>623.08950000000004</v>
      </c>
      <c r="I10" s="23">
        <v>515.69449999999995</v>
      </c>
      <c r="J10" s="23">
        <v>373.98399999999998</v>
      </c>
      <c r="K10" s="23">
        <v>388.18560000000002</v>
      </c>
      <c r="L10" s="23">
        <v>307.28807160000002</v>
      </c>
      <c r="M10" s="23">
        <v>1149.188053769388</v>
      </c>
      <c r="N10" s="23">
        <v>925.21785468681594</v>
      </c>
      <c r="O10" s="23">
        <v>804.90524739642296</v>
      </c>
      <c r="P10" s="23">
        <v>871.69967378112005</v>
      </c>
    </row>
    <row r="11" spans="1:16" x14ac:dyDescent="0.3">
      <c r="A11" s="11" t="s">
        <v>1996</v>
      </c>
      <c r="B11" s="8" t="s">
        <v>1995</v>
      </c>
      <c r="C11" s="23">
        <f>494009893.25/1000000</f>
        <v>494.00989325</v>
      </c>
      <c r="D11" s="23">
        <f>494009893.25/1000000</f>
        <v>494.00989325</v>
      </c>
      <c r="E11" s="23">
        <v>498.06443696000002</v>
      </c>
      <c r="F11" s="23">
        <v>670.62324603000002</v>
      </c>
      <c r="G11" s="23">
        <v>790.86600767000004</v>
      </c>
      <c r="H11" s="23">
        <v>861.49950000000001</v>
      </c>
      <c r="I11" s="23">
        <v>879.00049999999999</v>
      </c>
      <c r="J11" s="23">
        <v>880.43200000000002</v>
      </c>
      <c r="K11" s="23">
        <v>924.78769999999997</v>
      </c>
      <c r="L11" s="23">
        <v>899.14024800000004</v>
      </c>
      <c r="M11" s="23">
        <v>873.48958494999988</v>
      </c>
      <c r="N11" s="23">
        <v>890.83566509000002</v>
      </c>
      <c r="O11" s="23">
        <v>901.76178192999998</v>
      </c>
      <c r="P11" s="23">
        <v>972.47622832000002</v>
      </c>
    </row>
    <row r="12" spans="1:16" x14ac:dyDescent="0.3">
      <c r="A12" s="11" t="s">
        <v>1994</v>
      </c>
      <c r="B12" s="8" t="s">
        <v>1993</v>
      </c>
      <c r="C12" s="23">
        <f>45707596.06/1000000</f>
        <v>45.70759606</v>
      </c>
      <c r="D12" s="23">
        <f>45707596.06/1000000</f>
        <v>45.70759606</v>
      </c>
      <c r="E12" s="23">
        <v>26.151956590000001</v>
      </c>
      <c r="F12" s="23">
        <v>346.59314612363397</v>
      </c>
      <c r="G12" s="23">
        <v>395.87351680758798</v>
      </c>
      <c r="H12" s="23">
        <v>469.97710000000001</v>
      </c>
      <c r="I12" s="23">
        <v>448.67739999999998</v>
      </c>
      <c r="J12" s="23">
        <v>293.0333</v>
      </c>
      <c r="K12" s="23">
        <v>272.2817</v>
      </c>
      <c r="L12" s="23">
        <v>290.9511655</v>
      </c>
      <c r="M12" s="23">
        <v>305.300794695717</v>
      </c>
      <c r="N12" s="23">
        <v>352.11567177025199</v>
      </c>
      <c r="O12" s="23">
        <v>353.07828534902302</v>
      </c>
      <c r="P12" s="23">
        <v>464.51091420071998</v>
      </c>
    </row>
    <row r="13" spans="1:16" x14ac:dyDescent="0.3">
      <c r="A13" s="11" t="s">
        <v>1992</v>
      </c>
      <c r="B13" s="8" t="s">
        <v>1991</v>
      </c>
      <c r="C13" s="23">
        <v>0</v>
      </c>
      <c r="D13" s="23">
        <v>0</v>
      </c>
      <c r="E13" s="23">
        <v>0</v>
      </c>
      <c r="F13" s="23">
        <v>0</v>
      </c>
      <c r="G13" s="23">
        <v>0</v>
      </c>
      <c r="H13" s="23">
        <v>0</v>
      </c>
      <c r="I13" s="23">
        <v>0</v>
      </c>
      <c r="J13" s="23">
        <v>0</v>
      </c>
      <c r="K13" s="23">
        <v>0</v>
      </c>
      <c r="L13" s="23">
        <v>0</v>
      </c>
      <c r="M13" s="23">
        <v>0</v>
      </c>
      <c r="N13" s="23">
        <v>0</v>
      </c>
      <c r="O13" s="23">
        <v>0</v>
      </c>
      <c r="P13" s="23">
        <v>0</v>
      </c>
    </row>
    <row r="14" spans="1:16" x14ac:dyDescent="0.3">
      <c r="A14" s="11" t="s">
        <v>1990</v>
      </c>
      <c r="B14" s="8" t="s">
        <v>1989</v>
      </c>
      <c r="C14" s="23">
        <f>-81678783.33/1000000</f>
        <v>-81.678783330000002</v>
      </c>
      <c r="D14" s="23">
        <f>-81678783.33/1000000</f>
        <v>-81.678783330000002</v>
      </c>
      <c r="E14" s="23">
        <v>-65.728612420000005</v>
      </c>
      <c r="F14" s="23">
        <f>-41634001.925694/1000000</f>
        <v>-41.634001925694001</v>
      </c>
      <c r="G14" s="23">
        <v>-33.375231963410002</v>
      </c>
      <c r="H14" s="23">
        <v>-14.2957</v>
      </c>
      <c r="I14" s="23">
        <v>-20.022500000000001</v>
      </c>
      <c r="J14" s="23">
        <v>-15.2316</v>
      </c>
      <c r="K14" s="23">
        <v>-19.5566</v>
      </c>
      <c r="L14" s="23">
        <v>-6.2511570540000001</v>
      </c>
      <c r="M14" s="23">
        <v>-1.541527714699807</v>
      </c>
      <c r="N14" s="23">
        <v>-0.52837788923566209</v>
      </c>
      <c r="O14" s="23">
        <v>-1.0109814512772031</v>
      </c>
      <c r="P14" s="23">
        <v>-8.6596904169339997</v>
      </c>
    </row>
    <row r="15" spans="1:16" x14ac:dyDescent="0.3">
      <c r="A15" s="11" t="s">
        <v>1988</v>
      </c>
      <c r="B15" s="8" t="s">
        <v>1987</v>
      </c>
      <c r="C15" s="23">
        <f>-111383257.52/1000000</f>
        <v>-111.38325752</v>
      </c>
      <c r="D15" s="23">
        <f>-111383257.52/1000000</f>
        <v>-111.38325752</v>
      </c>
      <c r="E15" s="23">
        <v>-85.042734769999996</v>
      </c>
      <c r="F15" s="23">
        <f>-45306935.3152294/1000000</f>
        <v>-45.306935315229403</v>
      </c>
      <c r="G15" s="23">
        <v>-31.101524954597089</v>
      </c>
      <c r="H15" s="23">
        <v>-8.5249000000000006</v>
      </c>
      <c r="I15" s="23">
        <v>-10.7448</v>
      </c>
      <c r="J15" s="23">
        <v>-4.9564000000000004</v>
      </c>
      <c r="K15" s="23">
        <v>-13.0944</v>
      </c>
      <c r="L15" s="23">
        <v>11.200427850000001</v>
      </c>
      <c r="M15" s="23">
        <v>22.303955964472571</v>
      </c>
      <c r="N15" s="23">
        <v>23.897824602769131</v>
      </c>
      <c r="O15" s="23">
        <v>20.12276701463416</v>
      </c>
      <c r="P15" s="23">
        <v>-1.19994571448624</v>
      </c>
    </row>
    <row r="16" spans="1:16" x14ac:dyDescent="0.3">
      <c r="A16" s="11" t="s">
        <v>1986</v>
      </c>
      <c r="B16" s="8" t="s">
        <v>1985</v>
      </c>
      <c r="C16" s="23">
        <f>-10657495.39/1000000</f>
        <v>-10.657495390000001</v>
      </c>
      <c r="D16" s="23">
        <f>-10657495.39/1000000</f>
        <v>-10.657495390000001</v>
      </c>
      <c r="E16" s="23">
        <v>7.8089812700000003</v>
      </c>
      <c r="F16" s="23">
        <f>28732686.954641/1000000</f>
        <v>28.732686954641</v>
      </c>
      <c r="G16" s="23">
        <v>37.734845897763179</v>
      </c>
      <c r="H16" s="23">
        <v>51.839399999999998</v>
      </c>
      <c r="I16" s="23">
        <v>48.785600000000002</v>
      </c>
      <c r="J16" s="23">
        <v>47.860799999999998</v>
      </c>
      <c r="K16" s="23">
        <v>43.588000000000001</v>
      </c>
      <c r="L16" s="23">
        <v>55.3526679</v>
      </c>
      <c r="M16" s="23">
        <v>58.81862493282545</v>
      </c>
      <c r="N16" s="23">
        <v>57.801244771188493</v>
      </c>
      <c r="O16" s="23">
        <v>55.846363602156778</v>
      </c>
      <c r="P16" s="23">
        <v>44.337334837657998</v>
      </c>
    </row>
    <row r="17" spans="1:16" x14ac:dyDescent="0.3">
      <c r="A17" s="11" t="s">
        <v>1984</v>
      </c>
      <c r="B17" s="8" t="s">
        <v>1983</v>
      </c>
      <c r="C17" s="23">
        <f>-27498591.45/1000000</f>
        <v>-27.498591449999999</v>
      </c>
      <c r="D17" s="23">
        <f>-27498591.45/1000000</f>
        <v>-27.498591449999999</v>
      </c>
      <c r="E17" s="23">
        <v>-9.2937777399999995</v>
      </c>
      <c r="F17" s="23">
        <f>15754869.4661434/1000000</f>
        <v>15.754869466143399</v>
      </c>
      <c r="G17" s="23">
        <v>28.142416860041809</v>
      </c>
      <c r="H17" s="23">
        <v>41.769399999999997</v>
      </c>
      <c r="I17" s="23">
        <v>35.133899999999997</v>
      </c>
      <c r="J17" s="23">
        <v>31.4481</v>
      </c>
      <c r="K17" s="23">
        <v>27.65</v>
      </c>
      <c r="L17" s="23">
        <v>42.282018030000003</v>
      </c>
      <c r="M17" s="23">
        <v>45.841531840592303</v>
      </c>
      <c r="N17" s="23">
        <v>47.387048479122633</v>
      </c>
      <c r="O17" s="23">
        <v>44.993553681792392</v>
      </c>
      <c r="P17" s="23">
        <v>25.423495698559101</v>
      </c>
    </row>
    <row r="18" spans="1:16" x14ac:dyDescent="0.3">
      <c r="A18" s="11" t="s">
        <v>1982</v>
      </c>
      <c r="B18" s="8" t="s">
        <v>1981</v>
      </c>
      <c r="C18" s="23">
        <f>-4135776.3/1000000</f>
        <v>-4.1357762999999998</v>
      </c>
      <c r="D18" s="23">
        <f>-4135776.3/1000000</f>
        <v>-4.1357762999999998</v>
      </c>
      <c r="E18" s="23">
        <v>4.5135216199999997</v>
      </c>
      <c r="F18" s="23">
        <f>14007186.0660535/1000000</f>
        <v>14.007186066053501</v>
      </c>
      <c r="G18" s="23">
        <v>18.968017633441828</v>
      </c>
      <c r="H18" s="23">
        <v>27.988499999999998</v>
      </c>
      <c r="I18" s="23">
        <v>27.114100000000001</v>
      </c>
      <c r="J18" s="23">
        <v>27.083400000000001</v>
      </c>
      <c r="K18" s="23">
        <v>23.829799999999999</v>
      </c>
      <c r="L18" s="23">
        <v>33.402774360000002</v>
      </c>
      <c r="M18" s="23">
        <v>36.546293598876012</v>
      </c>
      <c r="N18" s="23">
        <v>35.689675383863587</v>
      </c>
      <c r="O18" s="23">
        <v>33.990418279709317</v>
      </c>
      <c r="P18" s="23">
        <v>25.890365655660101</v>
      </c>
    </row>
    <row r="19" spans="1:16" x14ac:dyDescent="0.3">
      <c r="A19" s="11" t="s">
        <v>1980</v>
      </c>
      <c r="B19" s="8" t="s">
        <v>1979</v>
      </c>
      <c r="C19" s="23">
        <f>-22292891.58/1000000</f>
        <v>-22.292891579999999</v>
      </c>
      <c r="D19" s="23">
        <f>-22292891.58/1000000</f>
        <v>-22.292891579999999</v>
      </c>
      <c r="E19" s="23">
        <v>-8.5027395600000002</v>
      </c>
      <c r="F19" s="23">
        <f>7458816.20406607/1000000</f>
        <v>7.4588162040660695</v>
      </c>
      <c r="G19" s="23">
        <v>14.89382568758708</v>
      </c>
      <c r="H19" s="23">
        <v>25.9482</v>
      </c>
      <c r="I19" s="23">
        <v>24.4236</v>
      </c>
      <c r="J19" s="23">
        <v>24.0733</v>
      </c>
      <c r="K19" s="23">
        <v>21.8123</v>
      </c>
      <c r="L19" s="23">
        <v>30.207870530000001</v>
      </c>
      <c r="M19" s="23">
        <v>33.403127064748581</v>
      </c>
      <c r="N19" s="23">
        <v>33.216391945323977</v>
      </c>
      <c r="O19" s="23">
        <v>32.528209647083372</v>
      </c>
      <c r="P19" s="23">
        <v>27.211545498067402</v>
      </c>
    </row>
    <row r="20" spans="1:16" x14ac:dyDescent="0.3">
      <c r="A20" s="11" t="s">
        <v>1978</v>
      </c>
      <c r="B20" s="8" t="s">
        <v>1977</v>
      </c>
      <c r="C20" s="23">
        <f>-2369737.52/1000000</f>
        <v>-2.3697375200000002</v>
      </c>
      <c r="D20" s="23">
        <f>-2369737.52/1000000</f>
        <v>-2.3697375200000002</v>
      </c>
      <c r="E20" s="23">
        <v>1.2971978399999999</v>
      </c>
      <c r="F20" s="23">
        <f>4176451.05330072/1000000</f>
        <v>4.1764510533007204</v>
      </c>
      <c r="G20" s="23">
        <v>5.4470013182773291</v>
      </c>
      <c r="H20" s="23">
        <v>7.1135999999999999</v>
      </c>
      <c r="I20" s="23">
        <v>6.9006999999999996</v>
      </c>
      <c r="J20" s="23">
        <v>6.1130000000000004</v>
      </c>
      <c r="K20" s="23">
        <v>5.6124000000000001</v>
      </c>
      <c r="L20" s="23">
        <v>6.4468324209999999</v>
      </c>
      <c r="M20" s="23">
        <v>5.5024085446600104</v>
      </c>
      <c r="N20" s="23">
        <v>4.8105887075090106</v>
      </c>
      <c r="O20" s="23">
        <v>4.8010619392286902</v>
      </c>
      <c r="P20" s="23">
        <v>3.1989586204910001</v>
      </c>
    </row>
    <row r="21" spans="1:16" x14ac:dyDescent="0.3">
      <c r="A21" s="11" t="s">
        <v>1976</v>
      </c>
      <c r="B21" s="8" t="s">
        <v>1975</v>
      </c>
      <c r="C21" s="23">
        <f>-31470360.97/1000000</f>
        <v>-31.470360969999998</v>
      </c>
      <c r="D21" s="23">
        <f>-31470360.97/1000000</f>
        <v>-31.470360969999998</v>
      </c>
      <c r="E21" s="23">
        <v>-29.05543449</v>
      </c>
      <c r="F21" s="23">
        <f>-20251863.831976/1000000</f>
        <v>-20.251863831975999</v>
      </c>
      <c r="G21" s="23">
        <v>-15.15808617229137</v>
      </c>
      <c r="H21" s="23">
        <v>6.8737000000000004</v>
      </c>
      <c r="I21" s="23">
        <v>15.278700000000001</v>
      </c>
      <c r="J21" s="23">
        <v>26.462399999999999</v>
      </c>
      <c r="K21" s="23">
        <v>23.5715</v>
      </c>
      <c r="L21" s="23">
        <v>23.226374310000001</v>
      </c>
      <c r="M21" s="23">
        <v>28.52765331041347</v>
      </c>
      <c r="N21" s="23">
        <v>12.544593818200211</v>
      </c>
      <c r="O21" s="23">
        <v>22.126326971902579</v>
      </c>
      <c r="P21" s="23">
        <v>36.2677538587021</v>
      </c>
    </row>
    <row r="22" spans="1:16" x14ac:dyDescent="0.3">
      <c r="A22" s="11" t="s">
        <v>1974</v>
      </c>
      <c r="B22" s="8" t="s">
        <v>1973</v>
      </c>
      <c r="C22" s="23">
        <f>-148760.91/1000000</f>
        <v>-0.14876091</v>
      </c>
      <c r="D22" s="23">
        <f>-148760.91/1000000</f>
        <v>-0.14876091</v>
      </c>
      <c r="E22" s="23">
        <v>2.5593871300000002</v>
      </c>
      <c r="F22" s="23">
        <f>6237101.074652/1000000</f>
        <v>6.2371010746520001</v>
      </c>
      <c r="G22" s="23">
        <v>8.661337977753</v>
      </c>
      <c r="H22" s="23">
        <v>12.3506</v>
      </c>
      <c r="I22" s="23">
        <v>11.6051</v>
      </c>
      <c r="J22" s="23">
        <v>11.094200000000001</v>
      </c>
      <c r="K22" s="23">
        <v>9.7989999999999995</v>
      </c>
      <c r="L22" s="23">
        <v>13.422180940000001</v>
      </c>
      <c r="M22" s="23">
        <v>14.00746124112775</v>
      </c>
      <c r="N22" s="23">
        <v>13.42082292096055</v>
      </c>
      <c r="O22" s="23">
        <v>12.96925255809173</v>
      </c>
      <c r="P22" s="23">
        <v>8.9195303668420003</v>
      </c>
    </row>
    <row r="23" spans="1:16" x14ac:dyDescent="0.3">
      <c r="A23" s="11" t="s">
        <v>1972</v>
      </c>
      <c r="B23" s="8" t="s">
        <v>1971</v>
      </c>
      <c r="C23" s="23">
        <f>-2881375.73/1000000</f>
        <v>-2.8813757299999998</v>
      </c>
      <c r="D23" s="23">
        <f>-2881375.73/1000000</f>
        <v>-2.8813757299999998</v>
      </c>
      <c r="E23" s="23">
        <v>-4.1879427900000001</v>
      </c>
      <c r="F23" s="23">
        <f>-4367096.350872/1000000</f>
        <v>-4.367096350872</v>
      </c>
      <c r="G23" s="23">
        <v>-6.1273923427489994</v>
      </c>
      <c r="H23" s="23">
        <v>3.4135</v>
      </c>
      <c r="I23" s="23">
        <v>-1.3617999999999999</v>
      </c>
      <c r="J23" s="23">
        <v>-6.2199999999999998E-2</v>
      </c>
      <c r="K23" s="23">
        <v>-6.8339999999999996</v>
      </c>
      <c r="L23" s="23">
        <v>-2.9075603289999998</v>
      </c>
      <c r="M23" s="23">
        <v>-5.2367650255757576</v>
      </c>
      <c r="N23" s="23">
        <v>1.721613389238533</v>
      </c>
      <c r="O23" s="23">
        <v>1.5575007700251511</v>
      </c>
      <c r="P23" s="23">
        <v>-1.9073330004739999</v>
      </c>
    </row>
    <row r="24" spans="1:16" x14ac:dyDescent="0.3">
      <c r="A24" s="11" t="s">
        <v>1970</v>
      </c>
      <c r="B24" s="8" t="s">
        <v>1969</v>
      </c>
      <c r="C24" s="23">
        <v>0</v>
      </c>
      <c r="D24" s="23">
        <v>0</v>
      </c>
      <c r="E24" s="23">
        <v>0</v>
      </c>
      <c r="F24" s="23">
        <v>0</v>
      </c>
      <c r="G24" s="23">
        <v>0</v>
      </c>
      <c r="H24" s="23">
        <v>0</v>
      </c>
      <c r="I24" s="23">
        <v>0</v>
      </c>
      <c r="J24" s="23">
        <v>0</v>
      </c>
      <c r="K24" s="23">
        <v>0</v>
      </c>
      <c r="L24" s="23">
        <v>0</v>
      </c>
      <c r="M24" s="23">
        <v>0</v>
      </c>
      <c r="N24" s="23">
        <v>0</v>
      </c>
      <c r="O24" s="23">
        <v>0</v>
      </c>
      <c r="P24" s="23">
        <v>0</v>
      </c>
    </row>
    <row r="25" spans="1:16" x14ac:dyDescent="0.3">
      <c r="A25" s="11" t="s">
        <v>1968</v>
      </c>
      <c r="B25" s="8" t="s">
        <v>1967</v>
      </c>
      <c r="C25" s="23">
        <v>0</v>
      </c>
      <c r="D25" s="23">
        <v>0</v>
      </c>
      <c r="E25" s="23">
        <v>69</v>
      </c>
      <c r="F25" s="23">
        <v>49</v>
      </c>
      <c r="G25" s="23">
        <v>40.102384000000001</v>
      </c>
      <c r="H25" s="23">
        <v>19.03</v>
      </c>
      <c r="I25" s="23">
        <v>30.06</v>
      </c>
      <c r="J25" s="23">
        <v>20.64</v>
      </c>
      <c r="K25" s="23">
        <v>20.75</v>
      </c>
      <c r="L25" s="23">
        <v>12.32</v>
      </c>
      <c r="M25" s="23">
        <v>0</v>
      </c>
      <c r="N25" s="23">
        <v>0</v>
      </c>
      <c r="O25" s="23">
        <v>0</v>
      </c>
      <c r="P25" s="23">
        <v>11.7052</v>
      </c>
    </row>
    <row r="26" spans="1:16" x14ac:dyDescent="0.3">
      <c r="A26" s="11" t="s">
        <v>1966</v>
      </c>
      <c r="B26" s="8" t="s">
        <v>1965</v>
      </c>
      <c r="C26" s="23">
        <v>0</v>
      </c>
      <c r="D26" s="23">
        <v>0</v>
      </c>
      <c r="E26" s="23">
        <v>87</v>
      </c>
      <c r="F26" s="23">
        <v>55</v>
      </c>
      <c r="G26" s="23">
        <v>42.966839999999998</v>
      </c>
      <c r="H26" s="23">
        <v>11.77</v>
      </c>
      <c r="I26" s="23">
        <v>17.46</v>
      </c>
      <c r="J26" s="23">
        <v>11.26</v>
      </c>
      <c r="K26" s="23">
        <v>13.21</v>
      </c>
      <c r="L26" s="23">
        <v>-9.33</v>
      </c>
      <c r="M26" s="23">
        <v>-25.64058</v>
      </c>
      <c r="N26" s="23">
        <v>-33.443280000000001</v>
      </c>
      <c r="O26" s="23">
        <v>-18.295300000000001</v>
      </c>
      <c r="P26" s="23" t="s">
        <v>1767</v>
      </c>
    </row>
    <row r="27" spans="1:16" x14ac:dyDescent="0.3">
      <c r="A27" s="11" t="s">
        <v>1964</v>
      </c>
      <c r="B27" s="8" t="s">
        <v>1963</v>
      </c>
      <c r="C27" s="23">
        <v>0</v>
      </c>
      <c r="D27" s="23">
        <v>0</v>
      </c>
      <c r="E27" s="23">
        <v>-5</v>
      </c>
      <c r="F27" s="23">
        <v>-25</v>
      </c>
      <c r="G27" s="23">
        <v>-34</v>
      </c>
      <c r="H27" s="23">
        <v>-49.2</v>
      </c>
      <c r="I27" s="23">
        <v>-45.9</v>
      </c>
      <c r="J27" s="23">
        <v>-44.8</v>
      </c>
      <c r="K27" s="23">
        <v>-45.5</v>
      </c>
      <c r="L27" s="23">
        <v>-55.1</v>
      </c>
      <c r="M27" s="23">
        <v>-57.8</v>
      </c>
      <c r="N27" s="23">
        <v>-61.2</v>
      </c>
      <c r="O27" s="23">
        <v>-54.7</v>
      </c>
      <c r="P27" s="23">
        <v>-46.9</v>
      </c>
    </row>
    <row r="28" spans="1:16" x14ac:dyDescent="0.3">
      <c r="A28" s="11" t="s">
        <v>1962</v>
      </c>
      <c r="B28" s="8" t="s">
        <v>1961</v>
      </c>
      <c r="C28" s="23">
        <v>0</v>
      </c>
      <c r="D28" s="23">
        <v>0</v>
      </c>
      <c r="E28" s="23">
        <v>14</v>
      </c>
      <c r="F28" s="23">
        <v>-10</v>
      </c>
      <c r="G28" s="23">
        <v>-21.466144</v>
      </c>
      <c r="H28" s="23">
        <v>-37.979999999999997</v>
      </c>
      <c r="I28" s="23">
        <v>-37.979999999999997</v>
      </c>
      <c r="J28" s="23">
        <v>-37.979999999999997</v>
      </c>
      <c r="K28" s="23">
        <v>-28.28</v>
      </c>
      <c r="L28" s="23">
        <v>-38.19</v>
      </c>
      <c r="M28" s="23">
        <v>-47.709699000000001</v>
      </c>
      <c r="N28" s="23">
        <v>-47.709699000000001</v>
      </c>
      <c r="O28" s="23">
        <v>-47.709699000000001</v>
      </c>
      <c r="P28" s="23">
        <v>-21.793886000000001</v>
      </c>
    </row>
    <row r="29" spans="1:16" x14ac:dyDescent="0.3">
      <c r="A29" s="11" t="s">
        <v>1960</v>
      </c>
      <c r="B29" s="8" t="s">
        <v>1959</v>
      </c>
      <c r="C29" s="23">
        <v>0</v>
      </c>
      <c r="D29" s="23">
        <v>0</v>
      </c>
      <c r="E29" s="23">
        <v>0</v>
      </c>
      <c r="F29" s="23">
        <v>-12</v>
      </c>
      <c r="G29" s="23">
        <v>-17.5</v>
      </c>
      <c r="H29" s="23">
        <v>-22.8</v>
      </c>
      <c r="I29" s="23">
        <v>-22.8</v>
      </c>
      <c r="J29" s="23">
        <v>-22.8</v>
      </c>
      <c r="K29" s="23">
        <v>-22.8</v>
      </c>
      <c r="L29" s="23">
        <v>-28.21</v>
      </c>
      <c r="M29" s="23">
        <v>-33.788820000000001</v>
      </c>
      <c r="N29" s="23">
        <v>-33.947760000000002</v>
      </c>
      <c r="O29" s="23">
        <v>-33.777180000000001</v>
      </c>
      <c r="P29" s="23">
        <v>-27.121919999999999</v>
      </c>
    </row>
    <row r="30" spans="1:16" x14ac:dyDescent="0.3">
      <c r="A30" s="11" t="s">
        <v>1958</v>
      </c>
      <c r="B30" s="8" t="s">
        <v>1957</v>
      </c>
      <c r="C30" s="23">
        <v>0</v>
      </c>
      <c r="D30" s="23">
        <v>0</v>
      </c>
      <c r="E30" s="23">
        <v>15</v>
      </c>
      <c r="F30" s="23">
        <v>-3</v>
      </c>
      <c r="G30" s="23">
        <v>-11.18</v>
      </c>
      <c r="H30" s="23">
        <v>-21.66</v>
      </c>
      <c r="I30" s="23">
        <v>-21.66</v>
      </c>
      <c r="J30" s="23">
        <v>-26.22</v>
      </c>
      <c r="K30" s="23">
        <v>-26.22</v>
      </c>
      <c r="L30" s="23">
        <v>-26.22</v>
      </c>
      <c r="M30" s="23">
        <v>-30.31</v>
      </c>
      <c r="N30" s="23">
        <v>-34.69</v>
      </c>
      <c r="O30" s="23">
        <v>-34.69</v>
      </c>
      <c r="P30" s="23">
        <v>-25.13</v>
      </c>
    </row>
    <row r="31" spans="1:16" x14ac:dyDescent="0.3">
      <c r="A31" s="11" t="s">
        <v>1956</v>
      </c>
      <c r="B31" s="8" t="s">
        <v>1955</v>
      </c>
      <c r="C31" s="23">
        <v>0</v>
      </c>
      <c r="D31" s="23">
        <v>0</v>
      </c>
      <c r="E31" s="23">
        <v>0</v>
      </c>
      <c r="F31" s="23">
        <v>0</v>
      </c>
      <c r="G31" s="23">
        <v>0</v>
      </c>
      <c r="H31" s="23">
        <v>0</v>
      </c>
      <c r="I31" s="23">
        <v>0</v>
      </c>
      <c r="J31" s="23">
        <v>0</v>
      </c>
      <c r="K31" s="23">
        <v>0</v>
      </c>
      <c r="L31" s="23">
        <v>0</v>
      </c>
      <c r="M31" s="23">
        <v>0</v>
      </c>
      <c r="N31" s="23">
        <v>0</v>
      </c>
      <c r="O31" s="23">
        <v>0</v>
      </c>
      <c r="P31" s="23" t="s">
        <v>1767</v>
      </c>
    </row>
    <row r="32" spans="1:16" x14ac:dyDescent="0.3">
      <c r="A32" s="11" t="s">
        <v>1954</v>
      </c>
      <c r="B32" s="8" t="s">
        <v>1953</v>
      </c>
      <c r="C32" s="23">
        <v>0</v>
      </c>
      <c r="D32" s="23">
        <v>0</v>
      </c>
      <c r="E32" s="23">
        <v>30</v>
      </c>
      <c r="F32" s="23">
        <v>18</v>
      </c>
      <c r="G32" s="23">
        <v>5.933516</v>
      </c>
      <c r="H32" s="23">
        <v>-5.3</v>
      </c>
      <c r="I32" s="23">
        <v>-15.32</v>
      </c>
      <c r="J32" s="23">
        <v>-24.58</v>
      </c>
      <c r="K32" s="23">
        <v>-24.72</v>
      </c>
      <c r="L32" s="23">
        <v>-24.45</v>
      </c>
      <c r="M32" s="23">
        <v>-23.992256999999999</v>
      </c>
      <c r="N32" s="23">
        <v>-14.677884000000001</v>
      </c>
      <c r="O32" s="23">
        <v>-15.368052</v>
      </c>
      <c r="P32" s="23">
        <v>-36.196080000000002</v>
      </c>
    </row>
    <row r="33" spans="1:16" x14ac:dyDescent="0.3">
      <c r="A33" s="11" t="s">
        <v>1952</v>
      </c>
      <c r="B33" s="8" t="s">
        <v>1951</v>
      </c>
      <c r="C33" s="23">
        <v>0</v>
      </c>
      <c r="D33" s="23">
        <v>0</v>
      </c>
      <c r="E33" s="23">
        <v>0</v>
      </c>
      <c r="F33" s="23">
        <v>0</v>
      </c>
      <c r="G33" s="23">
        <v>-8.3814800976000008</v>
      </c>
      <c r="H33" s="23">
        <v>-10.85</v>
      </c>
      <c r="I33" s="23">
        <v>-10.73</v>
      </c>
      <c r="J33" s="23">
        <v>-10.38</v>
      </c>
      <c r="K33" s="23">
        <v>-10.44</v>
      </c>
      <c r="L33" s="23">
        <v>-10.32</v>
      </c>
      <c r="M33" s="23">
        <v>-10.129457646600001</v>
      </c>
      <c r="N33" s="23">
        <v>-10.2759680088</v>
      </c>
      <c r="O33" s="23">
        <v>-10.118727933400001</v>
      </c>
      <c r="P33" s="23">
        <v>-9.959828624</v>
      </c>
    </row>
    <row r="34" spans="1:16" x14ac:dyDescent="0.3">
      <c r="A34" s="11" t="s">
        <v>1950</v>
      </c>
      <c r="B34" s="8" t="s">
        <v>1949</v>
      </c>
      <c r="C34" s="23">
        <v>0</v>
      </c>
      <c r="D34" s="23">
        <v>0</v>
      </c>
      <c r="E34" s="23">
        <v>0</v>
      </c>
      <c r="F34" s="23">
        <v>0</v>
      </c>
      <c r="G34" s="23">
        <v>0</v>
      </c>
      <c r="H34" s="23">
        <v>-5.88</v>
      </c>
      <c r="I34" s="23">
        <v>0</v>
      </c>
      <c r="J34" s="23">
        <v>0</v>
      </c>
      <c r="K34" s="23">
        <v>0</v>
      </c>
      <c r="L34" s="23">
        <v>0.75</v>
      </c>
      <c r="M34" s="23">
        <v>0.73258799999999991</v>
      </c>
      <c r="N34" s="23">
        <v>0</v>
      </c>
      <c r="O34" s="23">
        <v>0</v>
      </c>
      <c r="P34" s="23" t="s">
        <v>1767</v>
      </c>
    </row>
    <row r="35" spans="1:16" x14ac:dyDescent="0.3">
      <c r="A35" s="11" t="s">
        <v>1948</v>
      </c>
      <c r="B35" s="8" t="s">
        <v>1947</v>
      </c>
      <c r="C35" s="23">
        <v>0</v>
      </c>
      <c r="D35" s="23">
        <v>0</v>
      </c>
      <c r="E35" s="23">
        <v>0</v>
      </c>
      <c r="F35" s="23">
        <v>0</v>
      </c>
      <c r="G35" s="23">
        <v>0</v>
      </c>
      <c r="H35" s="23">
        <v>0</v>
      </c>
      <c r="I35" s="23">
        <v>0</v>
      </c>
      <c r="J35" s="23">
        <v>0</v>
      </c>
      <c r="K35" s="23">
        <v>0</v>
      </c>
      <c r="L35" s="23">
        <v>0</v>
      </c>
      <c r="M35" s="23">
        <v>0</v>
      </c>
      <c r="N35" s="23">
        <v>0</v>
      </c>
      <c r="O35" s="23">
        <v>0</v>
      </c>
      <c r="P35" s="23" t="s">
        <v>1767</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20"/>
  <sheetViews>
    <sheetView workbookViewId="0">
      <pane xSplit="2" ySplit="2" topLeftCell="V3" activePane="bottomRight" state="frozen"/>
      <selection activeCell="I35" sqref="I35"/>
      <selection pane="topRight" activeCell="I35" sqref="I35"/>
      <selection pane="bottomLeft" activeCell="I35" sqref="I35"/>
      <selection pane="bottomRight" activeCell="AC7" sqref="AC7"/>
    </sheetView>
  </sheetViews>
  <sheetFormatPr baseColWidth="10" defaultColWidth="9.44140625" defaultRowHeight="14.4" x14ac:dyDescent="0.3"/>
  <cols>
    <col min="1" max="1" width="9.44140625" bestFit="1" customWidth="1"/>
    <col min="2" max="2" width="38" bestFit="1" customWidth="1"/>
    <col min="3" max="19" width="8.5546875" customWidth="1"/>
    <col min="20" max="23" width="9.44140625" bestFit="1" customWidth="1"/>
  </cols>
  <sheetData>
    <row r="1" spans="1:27" x14ac:dyDescent="0.3">
      <c r="A1" s="11"/>
      <c r="B1" s="11"/>
      <c r="C1" s="12" t="s">
        <v>2014</v>
      </c>
      <c r="D1" s="12" t="s">
        <v>92</v>
      </c>
      <c r="E1" s="12" t="s">
        <v>92</v>
      </c>
      <c r="F1" s="12" t="s">
        <v>92</v>
      </c>
      <c r="G1" s="12" t="s">
        <v>92</v>
      </c>
      <c r="H1" s="12" t="s">
        <v>92</v>
      </c>
      <c r="I1" s="12" t="s">
        <v>92</v>
      </c>
      <c r="J1" s="12" t="s">
        <v>92</v>
      </c>
      <c r="K1" s="12" t="s">
        <v>92</v>
      </c>
      <c r="L1" s="12" t="s">
        <v>92</v>
      </c>
      <c r="M1" s="12" t="s">
        <v>92</v>
      </c>
      <c r="N1" s="12" t="s">
        <v>92</v>
      </c>
      <c r="O1" s="12" t="s">
        <v>92</v>
      </c>
      <c r="P1" s="12" t="s">
        <v>92</v>
      </c>
      <c r="Q1" s="12" t="s">
        <v>92</v>
      </c>
      <c r="R1" s="12" t="s">
        <v>92</v>
      </c>
      <c r="S1" s="12" t="s">
        <v>92</v>
      </c>
      <c r="T1" s="12" t="s">
        <v>92</v>
      </c>
      <c r="U1" s="12" t="s">
        <v>92</v>
      </c>
      <c r="V1" s="12" t="s">
        <v>92</v>
      </c>
      <c r="W1" s="12" t="s">
        <v>92</v>
      </c>
      <c r="X1" s="12" t="s">
        <v>92</v>
      </c>
      <c r="Y1" s="12" t="s">
        <v>92</v>
      </c>
      <c r="Z1" s="12" t="s">
        <v>92</v>
      </c>
      <c r="AA1" s="12" t="s">
        <v>91</v>
      </c>
    </row>
    <row r="2" spans="1:27" x14ac:dyDescent="0.3">
      <c r="A2" s="13" t="s">
        <v>206</v>
      </c>
      <c r="B2" s="13" t="s">
        <v>205</v>
      </c>
      <c r="C2" s="14">
        <v>45261</v>
      </c>
      <c r="D2" s="14">
        <v>45292</v>
      </c>
      <c r="E2" s="14">
        <v>45323</v>
      </c>
      <c r="F2" s="14">
        <v>45352</v>
      </c>
      <c r="G2" s="14">
        <v>45383</v>
      </c>
      <c r="H2" s="14">
        <v>45413</v>
      </c>
      <c r="I2" s="14">
        <v>45444</v>
      </c>
      <c r="J2" s="14">
        <v>45474</v>
      </c>
      <c r="K2" s="14">
        <v>45505</v>
      </c>
      <c r="L2" s="14">
        <v>45536</v>
      </c>
      <c r="M2" s="14">
        <v>45566</v>
      </c>
      <c r="N2" s="14">
        <v>45597</v>
      </c>
      <c r="O2" s="14">
        <v>45627</v>
      </c>
      <c r="P2" s="14">
        <v>45658</v>
      </c>
      <c r="Q2" s="14">
        <v>45689</v>
      </c>
      <c r="R2" s="14">
        <v>45717</v>
      </c>
      <c r="S2" s="14">
        <v>45748</v>
      </c>
      <c r="T2" s="14">
        <v>45778</v>
      </c>
      <c r="U2" s="14">
        <v>45809</v>
      </c>
      <c r="V2" s="14">
        <v>45839</v>
      </c>
      <c r="W2" s="14">
        <v>45870</v>
      </c>
      <c r="X2" s="14">
        <v>45901</v>
      </c>
      <c r="Y2" s="14">
        <v>45931</v>
      </c>
      <c r="Z2" s="14">
        <v>45962</v>
      </c>
      <c r="AA2" s="14">
        <v>45992</v>
      </c>
    </row>
    <row r="3" spans="1:27" x14ac:dyDescent="0.3">
      <c r="A3" s="12" t="s">
        <v>270</v>
      </c>
      <c r="B3" s="11" t="s">
        <v>269</v>
      </c>
      <c r="C3" s="20">
        <v>354655945.80000001</v>
      </c>
      <c r="D3" s="20">
        <v>250781503.77272701</v>
      </c>
      <c r="E3" s="20">
        <v>186992700.80000001</v>
      </c>
      <c r="F3" s="20">
        <v>240407890.33333299</v>
      </c>
      <c r="G3" s="20">
        <v>119843384.090909</v>
      </c>
      <c r="H3" s="20">
        <v>219437157.409091</v>
      </c>
      <c r="I3" s="20">
        <v>168426881.34999999</v>
      </c>
      <c r="J3" s="20">
        <v>201164806.73912999</v>
      </c>
      <c r="K3" s="20">
        <v>201254445.86363599</v>
      </c>
      <c r="L3" s="20">
        <v>291410537</v>
      </c>
      <c r="M3" s="20">
        <v>219287417.63636401</v>
      </c>
      <c r="N3" s="20">
        <v>335266963.44999999</v>
      </c>
      <c r="O3" s="20">
        <v>354655945.80000001</v>
      </c>
      <c r="P3" s="20">
        <v>382107295.27272701</v>
      </c>
      <c r="Q3" s="20">
        <v>309566018.94736803</v>
      </c>
      <c r="R3" s="20">
        <v>321302416.80000001</v>
      </c>
      <c r="S3" s="20">
        <v>243281062.75</v>
      </c>
      <c r="T3" s="20">
        <v>179978267.04761899</v>
      </c>
      <c r="U3" s="20">
        <v>197310828.380952</v>
      </c>
      <c r="V3" s="20">
        <v>146445260.62782601</v>
      </c>
      <c r="W3" s="20">
        <v>71794012.031428605</v>
      </c>
      <c r="X3" s="20">
        <v>86574898.005714297</v>
      </c>
      <c r="Y3" s="20">
        <v>106115295.091304</v>
      </c>
      <c r="Z3" s="20">
        <v>171634349.00894701</v>
      </c>
      <c r="AA3" s="20">
        <v>112098746.83809499</v>
      </c>
    </row>
    <row r="4" spans="1:27" x14ac:dyDescent="0.3">
      <c r="A4" s="12" t="s">
        <v>268</v>
      </c>
      <c r="B4" s="11" t="s">
        <v>267</v>
      </c>
      <c r="C4" s="20">
        <v>230766849.17131501</v>
      </c>
      <c r="D4" s="20">
        <v>250781503.77272701</v>
      </c>
      <c r="E4" s="20">
        <v>220405883.309524</v>
      </c>
      <c r="F4" s="20">
        <v>226406485.41666701</v>
      </c>
      <c r="G4" s="20">
        <v>197816385.060976</v>
      </c>
      <c r="H4" s="20">
        <v>202390009.98076901</v>
      </c>
      <c r="I4" s="20">
        <v>196912086.00806499</v>
      </c>
      <c r="J4" s="20">
        <v>197577477.68707499</v>
      </c>
      <c r="K4" s="20">
        <v>198056136.26627201</v>
      </c>
      <c r="L4" s="20">
        <v>207934908.830688</v>
      </c>
      <c r="M4" s="20">
        <v>209118582.734597</v>
      </c>
      <c r="N4" s="20">
        <v>220040520.45887399</v>
      </c>
      <c r="O4" s="20">
        <v>230766849.17131501</v>
      </c>
      <c r="P4" s="20">
        <v>382107295.27272701</v>
      </c>
      <c r="Q4" s="20">
        <v>348490606.24390203</v>
      </c>
      <c r="R4" s="20">
        <v>339576445.77049202</v>
      </c>
      <c r="S4" s="20">
        <v>315799807.98765397</v>
      </c>
      <c r="T4" s="20">
        <v>287836549.558824</v>
      </c>
      <c r="U4" s="20">
        <v>272380938.62601602</v>
      </c>
      <c r="V4" s="20">
        <v>252541756.47945201</v>
      </c>
      <c r="W4" s="20">
        <v>229812998.16023999</v>
      </c>
      <c r="X4" s="20">
        <v>213812997.61106399</v>
      </c>
      <c r="Y4" s="20">
        <v>202073437.620758</v>
      </c>
      <c r="Z4" s="20">
        <v>199558904.213696</v>
      </c>
      <c r="AA4" s="20">
        <v>192241520.52888399</v>
      </c>
    </row>
    <row r="5" spans="1:27" x14ac:dyDescent="0.3">
      <c r="A5" s="12" t="s">
        <v>266</v>
      </c>
      <c r="B5" s="11" t="s">
        <v>265</v>
      </c>
      <c r="C5" s="63">
        <v>39314912.96769999</v>
      </c>
      <c r="D5" s="63">
        <v>12270506.764899999</v>
      </c>
      <c r="E5" s="63">
        <v>26909060.245699998</v>
      </c>
      <c r="F5" s="63">
        <v>31824721.137299996</v>
      </c>
      <c r="G5" s="63">
        <v>19898060.328099996</v>
      </c>
      <c r="H5" s="63">
        <v>15049381.670200001</v>
      </c>
      <c r="I5" s="63">
        <v>26087456.885599997</v>
      </c>
      <c r="J5" s="63">
        <v>14060912.004800003</v>
      </c>
      <c r="K5" s="63">
        <v>11885931.845899999</v>
      </c>
      <c r="L5" s="63">
        <v>34480186.063600004</v>
      </c>
      <c r="M5" s="63">
        <v>83032227.003699988</v>
      </c>
      <c r="N5" s="63">
        <v>29407723.916999999</v>
      </c>
      <c r="O5" s="63">
        <v>39314912.96769999</v>
      </c>
      <c r="P5" s="63">
        <v>28921355.065399997</v>
      </c>
      <c r="Q5" s="63">
        <v>44707746.269299999</v>
      </c>
      <c r="R5" s="63">
        <v>24484242.647300001</v>
      </c>
      <c r="S5" s="63">
        <v>1755097.9178000002</v>
      </c>
      <c r="T5" s="63">
        <v>40587292.272400007</v>
      </c>
      <c r="U5" s="63">
        <v>8745309.6751000006</v>
      </c>
      <c r="V5" s="63">
        <v>7191616.3741999995</v>
      </c>
      <c r="W5" s="63"/>
      <c r="X5" s="63"/>
    </row>
    <row r="6" spans="1:27" x14ac:dyDescent="0.3">
      <c r="A6" s="12">
        <v>33015</v>
      </c>
      <c r="B6" s="11" t="s">
        <v>264</v>
      </c>
      <c r="C6" s="23">
        <v>0.7</v>
      </c>
      <c r="D6" s="23"/>
      <c r="E6" s="23"/>
      <c r="F6" s="23"/>
      <c r="G6" s="23"/>
      <c r="H6" s="23"/>
      <c r="I6" s="23"/>
      <c r="J6" s="23"/>
      <c r="K6" s="23"/>
      <c r="L6" s="23">
        <v>0.5</v>
      </c>
      <c r="M6" s="23">
        <v>1.6</v>
      </c>
      <c r="N6" s="23">
        <v>0.5</v>
      </c>
      <c r="O6" s="23">
        <v>0.7</v>
      </c>
      <c r="P6" s="23">
        <v>0.5</v>
      </c>
      <c r="Q6" s="23">
        <v>0.6</v>
      </c>
      <c r="R6" s="23">
        <v>0.4</v>
      </c>
      <c r="S6" s="23">
        <v>0.03</v>
      </c>
      <c r="T6" s="23">
        <v>0.8</v>
      </c>
      <c r="U6" s="23">
        <v>0.2</v>
      </c>
      <c r="V6" s="23">
        <v>0.1</v>
      </c>
      <c r="W6" s="23">
        <v>0.19291805142813601</v>
      </c>
      <c r="X6" s="23">
        <v>1.5</v>
      </c>
      <c r="Y6" s="42">
        <v>1.5823548918286998E-2</v>
      </c>
      <c r="Z6" s="98">
        <v>0.65394547546114101</v>
      </c>
      <c r="AA6" s="42">
        <v>2.9397207350154001E-2</v>
      </c>
    </row>
    <row r="7" spans="1:27" x14ac:dyDescent="0.3">
      <c r="A7" s="12">
        <v>33016</v>
      </c>
      <c r="B7" s="11" t="s">
        <v>263</v>
      </c>
      <c r="C7" s="23">
        <v>0.01</v>
      </c>
      <c r="D7" s="23"/>
      <c r="E7" s="23"/>
      <c r="F7" s="23"/>
      <c r="G7" s="23"/>
      <c r="H7" s="23"/>
      <c r="I7" s="23"/>
      <c r="J7" s="23"/>
      <c r="K7" s="23"/>
      <c r="L7" s="23">
        <v>8.0000000000000002E-3</v>
      </c>
      <c r="M7" s="23">
        <v>2.4E-2</v>
      </c>
      <c r="N7" s="23">
        <v>8.0000000000000002E-3</v>
      </c>
      <c r="O7" s="23">
        <v>0.01</v>
      </c>
      <c r="P7" s="23">
        <v>7.0000000000000001E-3</v>
      </c>
      <c r="Q7" s="23">
        <v>8.0000000000000002E-3</v>
      </c>
      <c r="R7" s="23">
        <v>6.0000000000000001E-3</v>
      </c>
      <c r="S7" s="23">
        <v>4.0000000000000002E-4</v>
      </c>
      <c r="T7" s="23">
        <v>1.2E-2</v>
      </c>
      <c r="U7" s="23">
        <v>2E-3</v>
      </c>
      <c r="V7" s="23">
        <v>1E-3</v>
      </c>
      <c r="W7" s="23">
        <v>2.7867521610357398E-3</v>
      </c>
      <c r="X7" s="23">
        <v>2.1999999999999999E-2</v>
      </c>
      <c r="Y7" s="43">
        <v>2.2857533971991901E-4</v>
      </c>
      <c r="Z7" s="42">
        <v>9.4464149593576803E-3</v>
      </c>
      <c r="AA7" s="43">
        <v>4.2465041765142998E-4</v>
      </c>
    </row>
    <row r="8" spans="1:27" x14ac:dyDescent="0.3">
      <c r="A8" s="12" t="s">
        <v>262</v>
      </c>
      <c r="B8" s="11" t="s">
        <v>261</v>
      </c>
      <c r="C8" s="20">
        <v>39695475.808219202</v>
      </c>
      <c r="D8" s="20">
        <v>5243529.3076923098</v>
      </c>
      <c r="E8" s="20">
        <v>6910829.7307692301</v>
      </c>
      <c r="F8" s="20">
        <v>7821324.4878048804</v>
      </c>
      <c r="G8" s="20">
        <v>8844963</v>
      </c>
      <c r="H8" s="20">
        <v>8388431.4000000004</v>
      </c>
      <c r="I8" s="20">
        <v>8388431.4000000004</v>
      </c>
      <c r="J8" s="20">
        <v>8336271.4032258103</v>
      </c>
      <c r="K8" s="20">
        <v>16160419.9487179</v>
      </c>
      <c r="L8" s="20">
        <v>18915338.113402098</v>
      </c>
      <c r="M8" s="20">
        <v>26345257.655462202</v>
      </c>
      <c r="N8" s="20">
        <v>38275486.870503597</v>
      </c>
      <c r="O8" s="20">
        <v>39695475.808219202</v>
      </c>
      <c r="P8" s="20">
        <v>2122363.3333333302</v>
      </c>
      <c r="Q8" s="20">
        <v>150716730.45454499</v>
      </c>
      <c r="R8" s="20">
        <v>167523575.387097</v>
      </c>
      <c r="S8" s="20">
        <v>133144889.372549</v>
      </c>
      <c r="T8" s="20">
        <v>116559834.291667</v>
      </c>
      <c r="U8" s="20">
        <v>109169314.795699</v>
      </c>
      <c r="V8" s="20">
        <v>95921688.948275894</v>
      </c>
      <c r="W8" s="20">
        <v>88719296.417445302</v>
      </c>
      <c r="X8" s="20">
        <v>82341947.668797493</v>
      </c>
      <c r="Y8" s="20">
        <v>77252694.078066304</v>
      </c>
      <c r="Z8" s="20">
        <v>74033957.707100004</v>
      </c>
      <c r="AA8" s="20">
        <v>70096016.106651604</v>
      </c>
    </row>
    <row r="9" spans="1:27" x14ac:dyDescent="0.3">
      <c r="A9" s="12" t="s">
        <v>260</v>
      </c>
      <c r="B9" s="11" t="s">
        <v>259</v>
      </c>
      <c r="C9" s="20">
        <v>68557451.5774059</v>
      </c>
      <c r="D9" s="20">
        <v>30531612.181818198</v>
      </c>
      <c r="E9" s="20">
        <v>35594096.341463402</v>
      </c>
      <c r="F9" s="20">
        <v>45563164.084745802</v>
      </c>
      <c r="G9" s="20">
        <v>53727891.753086403</v>
      </c>
      <c r="H9" s="20">
        <v>48039048.8529412</v>
      </c>
      <c r="I9" s="20">
        <v>48663807.173553698</v>
      </c>
      <c r="J9" s="20">
        <v>45707869.563380301</v>
      </c>
      <c r="K9" s="20">
        <v>52236989.615853697</v>
      </c>
      <c r="L9" s="20">
        <v>53202851.655737698</v>
      </c>
      <c r="M9" s="20">
        <v>56708772.082926802</v>
      </c>
      <c r="N9" s="20">
        <v>64468786.098214298</v>
      </c>
      <c r="O9" s="20">
        <v>68557451.5774059</v>
      </c>
      <c r="P9" s="20">
        <v>84572639.363636404</v>
      </c>
      <c r="Q9" s="20">
        <v>125448160.48780499</v>
      </c>
      <c r="R9" s="20">
        <v>132794603.393443</v>
      </c>
      <c r="S9" s="20">
        <v>111109308.444444</v>
      </c>
      <c r="T9" s="20">
        <v>92684079.564356402</v>
      </c>
      <c r="U9" s="20">
        <v>85610808.763157904</v>
      </c>
      <c r="V9" s="20">
        <v>76093272.143939406</v>
      </c>
      <c r="W9" s="20">
        <v>72329110.243000001</v>
      </c>
      <c r="X9" s="20">
        <v>69162551.044353694</v>
      </c>
      <c r="Y9" s="20">
        <v>64245762.267682903</v>
      </c>
      <c r="Z9" s="20">
        <v>59882688.980666697</v>
      </c>
      <c r="AA9" s="20">
        <v>55561319.416100003</v>
      </c>
    </row>
    <row r="10" spans="1:27" x14ac:dyDescent="0.3">
      <c r="A10" s="12" t="s">
        <v>258</v>
      </c>
      <c r="B10" s="11" t="s">
        <v>257</v>
      </c>
      <c r="C10" s="20">
        <v>136370249.59349599</v>
      </c>
      <c r="D10" s="20">
        <v>190685785</v>
      </c>
      <c r="E10" s="20">
        <v>169987948.190476</v>
      </c>
      <c r="F10" s="20">
        <v>168054051.383333</v>
      </c>
      <c r="G10" s="20">
        <v>152344067.92682901</v>
      </c>
      <c r="H10" s="20">
        <v>149652995.46153799</v>
      </c>
      <c r="I10" s="20">
        <v>163165375.024194</v>
      </c>
      <c r="J10" s="20">
        <v>157255640.55102</v>
      </c>
      <c r="K10" s="20">
        <v>147041662.37278101</v>
      </c>
      <c r="L10" s="20">
        <v>139739259.957672</v>
      </c>
      <c r="M10" s="20">
        <v>135550005.24644601</v>
      </c>
      <c r="N10" s="20">
        <v>137599505.63203499</v>
      </c>
      <c r="O10" s="20">
        <v>136370249.59349599</v>
      </c>
      <c r="P10" s="20">
        <v>120042572.636364</v>
      </c>
      <c r="Q10" s="20">
        <v>120571440.682927</v>
      </c>
      <c r="R10" s="20">
        <v>126121285.868852</v>
      </c>
      <c r="S10" s="20">
        <v>116684938.604938</v>
      </c>
      <c r="T10" s="20">
        <v>103652391.303922</v>
      </c>
      <c r="U10" s="20">
        <v>93817012.731707305</v>
      </c>
      <c r="V10" s="20">
        <v>85717889.006849304</v>
      </c>
      <c r="W10" s="20">
        <v>77157103.296886206</v>
      </c>
      <c r="X10" s="20">
        <v>71381558.434893593</v>
      </c>
      <c r="Y10" s="20">
        <v>67231218.0823697</v>
      </c>
      <c r="Z10" s="20">
        <v>64391411.351652198</v>
      </c>
      <c r="AA10" s="20">
        <v>62809760.660677299</v>
      </c>
    </row>
    <row r="11" spans="1:27" x14ac:dyDescent="0.3">
      <c r="A11" s="12" t="s">
        <v>256</v>
      </c>
      <c r="B11" s="11" t="s">
        <v>255</v>
      </c>
      <c r="C11" s="20">
        <v>95155625.643999994</v>
      </c>
      <c r="D11" s="20">
        <v>81232326.454545498</v>
      </c>
      <c r="E11" s="20">
        <v>69990747.833333299</v>
      </c>
      <c r="F11" s="20">
        <v>63583715.4333333</v>
      </c>
      <c r="G11" s="20">
        <v>63491898.548780501</v>
      </c>
      <c r="H11" s="20">
        <v>67663185.461538494</v>
      </c>
      <c r="I11" s="20">
        <v>77004953.427419305</v>
      </c>
      <c r="J11" s="20">
        <v>89409407.170067996</v>
      </c>
      <c r="K11" s="20">
        <v>89875968.869822502</v>
      </c>
      <c r="L11" s="20">
        <v>93776029.359788403</v>
      </c>
      <c r="M11" s="20">
        <v>93386335.052132696</v>
      </c>
      <c r="N11" s="20">
        <v>96447338.0995671</v>
      </c>
      <c r="O11" s="20">
        <v>95155625.643999994</v>
      </c>
      <c r="P11" s="20">
        <v>107213445.909091</v>
      </c>
      <c r="Q11" s="20">
        <v>106843268.439024</v>
      </c>
      <c r="R11" s="20">
        <v>121682259.68852501</v>
      </c>
      <c r="S11" s="20">
        <v>131416003.555556</v>
      </c>
      <c r="T11" s="20">
        <v>121835745.656863</v>
      </c>
      <c r="U11" s="20">
        <v>122324471.60975599</v>
      </c>
      <c r="V11" s="20">
        <v>118771359.294521</v>
      </c>
      <c r="W11" s="20">
        <v>109453043.099581</v>
      </c>
      <c r="X11" s="20">
        <v>105542414.30218101</v>
      </c>
      <c r="Y11" s="20">
        <v>102207256.793697</v>
      </c>
      <c r="Z11" s="20">
        <v>102761217.044652</v>
      </c>
      <c r="AA11" s="20">
        <v>101315520.275498</v>
      </c>
    </row>
    <row r="12" spans="1:27" x14ac:dyDescent="0.3">
      <c r="A12" s="12" t="s">
        <v>254</v>
      </c>
      <c r="B12" s="11" t="s">
        <v>253</v>
      </c>
      <c r="C12" s="20">
        <v>120025507.975806</v>
      </c>
      <c r="D12" s="20">
        <v>149800209.54545501</v>
      </c>
      <c r="E12" s="20">
        <v>129422742.714286</v>
      </c>
      <c r="F12" s="20">
        <v>130446381.45</v>
      </c>
      <c r="G12" s="20">
        <v>134819816.402439</v>
      </c>
      <c r="H12" s="20">
        <v>135195868.58653799</v>
      </c>
      <c r="I12" s="20">
        <v>144371552.83871001</v>
      </c>
      <c r="J12" s="20">
        <v>140768173.575342</v>
      </c>
      <c r="K12" s="20">
        <v>135383383.19642901</v>
      </c>
      <c r="L12" s="20">
        <v>129925247.670213</v>
      </c>
      <c r="M12" s="20">
        <v>122932134.261905</v>
      </c>
      <c r="N12" s="20">
        <v>125190747.42608701</v>
      </c>
      <c r="O12" s="20">
        <v>120025507.975806</v>
      </c>
      <c r="P12" s="20">
        <v>118862951.272727</v>
      </c>
      <c r="Q12" s="20">
        <v>89622530.902438998</v>
      </c>
      <c r="R12" s="20">
        <v>88669792.786885202</v>
      </c>
      <c r="S12" s="20">
        <v>85332292.308642</v>
      </c>
      <c r="T12" s="20">
        <v>78822369.156862795</v>
      </c>
      <c r="U12" s="20">
        <v>73425703.097561002</v>
      </c>
      <c r="V12" s="20">
        <v>76245841.972602695</v>
      </c>
      <c r="W12" s="20">
        <v>72446515.165329307</v>
      </c>
      <c r="X12" s="20">
        <v>70125349.799733996</v>
      </c>
      <c r="Y12" s="20">
        <v>67316635.6284834</v>
      </c>
      <c r="Z12" s="20">
        <v>65659336.859043501</v>
      </c>
      <c r="AA12" s="20">
        <v>63335967.910438202</v>
      </c>
    </row>
    <row r="13" spans="1:27" x14ac:dyDescent="0.3">
      <c r="A13" s="12" t="s">
        <v>252</v>
      </c>
      <c r="B13" s="11" t="s">
        <v>251</v>
      </c>
      <c r="C13" s="20">
        <v>38807068.612334803</v>
      </c>
      <c r="D13" s="20">
        <v>22791798.5</v>
      </c>
      <c r="E13" s="20">
        <v>26391794.527777798</v>
      </c>
      <c r="F13" s="20">
        <v>34839341.461538501</v>
      </c>
      <c r="G13" s="20">
        <v>32093162.414285701</v>
      </c>
      <c r="H13" s="20">
        <v>37019417.551724099</v>
      </c>
      <c r="I13" s="20">
        <v>33515403.326923098</v>
      </c>
      <c r="J13" s="20">
        <v>31506523.658536602</v>
      </c>
      <c r="K13" s="20">
        <v>29493174.551724099</v>
      </c>
      <c r="L13" s="20">
        <v>29243259.533333302</v>
      </c>
      <c r="M13" s="20">
        <v>28893741.973262001</v>
      </c>
      <c r="N13" s="20">
        <v>27872443.7922705</v>
      </c>
      <c r="O13" s="20">
        <v>38807068.612334803</v>
      </c>
      <c r="P13" s="20">
        <v>88308369.818181798</v>
      </c>
      <c r="Q13" s="20">
        <v>84624876.073170707</v>
      </c>
      <c r="R13" s="20">
        <v>91892279.524590194</v>
      </c>
      <c r="S13" s="20">
        <v>78127361.222222194</v>
      </c>
      <c r="T13" s="20">
        <v>68827346.343137205</v>
      </c>
      <c r="U13" s="20">
        <v>59591882.723577201</v>
      </c>
      <c r="V13" s="20">
        <v>52831230.650684901</v>
      </c>
      <c r="W13" s="20">
        <v>48412517.760361403</v>
      </c>
      <c r="X13" s="20">
        <v>45605827.702352896</v>
      </c>
      <c r="Y13" s="20">
        <v>42163249.203952402</v>
      </c>
      <c r="Z13" s="20">
        <v>39606653.913580798</v>
      </c>
      <c r="AA13" s="20">
        <v>36838379.917999998</v>
      </c>
    </row>
    <row r="14" spans="1:27" x14ac:dyDescent="0.3">
      <c r="A14" s="12" t="s">
        <v>250</v>
      </c>
      <c r="B14" s="11" t="s">
        <v>249</v>
      </c>
      <c r="C14" s="20">
        <v>5089732.1527777798</v>
      </c>
      <c r="D14" s="20">
        <v>2844980.5454545501</v>
      </c>
      <c r="E14" s="20">
        <v>3673171.5833333302</v>
      </c>
      <c r="F14" s="20">
        <v>5886173.0294117602</v>
      </c>
      <c r="G14" s="20">
        <v>5909667.9130434804</v>
      </c>
      <c r="H14" s="20">
        <v>5623568.0181818204</v>
      </c>
      <c r="I14" s="20">
        <v>5931539.8571428601</v>
      </c>
      <c r="J14" s="20">
        <v>5805072.9390243897</v>
      </c>
      <c r="K14" s="20">
        <v>5506539.5959596001</v>
      </c>
      <c r="L14" s="20">
        <v>5435099.4247787604</v>
      </c>
      <c r="M14" s="20">
        <v>5171340.3760000002</v>
      </c>
      <c r="N14" s="20">
        <v>5257897.5185185196</v>
      </c>
      <c r="O14" s="20">
        <v>5089732.1527777798</v>
      </c>
      <c r="P14" s="20">
        <v>2898905.6666666698</v>
      </c>
      <c r="Q14" s="20">
        <v>4038289</v>
      </c>
      <c r="R14" s="20">
        <v>4879933.57142857</v>
      </c>
      <c r="S14" s="20">
        <v>5183882.75</v>
      </c>
      <c r="T14" s="20">
        <v>5048950.55357143</v>
      </c>
      <c r="U14" s="20">
        <v>5286418.1641790997</v>
      </c>
      <c r="V14" s="20">
        <v>5185069.3734939797</v>
      </c>
      <c r="W14" s="20">
        <v>5158336.7006451599</v>
      </c>
      <c r="X14" s="20">
        <v>5335653.3164545503</v>
      </c>
      <c r="Y14" s="20">
        <v>5365790.7602343699</v>
      </c>
      <c r="Z14" s="20">
        <v>5228519.9738620697</v>
      </c>
      <c r="AA14" s="20">
        <v>5755332.5503681004</v>
      </c>
    </row>
    <row r="15" spans="1:27" x14ac:dyDescent="0.3">
      <c r="A15" s="12" t="s">
        <v>248</v>
      </c>
      <c r="B15" s="11" t="s">
        <v>247</v>
      </c>
      <c r="C15" s="20">
        <v>13157291.2941176</v>
      </c>
      <c r="D15" s="20">
        <v>4244087.8461538497</v>
      </c>
      <c r="E15" s="20">
        <v>6745803.2000000002</v>
      </c>
      <c r="F15" s="20">
        <v>8028220.4473684197</v>
      </c>
      <c r="G15" s="20">
        <v>9498772.1153846197</v>
      </c>
      <c r="H15" s="20">
        <v>9744103.3809523806</v>
      </c>
      <c r="I15" s="20">
        <v>10092840.4117647</v>
      </c>
      <c r="J15" s="20">
        <v>11750606.2804878</v>
      </c>
      <c r="K15" s="20">
        <v>12312510.831578899</v>
      </c>
      <c r="L15" s="20">
        <v>13013504.2844037</v>
      </c>
      <c r="M15" s="20">
        <v>12699430.822033901</v>
      </c>
      <c r="N15" s="20">
        <v>13131565.751938</v>
      </c>
      <c r="O15" s="20">
        <v>13157291.2941176</v>
      </c>
      <c r="P15" s="20">
        <v>19638884.583333299</v>
      </c>
      <c r="Q15" s="20">
        <v>20176258.25</v>
      </c>
      <c r="R15" s="20">
        <v>17470660.8857143</v>
      </c>
      <c r="S15" s="20">
        <v>23241541.9272727</v>
      </c>
      <c r="T15" s="20">
        <v>21828673.276923101</v>
      </c>
      <c r="U15" s="20">
        <v>24022109.346153799</v>
      </c>
      <c r="V15" s="20">
        <v>25093626.485148501</v>
      </c>
      <c r="W15" s="20">
        <v>25006591.473000001</v>
      </c>
      <c r="X15" s="20">
        <v>24744207.508581601</v>
      </c>
      <c r="Y15" s="20">
        <v>24277903.292560998</v>
      </c>
      <c r="Z15" s="20">
        <v>24375553.0705464</v>
      </c>
      <c r="AA15" s="20">
        <v>23489418.571231499</v>
      </c>
    </row>
    <row r="16" spans="1:27" x14ac:dyDescent="0.3">
      <c r="A16" s="12" t="s">
        <v>246</v>
      </c>
      <c r="B16" s="11" t="s">
        <v>245</v>
      </c>
      <c r="C16" s="20">
        <v>55449240.722222202</v>
      </c>
      <c r="D16" s="20">
        <v>0</v>
      </c>
      <c r="E16" s="20">
        <v>0</v>
      </c>
      <c r="F16" s="20">
        <v>0</v>
      </c>
      <c r="G16" s="20">
        <v>0</v>
      </c>
      <c r="H16" s="20">
        <v>0</v>
      </c>
      <c r="I16" s="20">
        <v>0</v>
      </c>
      <c r="J16" s="20">
        <v>0</v>
      </c>
      <c r="K16" s="20">
        <v>0</v>
      </c>
      <c r="L16" s="20">
        <v>0</v>
      </c>
      <c r="M16" s="20">
        <v>0</v>
      </c>
      <c r="N16" s="20">
        <v>0</v>
      </c>
      <c r="O16" s="20">
        <v>55449240.722222202</v>
      </c>
      <c r="P16" s="20">
        <v>32103674.100000001</v>
      </c>
      <c r="Q16" s="20">
        <v>22894508.600000001</v>
      </c>
      <c r="R16" s="20">
        <v>21023048.25</v>
      </c>
      <c r="S16" s="20">
        <v>23347326.464285702</v>
      </c>
      <c r="T16" s="20">
        <v>20763429.527777798</v>
      </c>
      <c r="U16" s="20">
        <v>20579717.8275862</v>
      </c>
      <c r="V16" s="20">
        <v>21848595.708737899</v>
      </c>
      <c r="W16" s="20">
        <v>22556793.300420199</v>
      </c>
      <c r="X16" s="20">
        <v>22921308.215433098</v>
      </c>
      <c r="Y16" s="20">
        <v>23519295.244328398</v>
      </c>
      <c r="Z16" s="20">
        <v>22903250.735273998</v>
      </c>
      <c r="AA16" s="20">
        <v>22841548.997721501</v>
      </c>
    </row>
    <row r="17" spans="1:27" x14ac:dyDescent="0.3">
      <c r="A17" s="12" t="s">
        <v>244</v>
      </c>
      <c r="B17" s="11" t="s">
        <v>243</v>
      </c>
      <c r="C17" s="20">
        <v>62943906.0432432</v>
      </c>
      <c r="D17" s="20">
        <v>101817967.857143</v>
      </c>
      <c r="E17" s="20">
        <v>100165798.8</v>
      </c>
      <c r="F17" s="20">
        <v>97382113.859649107</v>
      </c>
      <c r="G17" s="20">
        <v>82669461.797297299</v>
      </c>
      <c r="H17" s="20">
        <v>81903275.032608703</v>
      </c>
      <c r="I17" s="20">
        <v>83394286.242990702</v>
      </c>
      <c r="J17" s="20">
        <v>77459604.2421875</v>
      </c>
      <c r="K17" s="20">
        <v>71910133.549295798</v>
      </c>
      <c r="L17" s="20">
        <v>69988252.797385603</v>
      </c>
      <c r="M17" s="20">
        <v>67492287.191358</v>
      </c>
      <c r="N17" s="20">
        <v>65202290.850574702</v>
      </c>
      <c r="O17" s="20">
        <v>62943906.0432432</v>
      </c>
      <c r="P17" s="20">
        <v>51675758.307692297</v>
      </c>
      <c r="Q17" s="20">
        <v>46760476.392857097</v>
      </c>
      <c r="R17" s="20">
        <v>45584785.846153803</v>
      </c>
      <c r="S17" s="20">
        <v>41744636.235294104</v>
      </c>
      <c r="T17" s="20">
        <v>39913891.116666697</v>
      </c>
      <c r="U17" s="20">
        <v>39083999.013888903</v>
      </c>
      <c r="V17" s="20">
        <v>38343294.604651198</v>
      </c>
      <c r="W17" s="20">
        <v>38996524.5142105</v>
      </c>
      <c r="X17" s="20">
        <v>36564328.056874998</v>
      </c>
      <c r="Y17" s="20">
        <v>36135909.612519696</v>
      </c>
      <c r="Z17" s="20">
        <v>35663461.002313398</v>
      </c>
      <c r="AA17" s="20">
        <v>35311458.683049597</v>
      </c>
    </row>
    <row r="18" spans="1:27" x14ac:dyDescent="0.3">
      <c r="A18" s="12" t="s">
        <v>242</v>
      </c>
      <c r="B18" s="11" t="s">
        <v>241</v>
      </c>
      <c r="C18" s="20">
        <v>17176222.357142899</v>
      </c>
      <c r="D18" s="20">
        <v>17095150</v>
      </c>
      <c r="E18" s="20">
        <v>20161306.399999999</v>
      </c>
      <c r="F18" s="20">
        <v>16950941.777777798</v>
      </c>
      <c r="G18" s="20">
        <v>23863017.600000001</v>
      </c>
      <c r="H18" s="20">
        <v>22068931.214285702</v>
      </c>
      <c r="I18" s="20">
        <v>21794867.133333299</v>
      </c>
      <c r="J18" s="20">
        <v>20609038.555555601</v>
      </c>
      <c r="K18" s="20">
        <v>18989296.600000001</v>
      </c>
      <c r="L18" s="20">
        <v>18261296.153846201</v>
      </c>
      <c r="M18" s="20">
        <v>17807664.296296299</v>
      </c>
      <c r="N18" s="20">
        <v>17807664.296296299</v>
      </c>
      <c r="O18" s="20">
        <v>17176222.357142899</v>
      </c>
      <c r="P18" s="20">
        <v>3278399</v>
      </c>
      <c r="Q18" s="20">
        <v>12295683.6666667</v>
      </c>
      <c r="R18" s="20">
        <v>18488961.5</v>
      </c>
      <c r="S18" s="20">
        <v>18488961.5</v>
      </c>
      <c r="T18" s="20">
        <v>18488961.5</v>
      </c>
      <c r="U18" s="20">
        <v>16501833.5</v>
      </c>
      <c r="V18" s="20">
        <v>16501833.5</v>
      </c>
      <c r="W18" s="20">
        <v>16501833.483750001</v>
      </c>
      <c r="X18" s="20">
        <v>16501833.483750001</v>
      </c>
      <c r="Y18" s="20">
        <v>16730788.9855556</v>
      </c>
      <c r="Z18" s="20">
        <v>32647419.892499998</v>
      </c>
      <c r="AA18" s="20">
        <v>34678933.405000001</v>
      </c>
    </row>
    <row r="19" spans="1:27" x14ac:dyDescent="0.3">
      <c r="A19" s="12" t="s">
        <v>240</v>
      </c>
      <c r="B19" s="11" t="s">
        <v>239</v>
      </c>
      <c r="C19" s="20">
        <v>0</v>
      </c>
      <c r="D19" s="20">
        <v>0</v>
      </c>
      <c r="E19" s="20">
        <v>0</v>
      </c>
      <c r="F19" s="20">
        <v>0</v>
      </c>
      <c r="G19" s="20">
        <v>0</v>
      </c>
      <c r="H19" s="20">
        <v>0</v>
      </c>
      <c r="I19" s="20">
        <v>0</v>
      </c>
      <c r="J19" s="20">
        <v>0</v>
      </c>
      <c r="K19" s="20">
        <v>0</v>
      </c>
      <c r="L19" s="20">
        <v>0</v>
      </c>
      <c r="M19" s="20">
        <v>0</v>
      </c>
      <c r="N19" s="20">
        <v>0</v>
      </c>
      <c r="O19" s="20">
        <v>0</v>
      </c>
      <c r="P19" s="20">
        <v>0</v>
      </c>
      <c r="Q19" s="20">
        <v>0</v>
      </c>
      <c r="R19" s="20">
        <v>198959</v>
      </c>
      <c r="S19" s="20">
        <v>198959</v>
      </c>
      <c r="T19" s="20">
        <v>198959</v>
      </c>
      <c r="U19" s="20">
        <v>129961.66666666701</v>
      </c>
      <c r="V19" s="20">
        <v>144074.25</v>
      </c>
      <c r="W19" s="20">
        <v>490363.8</v>
      </c>
      <c r="X19" s="20"/>
    </row>
    <row r="20" spans="1:27" x14ac:dyDescent="0.3">
      <c r="C20" s="4"/>
      <c r="D20" s="4"/>
      <c r="E20" s="4"/>
      <c r="F20" s="4"/>
      <c r="G20" s="4"/>
      <c r="H20" s="4"/>
      <c r="I20" s="4"/>
      <c r="J20" s="4"/>
      <c r="K20" s="4"/>
      <c r="L20" s="4"/>
      <c r="M20" s="4"/>
      <c r="N20" s="4"/>
      <c r="O20" s="4"/>
      <c r="P20" s="4"/>
      <c r="Q20" s="4"/>
      <c r="R20" s="4"/>
      <c r="S20" s="4"/>
      <c r="T20" s="4"/>
      <c r="U20" s="4"/>
      <c r="V20" s="4"/>
      <c r="W20" s="4"/>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12"/>
  <sheetViews>
    <sheetView workbookViewId="0">
      <pane xSplit="2" ySplit="2" topLeftCell="M3" activePane="bottomRight" state="frozen"/>
      <selection pane="topRight" activeCell="C1" sqref="C1"/>
      <selection pane="bottomLeft" activeCell="A3" sqref="A3"/>
      <selection pane="bottomRight" activeCell="W16" sqref="W16"/>
    </sheetView>
  </sheetViews>
  <sheetFormatPr baseColWidth="10" defaultRowHeight="14.4" x14ac:dyDescent="0.3"/>
  <cols>
    <col min="2" max="2" width="28.44140625" bestFit="1" customWidth="1"/>
    <col min="3" max="4" width="11.5546875" bestFit="1" customWidth="1"/>
    <col min="5" max="5" width="12.44140625" bestFit="1" customWidth="1"/>
    <col min="6" max="15" width="11.5546875" bestFit="1" customWidth="1"/>
  </cols>
  <sheetData>
    <row r="1" spans="1:20" x14ac:dyDescent="0.3">
      <c r="A1" s="11"/>
      <c r="B1" s="11"/>
      <c r="C1" s="12" t="s">
        <v>920</v>
      </c>
      <c r="D1" s="12" t="s">
        <v>920</v>
      </c>
      <c r="E1" s="12" t="s">
        <v>920</v>
      </c>
      <c r="F1" s="12" t="s">
        <v>920</v>
      </c>
      <c r="G1" s="12" t="s">
        <v>920</v>
      </c>
      <c r="H1" s="12" t="s">
        <v>920</v>
      </c>
      <c r="I1" s="12" t="s">
        <v>920</v>
      </c>
      <c r="J1" s="12" t="s">
        <v>920</v>
      </c>
      <c r="K1" s="12" t="s">
        <v>920</v>
      </c>
      <c r="L1" s="12" t="s">
        <v>920</v>
      </c>
      <c r="M1" s="12" t="s">
        <v>920</v>
      </c>
      <c r="N1" s="12" t="s">
        <v>920</v>
      </c>
      <c r="O1" s="12" t="s">
        <v>920</v>
      </c>
      <c r="P1" s="12" t="s">
        <v>920</v>
      </c>
      <c r="Q1" s="12" t="s">
        <v>920</v>
      </c>
      <c r="R1" s="12" t="s">
        <v>920</v>
      </c>
      <c r="S1" s="12" t="s">
        <v>920</v>
      </c>
      <c r="T1" s="12" t="s">
        <v>920</v>
      </c>
    </row>
    <row r="2" spans="1:20" x14ac:dyDescent="0.3">
      <c r="A2" s="66" t="s">
        <v>206</v>
      </c>
      <c r="B2" s="66" t="s">
        <v>205</v>
      </c>
      <c r="C2" s="45">
        <v>45413</v>
      </c>
      <c r="D2" s="45">
        <v>45444</v>
      </c>
      <c r="E2" s="45">
        <v>45474</v>
      </c>
      <c r="F2" s="45">
        <v>45505</v>
      </c>
      <c r="G2" s="45">
        <v>45536</v>
      </c>
      <c r="H2" s="45">
        <v>45566</v>
      </c>
      <c r="I2" s="45">
        <v>45597</v>
      </c>
      <c r="J2" s="45">
        <v>45627</v>
      </c>
      <c r="K2" s="45">
        <v>45658</v>
      </c>
      <c r="L2" s="45">
        <v>45689</v>
      </c>
      <c r="M2" s="45">
        <v>45717</v>
      </c>
      <c r="N2" s="45">
        <v>45748</v>
      </c>
      <c r="O2" s="45">
        <v>45778</v>
      </c>
      <c r="P2" s="45">
        <v>45809</v>
      </c>
      <c r="Q2" s="45">
        <v>45839</v>
      </c>
      <c r="R2" s="45">
        <v>45870</v>
      </c>
      <c r="S2" s="45">
        <v>45901</v>
      </c>
      <c r="T2" s="45">
        <v>45931</v>
      </c>
    </row>
    <row r="3" spans="1:20" x14ac:dyDescent="0.3">
      <c r="A3" s="8" t="s">
        <v>2015</v>
      </c>
      <c r="B3" s="8" t="s">
        <v>2016</v>
      </c>
      <c r="C3" s="23">
        <v>16.501678891851316</v>
      </c>
      <c r="D3" s="23">
        <v>14.120592131904784</v>
      </c>
      <c r="E3" s="23">
        <v>12.683033002414483</v>
      </c>
      <c r="F3" s="23">
        <v>16.690613552853122</v>
      </c>
      <c r="G3" s="23">
        <v>17.44456037821293</v>
      </c>
      <c r="H3" s="23">
        <v>14.903734296917063</v>
      </c>
      <c r="I3" s="23">
        <v>23.285330069775036</v>
      </c>
      <c r="J3" s="23">
        <v>28.329664381216933</v>
      </c>
      <c r="K3" s="23">
        <v>26.318076988994168</v>
      </c>
      <c r="L3" s="23">
        <v>28.447745060023067</v>
      </c>
      <c r="M3" s="23">
        <v>38.430394073332337</v>
      </c>
      <c r="N3" s="23">
        <v>44.647492777479741</v>
      </c>
      <c r="O3" s="23">
        <v>42.607393757964452</v>
      </c>
      <c r="P3" s="23">
        <v>49.395760967756942</v>
      </c>
      <c r="Q3" s="23">
        <v>44.158437847776632</v>
      </c>
      <c r="R3" s="23">
        <v>43.431789810153433</v>
      </c>
      <c r="S3" s="23">
        <v>43.313055349381941</v>
      </c>
      <c r="T3" s="23">
        <v>44.170516898202436</v>
      </c>
    </row>
    <row r="4" spans="1:20" x14ac:dyDescent="0.3">
      <c r="A4" s="8" t="s">
        <v>2017</v>
      </c>
      <c r="B4" s="8" t="s">
        <v>2018</v>
      </c>
      <c r="C4" s="23">
        <v>15.833409689913639</v>
      </c>
      <c r="D4" s="23">
        <v>13.324065239605</v>
      </c>
      <c r="E4" s="23">
        <v>11.626775706747827</v>
      </c>
      <c r="F4" s="23">
        <v>11.719796314881819</v>
      </c>
      <c r="G4" s="23">
        <v>13.217849406885</v>
      </c>
      <c r="H4" s="23">
        <v>13.672111761245453</v>
      </c>
      <c r="I4" s="23">
        <v>18.021854673564999</v>
      </c>
      <c r="J4" s="23">
        <v>22.656285314984999</v>
      </c>
      <c r="K4" s="23">
        <v>25.139309968318184</v>
      </c>
      <c r="L4" s="23">
        <v>27.152661656342101</v>
      </c>
      <c r="M4" s="23">
        <v>32.162076927780006</v>
      </c>
      <c r="N4" s="23">
        <v>37.929202098354999</v>
      </c>
      <c r="O4" s="23">
        <v>41.411182399266671</v>
      </c>
      <c r="P4" s="23">
        <v>43.181375998038092</v>
      </c>
      <c r="Q4" s="23">
        <v>40.621937015830433</v>
      </c>
      <c r="R4" s="23">
        <v>39.787599745976188</v>
      </c>
      <c r="S4" s="23">
        <v>39.610849603728575</v>
      </c>
      <c r="T4" s="23">
        <v>39.741509743343478</v>
      </c>
    </row>
    <row r="5" spans="1:20" x14ac:dyDescent="0.3">
      <c r="A5" s="8" t="s">
        <v>2019</v>
      </c>
      <c r="B5" s="8" t="s">
        <v>2020</v>
      </c>
      <c r="C5" s="23">
        <v>2.8265964866125041E-2</v>
      </c>
      <c r="D5" s="23">
        <v>0</v>
      </c>
      <c r="E5" s="23">
        <v>0.25685951408830232</v>
      </c>
      <c r="F5" s="23">
        <v>4.1159391458401124</v>
      </c>
      <c r="G5" s="23">
        <v>3.4774104158018004</v>
      </c>
      <c r="H5" s="23">
        <v>0.31845784617578909</v>
      </c>
      <c r="I5" s="23">
        <v>4.5372047698002573</v>
      </c>
      <c r="J5" s="23">
        <v>4.9065032803728794</v>
      </c>
      <c r="K5" s="23">
        <v>0.43717153727109176</v>
      </c>
      <c r="L5" s="23">
        <v>0.47641235945184141</v>
      </c>
      <c r="M5" s="23">
        <v>5.4495196876937371</v>
      </c>
      <c r="N5" s="23">
        <v>5.6365707306165476</v>
      </c>
      <c r="O5" s="23">
        <v>0.19206836458333973</v>
      </c>
      <c r="P5" s="23">
        <v>5.0445246873859952</v>
      </c>
      <c r="Q5" s="23">
        <v>2.9309081910470507</v>
      </c>
      <c r="R5" s="23">
        <v>2.8825225482205266</v>
      </c>
      <c r="S5" s="23">
        <v>3.0766902947907728</v>
      </c>
      <c r="T5" s="23">
        <v>3.6066109071348023</v>
      </c>
    </row>
    <row r="6" spans="1:20" x14ac:dyDescent="0.3">
      <c r="A6" s="8" t="s">
        <v>2021</v>
      </c>
      <c r="B6" s="8" t="s">
        <v>2022</v>
      </c>
      <c r="C6" s="23">
        <v>0.6318872119439185</v>
      </c>
      <c r="D6" s="23">
        <v>0.79652689229978457</v>
      </c>
      <c r="E6" s="23">
        <v>0.79648859589932708</v>
      </c>
      <c r="F6" s="23">
        <v>0.68851900557903745</v>
      </c>
      <c r="G6" s="23">
        <v>0.66186325938758162</v>
      </c>
      <c r="H6" s="23">
        <v>0.63797675163036183</v>
      </c>
      <c r="I6" s="23">
        <v>0.64022725828344462</v>
      </c>
      <c r="J6" s="23">
        <v>0.6335681050475539</v>
      </c>
      <c r="K6" s="23">
        <v>0.63488958159811293</v>
      </c>
      <c r="L6" s="23">
        <v>0.65765272466568725</v>
      </c>
      <c r="M6" s="23">
        <v>0.63887951429890055</v>
      </c>
      <c r="N6" s="23">
        <v>0.91266393092885534</v>
      </c>
      <c r="O6" s="23">
        <v>0.76473355119957964</v>
      </c>
      <c r="P6" s="23">
        <v>0.82833567674308028</v>
      </c>
      <c r="Q6" s="23">
        <v>0.38154054272861621</v>
      </c>
      <c r="R6" s="23">
        <v>0.37195735508558875</v>
      </c>
      <c r="S6" s="23">
        <v>0.32674531707880616</v>
      </c>
      <c r="T6" s="23">
        <v>0.23338220874733168</v>
      </c>
    </row>
    <row r="7" spans="1:20" x14ac:dyDescent="0.3">
      <c r="A7" s="8" t="s">
        <v>2023</v>
      </c>
      <c r="B7" s="8" t="s">
        <v>2024</v>
      </c>
      <c r="C7" s="23">
        <v>8.1160251276351809E-3</v>
      </c>
      <c r="D7" s="23">
        <v>0</v>
      </c>
      <c r="E7" s="23">
        <v>2.9091856790262171E-3</v>
      </c>
      <c r="F7" s="23">
        <v>0.16635908655215045</v>
      </c>
      <c r="G7" s="23">
        <v>8.7437296138548309E-2</v>
      </c>
      <c r="H7" s="23">
        <v>0.27518793786545909</v>
      </c>
      <c r="I7" s="23">
        <v>8.6043368126331399E-2</v>
      </c>
      <c r="J7" s="23">
        <v>0.13330768081149744</v>
      </c>
      <c r="K7" s="23">
        <v>0.10670590180677922</v>
      </c>
      <c r="L7" s="23">
        <v>0.16101831956343679</v>
      </c>
      <c r="M7" s="23">
        <v>0.17991794355969379</v>
      </c>
      <c r="N7" s="23">
        <v>0.16905601757933489</v>
      </c>
      <c r="O7" s="23">
        <v>0.23940944291486024</v>
      </c>
      <c r="P7" s="23">
        <v>0.34152460558977454</v>
      </c>
      <c r="Q7" s="23">
        <v>0.2240520981705309</v>
      </c>
      <c r="R7" s="23">
        <v>0.38971016087112886</v>
      </c>
      <c r="S7" s="23">
        <v>0.29877013378378903</v>
      </c>
      <c r="T7" s="23">
        <v>0.58901403897682725</v>
      </c>
    </row>
    <row r="8" spans="1:20" x14ac:dyDescent="0.3">
      <c r="A8" s="8" t="s">
        <v>2025</v>
      </c>
      <c r="B8" s="8" t="s">
        <v>2026</v>
      </c>
      <c r="C8" s="44">
        <v>6.3870057125498605E-2</v>
      </c>
      <c r="D8" s="44">
        <v>5.4654016238067933E-2</v>
      </c>
      <c r="E8" s="44">
        <v>4.9089916710766637E-2</v>
      </c>
      <c r="F8" s="44">
        <v>6.4601332268486078E-2</v>
      </c>
      <c r="G8" s="44">
        <v>6.7519497572811477E-2</v>
      </c>
      <c r="H8" s="44">
        <v>5.7685182651166719E-2</v>
      </c>
      <c r="I8" s="44">
        <v>9.0126306025566441E-2</v>
      </c>
      <c r="J8" s="44">
        <v>0.10965049642724752</v>
      </c>
      <c r="K8" s="44">
        <v>0.11005106871909415</v>
      </c>
      <c r="L8" s="44">
        <v>0.11895644000939294</v>
      </c>
      <c r="M8" s="44">
        <v>0.16069965677335768</v>
      </c>
      <c r="N8" s="44">
        <v>0.18669693450036026</v>
      </c>
      <c r="O8" s="44">
        <v>0.1781661031070057</v>
      </c>
      <c r="P8" s="44">
        <v>0.20386708627816197</v>
      </c>
      <c r="Q8" s="44">
        <v>0.18225151070145226</v>
      </c>
      <c r="R8" s="44">
        <v>0.17925247565719646</v>
      </c>
      <c r="S8" s="44">
        <v>0.17876243262346136</v>
      </c>
      <c r="T8" s="44">
        <v>0.18230136357884638</v>
      </c>
    </row>
    <row r="9" spans="1:20" x14ac:dyDescent="0.3">
      <c r="A9" s="8" t="s">
        <v>2027</v>
      </c>
      <c r="B9" s="8" t="s">
        <v>2028</v>
      </c>
      <c r="C9" s="44">
        <v>0.24513403466736639</v>
      </c>
      <c r="D9" s="44">
        <v>0.20628417594955811</v>
      </c>
      <c r="E9" s="44">
        <v>0.18000661228283804</v>
      </c>
      <c r="F9" s="44">
        <v>0.18144676430477577</v>
      </c>
      <c r="G9" s="44">
        <v>0.2046397344723194</v>
      </c>
      <c r="H9" s="44">
        <v>0.21167265826464768</v>
      </c>
      <c r="I9" s="44">
        <v>0.2790157038085217</v>
      </c>
      <c r="J9" s="44">
        <v>0.35076630609610465</v>
      </c>
      <c r="K9" s="44">
        <v>0.36792687228281595</v>
      </c>
      <c r="L9" s="44">
        <v>0.39739332105621183</v>
      </c>
      <c r="M9" s="44">
        <v>0.47070871814183934</v>
      </c>
      <c r="N9" s="44">
        <v>0.55511359356392764</v>
      </c>
      <c r="O9" s="44">
        <v>0.60607418568357352</v>
      </c>
      <c r="P9" s="44">
        <v>0.62376637120376344</v>
      </c>
      <c r="Q9" s="44">
        <v>0.58679459970853232</v>
      </c>
      <c r="R9" s="44">
        <v>0.57474237767649972</v>
      </c>
      <c r="S9" s="44">
        <v>0.57218917523004331</v>
      </c>
      <c r="T9" s="44">
        <v>0.57407659542601552</v>
      </c>
    </row>
    <row r="10" spans="1:20" x14ac:dyDescent="0.3">
      <c r="A10" s="8" t="s">
        <v>2029</v>
      </c>
      <c r="B10" s="8" t="s">
        <v>2030</v>
      </c>
      <c r="C10" s="44">
        <v>4.3761578504554249E-4</v>
      </c>
      <c r="D10" s="44">
        <v>0</v>
      </c>
      <c r="E10" s="44">
        <v>3.9767182346879719E-3</v>
      </c>
      <c r="F10" s="44">
        <v>6.3723278120433949E-2</v>
      </c>
      <c r="G10" s="44">
        <v>5.383752849917376E-2</v>
      </c>
      <c r="H10" s="44">
        <v>4.9303882254926046E-3</v>
      </c>
      <c r="I10" s="44">
        <v>7.0245344061404313E-2</v>
      </c>
      <c r="J10" s="44">
        <v>7.5962851260815992E-2</v>
      </c>
      <c r="K10" s="44">
        <v>6.3982327502994686E-3</v>
      </c>
      <c r="L10" s="44">
        <v>6.9725425857310912E-3</v>
      </c>
      <c r="M10" s="44">
        <v>7.975655404478553E-2</v>
      </c>
      <c r="N10" s="44">
        <v>8.249414331300968E-2</v>
      </c>
      <c r="O10" s="44">
        <v>2.8110203794249724E-3</v>
      </c>
      <c r="P10" s="44">
        <v>7.2869490283068439E-2</v>
      </c>
      <c r="Q10" s="44">
        <v>4.2337742242022768E-2</v>
      </c>
      <c r="R10" s="44">
        <v>4.1638798863154212E-2</v>
      </c>
      <c r="S10" s="44">
        <v>4.4443603200293384E-2</v>
      </c>
      <c r="T10" s="44">
        <v>5.2098446283638612E-2</v>
      </c>
    </row>
    <row r="11" spans="1:20" x14ac:dyDescent="0.3">
      <c r="A11" s="8" t="s">
        <v>2031</v>
      </c>
      <c r="B11" s="8" t="s">
        <v>2032</v>
      </c>
      <c r="C11" s="44">
        <v>9.7829251407042239E-3</v>
      </c>
      <c r="D11" s="44">
        <v>1.2331889002713604E-2</v>
      </c>
      <c r="E11" s="44">
        <v>1.23312960949735E-2</v>
      </c>
      <c r="F11" s="44">
        <v>1.0659702811218863E-2</v>
      </c>
      <c r="G11" s="44">
        <v>1.0247016552292376E-2</v>
      </c>
      <c r="H11" s="44">
        <v>9.8772038502077004E-3</v>
      </c>
      <c r="I11" s="44">
        <v>9.9120463627631224E-3</v>
      </c>
      <c r="J11" s="44">
        <v>9.8089488536257166E-3</v>
      </c>
      <c r="K11" s="44">
        <v>1.8583878260519073E-2</v>
      </c>
      <c r="L11" s="44">
        <v>1.9250179128978365E-2</v>
      </c>
      <c r="M11" s="44">
        <v>1.8700667739710807E-2</v>
      </c>
      <c r="N11" s="44">
        <v>2.6714622316617091E-2</v>
      </c>
      <c r="O11" s="44">
        <v>2.2384546272525663E-2</v>
      </c>
      <c r="P11" s="44">
        <v>2.393105487162429E-2</v>
      </c>
      <c r="Q11" s="44">
        <v>1.1022907644988263E-2</v>
      </c>
      <c r="R11" s="44">
        <v>1.0746044296264612E-2</v>
      </c>
      <c r="S11" s="44">
        <v>9.439844656702466E-3</v>
      </c>
      <c r="T11" s="44">
        <v>6.7425351827814116E-3</v>
      </c>
    </row>
    <row r="12" spans="1:20" x14ac:dyDescent="0.3">
      <c r="A12" s="8" t="s">
        <v>2033</v>
      </c>
      <c r="B12" s="8" t="s">
        <v>2034</v>
      </c>
      <c r="C12" s="44">
        <v>1.2565290887826391E-4</v>
      </c>
      <c r="D12" s="44">
        <v>0</v>
      </c>
      <c r="E12" s="44">
        <v>4.5040230567046503E-5</v>
      </c>
      <c r="F12" s="44">
        <v>2.5755838375157137E-3</v>
      </c>
      <c r="G12" s="44">
        <v>1.3537107674603847E-3</v>
      </c>
      <c r="H12" s="44">
        <v>4.2604802643188893E-3</v>
      </c>
      <c r="I12" s="44">
        <v>1.3321298695765722E-3</v>
      </c>
      <c r="J12" s="44">
        <v>2.0638794984436525E-3</v>
      </c>
      <c r="K12" s="44">
        <v>1.5616963534545274E-3</v>
      </c>
      <c r="L12" s="44">
        <v>2.3565868264431764E-3</v>
      </c>
      <c r="M12" s="44">
        <v>2.6331926502715735E-3</v>
      </c>
      <c r="N12" s="44">
        <v>2.4742227160149308E-3</v>
      </c>
      <c r="O12" s="44">
        <v>3.5038816752585985E-3</v>
      </c>
      <c r="P12" s="23">
        <v>4.933413050922905E-3</v>
      </c>
      <c r="Q12" s="23">
        <v>3.2364916820337344E-3</v>
      </c>
      <c r="R12" s="23">
        <v>5.6294661124014073E-3</v>
      </c>
      <c r="S12" s="23">
        <v>4.315813423426902E-3</v>
      </c>
      <c r="T12" s="23">
        <v>8.5084632249176236E-3</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86"/>
  <sheetViews>
    <sheetView tabSelected="1" zoomScaleNormal="100" workbookViewId="0">
      <pane xSplit="2" ySplit="2" topLeftCell="K3" activePane="bottomRight" state="frozen"/>
      <selection pane="topRight" activeCell="C1" sqref="C1"/>
      <selection pane="bottomLeft" activeCell="A2" sqref="A2"/>
      <selection pane="bottomRight" activeCell="N3" sqref="N3:N86"/>
    </sheetView>
  </sheetViews>
  <sheetFormatPr baseColWidth="10" defaultColWidth="9.44140625" defaultRowHeight="14.4" x14ac:dyDescent="0.3"/>
  <cols>
    <col min="1" max="1" width="11.44140625" bestFit="1" customWidth="1"/>
    <col min="2" max="2" width="26.44140625" bestFit="1" customWidth="1"/>
    <col min="3" max="14" width="10.5546875" bestFit="1" customWidth="1"/>
  </cols>
  <sheetData>
    <row r="1" spans="1:20" x14ac:dyDescent="0.3">
      <c r="C1" s="1" t="s">
        <v>92</v>
      </c>
      <c r="D1" s="1" t="s">
        <v>92</v>
      </c>
      <c r="E1" s="1" t="s">
        <v>92</v>
      </c>
      <c r="F1" s="1" t="s">
        <v>92</v>
      </c>
      <c r="G1" s="1" t="s">
        <v>92</v>
      </c>
      <c r="H1" s="1" t="s">
        <v>92</v>
      </c>
      <c r="I1" s="1" t="s">
        <v>92</v>
      </c>
      <c r="J1" s="1" t="s">
        <v>92</v>
      </c>
      <c r="K1" s="1" t="s">
        <v>2937</v>
      </c>
      <c r="L1" s="1" t="s">
        <v>92</v>
      </c>
      <c r="M1" s="1" t="s">
        <v>92</v>
      </c>
      <c r="N1" s="1" t="s">
        <v>92</v>
      </c>
      <c r="O1" s="1"/>
      <c r="P1" s="1"/>
      <c r="Q1" s="1"/>
      <c r="R1" s="1"/>
      <c r="S1" s="1"/>
      <c r="T1" s="3"/>
    </row>
    <row r="2" spans="1:20" x14ac:dyDescent="0.3">
      <c r="A2" s="71" t="s">
        <v>206</v>
      </c>
      <c r="B2" s="71" t="s">
        <v>205</v>
      </c>
      <c r="C2" s="72">
        <v>45627</v>
      </c>
      <c r="D2" s="72">
        <v>45658</v>
      </c>
      <c r="E2" s="72">
        <v>45689</v>
      </c>
      <c r="F2" s="72">
        <v>45717</v>
      </c>
      <c r="G2" s="72">
        <v>45748</v>
      </c>
      <c r="H2" s="72">
        <v>45778</v>
      </c>
      <c r="I2" s="72">
        <v>45809</v>
      </c>
      <c r="J2" s="72">
        <v>45839</v>
      </c>
      <c r="K2" s="72">
        <v>45870</v>
      </c>
      <c r="L2" s="72">
        <v>45901</v>
      </c>
      <c r="M2" s="72">
        <v>45931</v>
      </c>
      <c r="N2" s="72">
        <v>45962</v>
      </c>
    </row>
    <row r="3" spans="1:20" x14ac:dyDescent="0.3">
      <c r="A3" t="s">
        <v>2214</v>
      </c>
      <c r="B3" t="s">
        <v>334</v>
      </c>
      <c r="C3" s="73">
        <f t="shared" ref="C3:E4" si="0">C6+C9</f>
        <v>177175.98061861738</v>
      </c>
      <c r="D3" s="73">
        <f t="shared" si="0"/>
        <v>179207.55256700001</v>
      </c>
      <c r="E3" s="73">
        <f t="shared" si="0"/>
        <v>178846.43304510441</v>
      </c>
      <c r="F3" s="73">
        <f>F6+F9</f>
        <v>181059.2580155578</v>
      </c>
      <c r="G3" s="73">
        <f t="shared" ref="G3:G4" si="1">G6+G9</f>
        <v>181176.40724161937</v>
      </c>
      <c r="H3" s="73">
        <f t="shared" ref="H3:M3" si="2">H6+H9</f>
        <v>183596.33923961982</v>
      </c>
      <c r="I3" s="73">
        <f t="shared" si="2"/>
        <v>183796.07196599999</v>
      </c>
      <c r="J3" s="73">
        <f t="shared" si="2"/>
        <v>184500.58831399999</v>
      </c>
      <c r="K3" s="73">
        <v>186146.03276</v>
      </c>
      <c r="L3" s="73">
        <v>188175.752855</v>
      </c>
      <c r="M3" s="73">
        <f t="shared" si="2"/>
        <v>188636.87634699998</v>
      </c>
      <c r="N3" s="73">
        <v>188918.92822</v>
      </c>
    </row>
    <row r="4" spans="1:20" x14ac:dyDescent="0.3">
      <c r="A4" t="s">
        <v>2215</v>
      </c>
      <c r="B4" t="s">
        <v>2216</v>
      </c>
      <c r="C4" s="73">
        <f t="shared" si="0"/>
        <v>2344080.2540174956</v>
      </c>
      <c r="D4" s="73">
        <f t="shared" si="0"/>
        <v>2364128.2423000992</v>
      </c>
      <c r="E4" s="73">
        <f t="shared" si="0"/>
        <v>2357464.6460782257</v>
      </c>
      <c r="F4" s="73">
        <f>F7+F10</f>
        <v>2382224.3052466242</v>
      </c>
      <c r="G4" s="73">
        <f t="shared" si="1"/>
        <v>2382595.7763156937</v>
      </c>
      <c r="H4" s="73">
        <f t="shared" ref="H4:M4" si="3">H7+H10</f>
        <v>2411140.0789613877</v>
      </c>
      <c r="I4" s="73">
        <f t="shared" si="3"/>
        <v>2404003.0821146392</v>
      </c>
      <c r="J4" s="73">
        <f t="shared" si="3"/>
        <v>2393989.1489819391</v>
      </c>
      <c r="K4" s="73">
        <v>2401230.5945690181</v>
      </c>
      <c r="L4" s="73">
        <v>2404508.1993334098</v>
      </c>
      <c r="M4" s="73">
        <f t="shared" si="3"/>
        <v>2392855.2730856463</v>
      </c>
      <c r="N4" s="73">
        <v>2389416.3088444881</v>
      </c>
    </row>
    <row r="5" spans="1:20" x14ac:dyDescent="0.3">
      <c r="A5" t="s">
        <v>2217</v>
      </c>
      <c r="B5" t="s">
        <v>2218</v>
      </c>
      <c r="C5" s="74">
        <f t="shared" ref="C5:G5" si="4">IFERROR(C4/C3,0)</f>
        <v>13.230237224216516</v>
      </c>
      <c r="D5" s="74">
        <f t="shared" si="4"/>
        <v>13.192123928014846</v>
      </c>
      <c r="E5" s="74">
        <f t="shared" si="4"/>
        <v>13.181502174458698</v>
      </c>
      <c r="F5" s="74">
        <f t="shared" si="4"/>
        <v>13.157152698824866</v>
      </c>
      <c r="G5" s="74">
        <f t="shared" si="4"/>
        <v>13.150695571185663</v>
      </c>
      <c r="H5" s="74">
        <f t="shared" ref="H5:M5" si="5">IFERROR(H4/H3,0)</f>
        <v>13.132833088869493</v>
      </c>
      <c r="I5" s="74">
        <f t="shared" si="5"/>
        <v>13.079730466488698</v>
      </c>
      <c r="J5" s="74">
        <f t="shared" si="5"/>
        <v>12.975509568065057</v>
      </c>
      <c r="K5" s="74">
        <v>12.89971405227287</v>
      </c>
      <c r="L5" s="74">
        <v>12.777991653293496</v>
      </c>
      <c r="M5" s="74">
        <f t="shared" si="5"/>
        <v>12.684981427936487</v>
      </c>
      <c r="N5" s="74">
        <v>12.647839638715096</v>
      </c>
    </row>
    <row r="6" spans="1:20" x14ac:dyDescent="0.3">
      <c r="A6" t="s">
        <v>2219</v>
      </c>
      <c r="B6" t="s">
        <v>2220</v>
      </c>
      <c r="C6" s="73">
        <f t="shared" ref="C6:E7" si="6">C15+C24+C33+C42+C51+C60</f>
        <v>164439.59955224209</v>
      </c>
      <c r="D6" s="73">
        <f t="shared" si="6"/>
        <v>165482.80786739371</v>
      </c>
      <c r="E6" s="73">
        <f t="shared" si="6"/>
        <v>165208.29982258132</v>
      </c>
      <c r="F6" s="73">
        <f>F15+F24+F33+F42+F51+F60</f>
        <v>167592.09393122469</v>
      </c>
      <c r="G6" s="73">
        <f t="shared" ref="G6:G7" si="7">G15+G24+G33+G42+G51+G60</f>
        <v>168375.75440514798</v>
      </c>
      <c r="H6" s="73">
        <f t="shared" ref="H6:M6" si="8">H15+H24+H33+H42+H51+H60</f>
        <v>171186.22788281541</v>
      </c>
      <c r="I6" s="73">
        <f t="shared" si="8"/>
        <v>172062.32062230396</v>
      </c>
      <c r="J6" s="73">
        <f t="shared" si="8"/>
        <v>172893.03005794671</v>
      </c>
      <c r="K6" s="73">
        <v>174551.20955497754</v>
      </c>
      <c r="L6" s="73">
        <v>175903.38426428274</v>
      </c>
      <c r="M6" s="73">
        <f t="shared" si="8"/>
        <v>176434.78406020248</v>
      </c>
      <c r="N6" s="73">
        <v>177248.07827589219</v>
      </c>
    </row>
    <row r="7" spans="1:20" x14ac:dyDescent="0.3">
      <c r="A7" t="s">
        <v>2221</v>
      </c>
      <c r="B7" t="s">
        <v>2216</v>
      </c>
      <c r="C7" s="73">
        <f t="shared" si="6"/>
        <v>2246184.4691927154</v>
      </c>
      <c r="D7" s="73">
        <f t="shared" si="6"/>
        <v>2260791.9401178439</v>
      </c>
      <c r="E7" s="73">
        <f t="shared" si="6"/>
        <v>2255239.2047137008</v>
      </c>
      <c r="F7" s="73">
        <f>F16+F25+F34+F43+F52+F61</f>
        <v>2281458.8171094344</v>
      </c>
      <c r="G7" s="73">
        <f t="shared" si="7"/>
        <v>2286445.5748629686</v>
      </c>
      <c r="H7" s="73">
        <f t="shared" ref="H7:M7" si="9">H16+H25+H34+H43+H52+H61</f>
        <v>2317343.1718732691</v>
      </c>
      <c r="I7" s="73">
        <f t="shared" si="9"/>
        <v>2315148.0098653059</v>
      </c>
      <c r="J7" s="73">
        <f t="shared" si="9"/>
        <v>2306029.5400656136</v>
      </c>
      <c r="K7" s="73">
        <v>2313611.9486011658</v>
      </c>
      <c r="L7" s="73">
        <v>2314084.0034200479</v>
      </c>
      <c r="M7" s="73">
        <f t="shared" si="9"/>
        <v>2302780.0854900377</v>
      </c>
      <c r="N7" s="73">
        <v>2302534.6533426368</v>
      </c>
    </row>
    <row r="8" spans="1:20" x14ac:dyDescent="0.3">
      <c r="A8" t="s">
        <v>2222</v>
      </c>
      <c r="B8" t="s">
        <v>2218</v>
      </c>
      <c r="C8" s="74">
        <f t="shared" ref="C8:G8" si="10">IFERROR(C7/C6,0)</f>
        <v>13.659632322803777</v>
      </c>
      <c r="D8" s="74">
        <f t="shared" si="10"/>
        <v>13.661793447023715</v>
      </c>
      <c r="E8" s="74">
        <f t="shared" si="10"/>
        <v>13.650883200999118</v>
      </c>
      <c r="F8" s="74">
        <f t="shared" si="10"/>
        <v>13.613164938709364</v>
      </c>
      <c r="G8" s="74">
        <f t="shared" si="10"/>
        <v>13.579422898152503</v>
      </c>
      <c r="H8" s="74">
        <f t="shared" ref="H8:I8" si="11">IFERROR(H7/H6,0)</f>
        <v>13.536971989706986</v>
      </c>
      <c r="I8" s="74">
        <f t="shared" si="11"/>
        <v>13.45528760446812</v>
      </c>
      <c r="J8" s="74">
        <f t="shared" ref="J8:M8" si="12">IFERROR(J7/J6,0)</f>
        <v>13.337897654363083</v>
      </c>
      <c r="K8" s="74">
        <v>13.254631431657073</v>
      </c>
      <c r="L8" s="74">
        <v>13.155426276184066</v>
      </c>
      <c r="M8" s="74">
        <f t="shared" si="12"/>
        <v>13.05173522191798</v>
      </c>
      <c r="N8" s="74">
        <v>12.990463285918787</v>
      </c>
    </row>
    <row r="9" spans="1:20" x14ac:dyDescent="0.3">
      <c r="A9" t="s">
        <v>2223</v>
      </c>
      <c r="B9" t="s">
        <v>2224</v>
      </c>
      <c r="C9" s="73">
        <f t="shared" ref="C9:G10" si="13">C18+C27+C36+C45+C54+C63</f>
        <v>12736.381066375301</v>
      </c>
      <c r="D9" s="73">
        <f t="shared" si="13"/>
        <v>13724.744699606286</v>
      </c>
      <c r="E9" s="73">
        <f t="shared" si="13"/>
        <v>13638.1332225231</v>
      </c>
      <c r="F9" s="73">
        <f t="shared" si="13"/>
        <v>13467.164084333099</v>
      </c>
      <c r="G9" s="73">
        <f t="shared" si="13"/>
        <v>12800.652836471399</v>
      </c>
      <c r="H9" s="73">
        <f t="shared" ref="H9:I9" si="14">H18+H27+H36+H45+H54+H63</f>
        <v>12410.1113568044</v>
      </c>
      <c r="I9" s="73">
        <f t="shared" si="14"/>
        <v>11733.751343696036</v>
      </c>
      <c r="J9" s="73">
        <f t="shared" ref="J9:M9" si="15">J18+J27+J36+J45+J54+J63</f>
        <v>11607.558256053289</v>
      </c>
      <c r="K9" s="73">
        <v>11594.823205022454</v>
      </c>
      <c r="L9" s="73">
        <v>12272.368590717251</v>
      </c>
      <c r="M9" s="73">
        <f t="shared" si="15"/>
        <v>12202.092286797506</v>
      </c>
      <c r="N9" s="73">
        <v>11670.849944107809</v>
      </c>
    </row>
    <row r="10" spans="1:20" x14ac:dyDescent="0.3">
      <c r="A10" t="s">
        <v>2225</v>
      </c>
      <c r="B10" t="s">
        <v>2216</v>
      </c>
      <c r="C10" s="73">
        <f t="shared" si="13"/>
        <v>97895.78482478029</v>
      </c>
      <c r="D10" s="73">
        <f t="shared" si="13"/>
        <v>103336.3021822552</v>
      </c>
      <c r="E10" s="73">
        <f t="shared" si="13"/>
        <v>102225.44136452468</v>
      </c>
      <c r="F10" s="73">
        <f t="shared" si="13"/>
        <v>100765.48813718998</v>
      </c>
      <c r="G10" s="73">
        <f t="shared" si="13"/>
        <v>96150.201452725203</v>
      </c>
      <c r="H10" s="73">
        <f t="shared" ref="H10:M10" si="16">H19+H28+H37+H46+H55+H64</f>
        <v>93796.907088118547</v>
      </c>
      <c r="I10" s="73">
        <f t="shared" si="16"/>
        <v>88855.072249333229</v>
      </c>
      <c r="J10" s="73">
        <f t="shared" si="16"/>
        <v>87959.60891632532</v>
      </c>
      <c r="K10" s="73">
        <v>87618.645967852135</v>
      </c>
      <c r="L10" s="73">
        <v>90424.195913361618</v>
      </c>
      <c r="M10" s="73">
        <f t="shared" si="16"/>
        <v>90075.18759560879</v>
      </c>
      <c r="N10" s="73">
        <v>86881.655501851201</v>
      </c>
    </row>
    <row r="11" spans="1:20" x14ac:dyDescent="0.3">
      <c r="A11" t="s">
        <v>2226</v>
      </c>
      <c r="B11" t="s">
        <v>2218</v>
      </c>
      <c r="C11" s="74">
        <f t="shared" ref="C11:G11" si="17">IFERROR(C10/C9,0)</f>
        <v>7.6863109163112417</v>
      </c>
      <c r="D11" s="74">
        <f t="shared" si="17"/>
        <v>7.5291966768037257</v>
      </c>
      <c r="E11" s="74">
        <f t="shared" si="17"/>
        <v>7.4955596705641092</v>
      </c>
      <c r="F11" s="74">
        <f t="shared" si="17"/>
        <v>7.4823093790335999</v>
      </c>
      <c r="G11" s="74">
        <f t="shared" si="17"/>
        <v>7.5113513881710556</v>
      </c>
      <c r="H11" s="74">
        <f t="shared" ref="H11:M11" si="18">IFERROR(H10/H9,0)</f>
        <v>7.5581035811326691</v>
      </c>
      <c r="I11" s="74">
        <f t="shared" si="18"/>
        <v>7.5726056950295488</v>
      </c>
      <c r="J11" s="74">
        <f t="shared" si="18"/>
        <v>7.5777874188531236</v>
      </c>
      <c r="K11" s="74">
        <v>7.5567039202373465</v>
      </c>
      <c r="L11" s="74">
        <v>7.3681127848260655</v>
      </c>
      <c r="M11" s="74">
        <f t="shared" si="18"/>
        <v>7.3819461022327202</v>
      </c>
      <c r="N11" s="74">
        <v>7.4443297547249001</v>
      </c>
    </row>
    <row r="12" spans="1:20" x14ac:dyDescent="0.3">
      <c r="A12" t="s">
        <v>2227</v>
      </c>
      <c r="B12" t="s">
        <v>2228</v>
      </c>
      <c r="C12" s="73">
        <f t="shared" ref="C12:E13" si="19">C15+C18</f>
        <v>10396.076970730499</v>
      </c>
      <c r="D12" s="73">
        <f t="shared" si="19"/>
        <v>10484.840624939501</v>
      </c>
      <c r="E12" s="73">
        <f t="shared" si="19"/>
        <v>10594.303280356002</v>
      </c>
      <c r="F12" s="73">
        <f>F15+F18</f>
        <v>10703.811186691099</v>
      </c>
      <c r="G12" s="73">
        <f t="shared" ref="G12:G13" si="20">G15+G18</f>
        <v>10779.964119889601</v>
      </c>
      <c r="H12" s="73">
        <f t="shared" ref="H12:J12" si="21">H15+H18</f>
        <v>10864.9758001351</v>
      </c>
      <c r="I12" s="73">
        <f t="shared" si="21"/>
        <v>11031.4482650478</v>
      </c>
      <c r="J12" s="73">
        <f t="shared" si="21"/>
        <v>11260.4659170017</v>
      </c>
      <c r="K12" s="73">
        <v>11404.757183952601</v>
      </c>
      <c r="L12" s="73">
        <v>11548.863029154199</v>
      </c>
      <c r="M12" s="73">
        <v>11695.9348427077</v>
      </c>
      <c r="N12" s="73">
        <v>11795.5522230118</v>
      </c>
    </row>
    <row r="13" spans="1:20" x14ac:dyDescent="0.3">
      <c r="A13" t="s">
        <v>2229</v>
      </c>
      <c r="B13" t="s">
        <v>2216</v>
      </c>
      <c r="C13" s="73">
        <f t="shared" si="19"/>
        <v>136084.96954972899</v>
      </c>
      <c r="D13" s="73">
        <f t="shared" si="19"/>
        <v>138101.06909344101</v>
      </c>
      <c r="E13" s="73">
        <f t="shared" si="19"/>
        <v>140358.89562719001</v>
      </c>
      <c r="F13" s="73">
        <f>F16+F19</f>
        <v>142490.737974663</v>
      </c>
      <c r="G13" s="73">
        <f t="shared" si="20"/>
        <v>144065.67538766799</v>
      </c>
      <c r="H13" s="73">
        <f t="shared" ref="H13:J13" si="22">H16+H19</f>
        <v>145679.36137123802</v>
      </c>
      <c r="I13" s="73">
        <f t="shared" si="22"/>
        <v>148234.37630063502</v>
      </c>
      <c r="J13" s="73">
        <f t="shared" si="22"/>
        <v>151546.94380369</v>
      </c>
      <c r="K13" s="73">
        <v>153737.875417809</v>
      </c>
      <c r="L13" s="73">
        <v>155899.38875094199</v>
      </c>
      <c r="M13" s="73">
        <v>157983.90684917598</v>
      </c>
      <c r="N13" s="73">
        <v>159288.796793863</v>
      </c>
    </row>
    <row r="14" spans="1:20" x14ac:dyDescent="0.3">
      <c r="A14" t="s">
        <v>2230</v>
      </c>
      <c r="B14" t="s">
        <v>2218</v>
      </c>
      <c r="C14" s="74">
        <f t="shared" ref="C14:G14" si="23">IFERROR(C13/C12,0)</f>
        <v>13.090030973497759</v>
      </c>
      <c r="D14" s="74">
        <f t="shared" si="23"/>
        <v>13.171499122738251</v>
      </c>
      <c r="E14" s="74">
        <f t="shared" si="23"/>
        <v>13.248525354889926</v>
      </c>
      <c r="F14" s="74">
        <f t="shared" si="23"/>
        <v>13.312149802477187</v>
      </c>
      <c r="G14" s="74">
        <f t="shared" si="23"/>
        <v>13.364207318822077</v>
      </c>
      <c r="H14" s="74">
        <f t="shared" ref="H14:J14" si="24">IFERROR(H13/H12,0)</f>
        <v>13.40816252618129</v>
      </c>
      <c r="I14" s="74">
        <f t="shared" si="24"/>
        <v>13.437435660220876</v>
      </c>
      <c r="J14" s="74">
        <f t="shared" si="24"/>
        <v>13.458319124688765</v>
      </c>
      <c r="K14" s="74">
        <v>13.480153320066332</v>
      </c>
      <c r="L14" s="74">
        <v>13.49911141533034</v>
      </c>
      <c r="M14" s="74">
        <v>13.507591224969707</v>
      </c>
      <c r="N14" s="74">
        <v>13.504140694922992</v>
      </c>
    </row>
    <row r="15" spans="1:20" x14ac:dyDescent="0.3">
      <c r="A15" t="s">
        <v>2231</v>
      </c>
      <c r="B15" t="s">
        <v>2232</v>
      </c>
      <c r="C15" s="73">
        <v>10396.076970730499</v>
      </c>
      <c r="D15" s="73">
        <v>10484.840624939501</v>
      </c>
      <c r="E15" s="73">
        <v>10594.303280356002</v>
      </c>
      <c r="F15" s="73">
        <v>10703.811186691099</v>
      </c>
      <c r="G15" s="73">
        <v>10779.964119889601</v>
      </c>
      <c r="H15" s="73">
        <v>10864.9758001351</v>
      </c>
      <c r="I15" s="73">
        <v>11031.4482650478</v>
      </c>
      <c r="J15" s="73">
        <v>11260.4659170017</v>
      </c>
      <c r="K15" s="73">
        <v>11404.757183952601</v>
      </c>
      <c r="L15" s="73">
        <v>11548.863029154199</v>
      </c>
      <c r="M15" s="73">
        <v>11695.9348427077</v>
      </c>
      <c r="N15" s="73">
        <v>11795.5522230118</v>
      </c>
    </row>
    <row r="16" spans="1:20" x14ac:dyDescent="0.3">
      <c r="A16" t="s">
        <v>2233</v>
      </c>
      <c r="B16" t="s">
        <v>2216</v>
      </c>
      <c r="C16" s="73">
        <v>136084.96954972899</v>
      </c>
      <c r="D16" s="73">
        <v>138101.06909344101</v>
      </c>
      <c r="E16" s="73">
        <v>140358.89562719001</v>
      </c>
      <c r="F16" s="73">
        <v>142490.737974663</v>
      </c>
      <c r="G16" s="73">
        <v>144065.67538766799</v>
      </c>
      <c r="H16" s="73">
        <v>145679.36137123802</v>
      </c>
      <c r="I16" s="73">
        <v>148234.37630063502</v>
      </c>
      <c r="J16" s="73">
        <v>151546.94380369</v>
      </c>
      <c r="K16" s="73">
        <v>153737.875417809</v>
      </c>
      <c r="L16" s="73">
        <v>155899.38875094199</v>
      </c>
      <c r="M16" s="73">
        <v>157983.90684917598</v>
      </c>
      <c r="N16" s="73">
        <v>159288.796793863</v>
      </c>
    </row>
    <row r="17" spans="1:14" x14ac:dyDescent="0.3">
      <c r="A17" t="s">
        <v>2234</v>
      </c>
      <c r="B17" t="s">
        <v>2218</v>
      </c>
      <c r="C17" s="74">
        <f t="shared" ref="C17:J17" si="25">IFERROR(C16/C15,0)</f>
        <v>13.090030973497759</v>
      </c>
      <c r="D17" s="74">
        <f t="shared" si="25"/>
        <v>13.171499122738251</v>
      </c>
      <c r="E17" s="74">
        <f t="shared" si="25"/>
        <v>13.248525354889926</v>
      </c>
      <c r="F17" s="74">
        <f t="shared" si="25"/>
        <v>13.312149802477187</v>
      </c>
      <c r="G17" s="74">
        <f t="shared" si="25"/>
        <v>13.364207318822077</v>
      </c>
      <c r="H17" s="74">
        <f t="shared" si="25"/>
        <v>13.40816252618129</v>
      </c>
      <c r="I17" s="74">
        <f t="shared" si="25"/>
        <v>13.437435660220876</v>
      </c>
      <c r="J17" s="74">
        <f t="shared" si="25"/>
        <v>13.458319124688765</v>
      </c>
      <c r="K17" s="74">
        <v>13.480153320066332</v>
      </c>
      <c r="L17" s="74">
        <v>13.49911141533034</v>
      </c>
      <c r="M17" s="74">
        <v>13.507591224969707</v>
      </c>
      <c r="N17" s="74">
        <v>13.504140694922992</v>
      </c>
    </row>
    <row r="18" spans="1:14" x14ac:dyDescent="0.3">
      <c r="A18" t="s">
        <v>2235</v>
      </c>
      <c r="B18" t="s">
        <v>2236</v>
      </c>
      <c r="C18" s="73">
        <v>0</v>
      </c>
      <c r="D18" s="73">
        <v>0</v>
      </c>
      <c r="E18" s="73">
        <v>0</v>
      </c>
      <c r="F18" s="73">
        <v>0</v>
      </c>
      <c r="G18" s="73">
        <v>0</v>
      </c>
      <c r="H18" s="73">
        <v>0</v>
      </c>
      <c r="I18" s="73">
        <v>0</v>
      </c>
      <c r="J18" s="73">
        <v>0</v>
      </c>
      <c r="K18" s="73">
        <v>0</v>
      </c>
      <c r="L18" s="73">
        <v>0</v>
      </c>
      <c r="M18" s="73">
        <v>0</v>
      </c>
      <c r="N18" s="73">
        <v>0</v>
      </c>
    </row>
    <row r="19" spans="1:14" x14ac:dyDescent="0.3">
      <c r="A19" t="s">
        <v>2237</v>
      </c>
      <c r="B19" t="s">
        <v>2216</v>
      </c>
      <c r="C19" s="73">
        <v>0</v>
      </c>
      <c r="D19" s="73">
        <v>0</v>
      </c>
      <c r="E19" s="73">
        <v>0</v>
      </c>
      <c r="F19" s="73">
        <v>0</v>
      </c>
      <c r="G19" s="73">
        <v>0</v>
      </c>
      <c r="H19" s="73">
        <v>0</v>
      </c>
      <c r="I19" s="73">
        <v>0</v>
      </c>
      <c r="J19" s="73">
        <v>0</v>
      </c>
      <c r="K19" s="73">
        <v>0</v>
      </c>
      <c r="L19" s="73">
        <v>0</v>
      </c>
      <c r="M19" s="73">
        <v>0</v>
      </c>
      <c r="N19" s="73">
        <v>0</v>
      </c>
    </row>
    <row r="20" spans="1:14" x14ac:dyDescent="0.3">
      <c r="A20" t="s">
        <v>2238</v>
      </c>
      <c r="B20" t="s">
        <v>2218</v>
      </c>
      <c r="C20" s="74">
        <f t="shared" ref="C20:G20" si="26">IFERROR(C19/C18,0)</f>
        <v>0</v>
      </c>
      <c r="D20" s="74">
        <f t="shared" si="26"/>
        <v>0</v>
      </c>
      <c r="E20" s="74">
        <f t="shared" si="26"/>
        <v>0</v>
      </c>
      <c r="F20" s="74">
        <f t="shared" si="26"/>
        <v>0</v>
      </c>
      <c r="G20" s="74">
        <f t="shared" si="26"/>
        <v>0</v>
      </c>
      <c r="H20" s="74">
        <f t="shared" ref="H20:J20" si="27">IFERROR(H19/H18,0)</f>
        <v>0</v>
      </c>
      <c r="I20" s="74">
        <f t="shared" si="27"/>
        <v>0</v>
      </c>
      <c r="J20" s="74">
        <f t="shared" si="27"/>
        <v>0</v>
      </c>
      <c r="K20" s="74">
        <v>0</v>
      </c>
      <c r="L20" s="74">
        <v>0</v>
      </c>
      <c r="M20" s="74">
        <v>0</v>
      </c>
      <c r="N20" s="74">
        <v>0</v>
      </c>
    </row>
    <row r="21" spans="1:14" x14ac:dyDescent="0.3">
      <c r="A21" t="s">
        <v>2239</v>
      </c>
      <c r="B21" t="s">
        <v>57</v>
      </c>
      <c r="C21" s="73">
        <f t="shared" ref="C21:E22" si="28">C24+C27</f>
        <v>20586.641100190798</v>
      </c>
      <c r="D21" s="73">
        <f t="shared" si="28"/>
        <v>20295.608799584901</v>
      </c>
      <c r="E21" s="73">
        <f t="shared" si="28"/>
        <v>19375.600314412302</v>
      </c>
      <c r="F21" s="73">
        <f>F24+F27</f>
        <v>19176.4280987399</v>
      </c>
      <c r="G21" s="73">
        <f t="shared" ref="G21:G22" si="29">G24+G27</f>
        <v>19225.564829873201</v>
      </c>
      <c r="H21" s="73">
        <f t="shared" ref="H21:J21" si="30">H24+H27</f>
        <v>19342.377790479102</v>
      </c>
      <c r="I21" s="73">
        <f t="shared" si="30"/>
        <v>19073.295650200198</v>
      </c>
      <c r="J21" s="73">
        <f t="shared" si="30"/>
        <v>18100.509607440101</v>
      </c>
      <c r="K21" s="73">
        <v>18241.764813692498</v>
      </c>
      <c r="L21" s="73">
        <v>18400.590829732198</v>
      </c>
      <c r="M21" s="73">
        <v>18983.898605727602</v>
      </c>
      <c r="N21" s="73">
        <v>17934.2320750131</v>
      </c>
    </row>
    <row r="22" spans="1:14" x14ac:dyDescent="0.3">
      <c r="A22" t="s">
        <v>2240</v>
      </c>
      <c r="B22" t="s">
        <v>2216</v>
      </c>
      <c r="C22" s="73">
        <f t="shared" si="28"/>
        <v>254448.28856980288</v>
      </c>
      <c r="D22" s="73">
        <f t="shared" si="28"/>
        <v>248948.59820236568</v>
      </c>
      <c r="E22" s="73">
        <f t="shared" si="28"/>
        <v>237775.33803628851</v>
      </c>
      <c r="F22" s="73">
        <f>F25+F28</f>
        <v>232792.07794548981</v>
      </c>
      <c r="G22" s="73">
        <f t="shared" si="29"/>
        <v>232096.52369123959</v>
      </c>
      <c r="H22" s="73">
        <f t="shared" ref="H22:J22" si="31">H25+H28</f>
        <v>233277.78896897801</v>
      </c>
      <c r="I22" s="73">
        <f t="shared" si="31"/>
        <v>229453.26195283642</v>
      </c>
      <c r="J22" s="73">
        <f t="shared" si="31"/>
        <v>217267.3172556207</v>
      </c>
      <c r="K22" s="73">
        <v>217835.1315862069</v>
      </c>
      <c r="L22" s="73">
        <v>218303.8012380813</v>
      </c>
      <c r="M22" s="73">
        <v>220910.40451541491</v>
      </c>
      <c r="N22" s="73">
        <v>211492.3132733166</v>
      </c>
    </row>
    <row r="23" spans="1:14" x14ac:dyDescent="0.3">
      <c r="A23" t="s">
        <v>2241</v>
      </c>
      <c r="B23" t="s">
        <v>2218</v>
      </c>
      <c r="C23" s="74">
        <f t="shared" ref="C23:G23" si="32">IFERROR(C22/C21,0)</f>
        <v>12.359873926565157</v>
      </c>
      <c r="D23" s="74">
        <f t="shared" si="32"/>
        <v>12.26613109568102</v>
      </c>
      <c r="E23" s="74">
        <f t="shared" si="32"/>
        <v>12.271895279519274</v>
      </c>
      <c r="F23" s="74">
        <f t="shared" si="32"/>
        <v>12.139491084931858</v>
      </c>
      <c r="G23" s="74">
        <f t="shared" si="32"/>
        <v>12.072286340872637</v>
      </c>
      <c r="H23" s="74">
        <f t="shared" ref="H23:J23" si="33">IFERROR(H22/H21,0)</f>
        <v>12.060450452157145</v>
      </c>
      <c r="I23" s="74">
        <f t="shared" si="33"/>
        <v>12.030079445154934</v>
      </c>
      <c r="J23" s="74">
        <f t="shared" si="33"/>
        <v>12.003381228908292</v>
      </c>
      <c r="K23" s="74">
        <v>11.941560140206231</v>
      </c>
      <c r="L23" s="74">
        <v>11.863956068483398</v>
      </c>
      <c r="M23" s="74">
        <v>11.636724842639245</v>
      </c>
      <c r="N23" s="74">
        <v>11.792660671988216</v>
      </c>
    </row>
    <row r="24" spans="1:14" x14ac:dyDescent="0.3">
      <c r="A24" t="s">
        <v>2242</v>
      </c>
      <c r="B24" t="s">
        <v>2243</v>
      </c>
      <c r="C24" s="73">
        <v>17414.759878729597</v>
      </c>
      <c r="D24" s="73">
        <v>16935.2177838766</v>
      </c>
      <c r="E24" s="73">
        <v>16233.693792730801</v>
      </c>
      <c r="F24" s="73">
        <v>16111.7470778633</v>
      </c>
      <c r="G24" s="73">
        <v>16388.279885819902</v>
      </c>
      <c r="H24" s="73">
        <v>16603.086568999701</v>
      </c>
      <c r="I24" s="73">
        <v>16522.218764170499</v>
      </c>
      <c r="J24" s="73">
        <v>15616.3685514319</v>
      </c>
      <c r="K24" s="73">
        <v>15793.7877621017</v>
      </c>
      <c r="L24" s="73">
        <v>16349.371404130699</v>
      </c>
      <c r="M24" s="73">
        <v>16966.9530972836</v>
      </c>
      <c r="N24" s="73">
        <v>16065.048337479</v>
      </c>
    </row>
    <row r="25" spans="1:14" x14ac:dyDescent="0.3">
      <c r="A25" t="s">
        <v>2244</v>
      </c>
      <c r="B25" t="s">
        <v>2216</v>
      </c>
      <c r="C25" s="73">
        <v>233401.58674021799</v>
      </c>
      <c r="D25" s="73">
        <v>226660.028013048</v>
      </c>
      <c r="E25" s="73">
        <v>217038.28223956202</v>
      </c>
      <c r="F25" s="73">
        <v>212754.40418089301</v>
      </c>
      <c r="G25" s="73">
        <v>213603.591465565</v>
      </c>
      <c r="H25" s="73">
        <v>215239.19854644401</v>
      </c>
      <c r="I25" s="73">
        <v>212337.692091484</v>
      </c>
      <c r="J25" s="73">
        <v>200472.76500699201</v>
      </c>
      <c r="K25" s="73">
        <v>201234.84753059101</v>
      </c>
      <c r="L25" s="73">
        <v>204622.236755272</v>
      </c>
      <c r="M25" s="73">
        <v>207466.557906628</v>
      </c>
      <c r="N25" s="73">
        <v>199137.59368614599</v>
      </c>
    </row>
    <row r="26" spans="1:14" x14ac:dyDescent="0.3">
      <c r="A26" t="s">
        <v>2245</v>
      </c>
      <c r="B26" t="s">
        <v>2218</v>
      </c>
      <c r="C26" s="74">
        <f t="shared" ref="C26:J26" si="34">IFERROR(C25/C24,0)</f>
        <v>13.402515358554837</v>
      </c>
      <c r="D26" s="74">
        <f t="shared" si="34"/>
        <v>13.383945273431483</v>
      </c>
      <c r="E26" s="74">
        <f t="shared" si="34"/>
        <v>13.369617846108964</v>
      </c>
      <c r="F26" s="74">
        <f t="shared" si="34"/>
        <v>13.204924528216214</v>
      </c>
      <c r="G26" s="74">
        <f t="shared" si="34"/>
        <v>13.033923813467899</v>
      </c>
      <c r="H26" s="74">
        <f t="shared" si="34"/>
        <v>12.963806317093226</v>
      </c>
      <c r="I26" s="74">
        <f t="shared" si="34"/>
        <v>12.851645116329777</v>
      </c>
      <c r="J26" s="74">
        <f t="shared" si="34"/>
        <v>12.837348474886641</v>
      </c>
      <c r="K26" s="74">
        <v>12.741392410848279</v>
      </c>
      <c r="L26" s="74">
        <v>12.515602691830329</v>
      </c>
      <c r="M26" s="74">
        <v>12.227685001371476</v>
      </c>
      <c r="N26" s="74">
        <v>12.395704606849353</v>
      </c>
    </row>
    <row r="27" spans="1:14" x14ac:dyDescent="0.3">
      <c r="A27" t="s">
        <v>2246</v>
      </c>
      <c r="B27" t="s">
        <v>2247</v>
      </c>
      <c r="C27" s="73">
        <v>3171.8812214612003</v>
      </c>
      <c r="D27" s="73">
        <v>3360.3910157083001</v>
      </c>
      <c r="E27" s="73">
        <v>3141.9065216815002</v>
      </c>
      <c r="F27" s="73">
        <v>3064.6810208765996</v>
      </c>
      <c r="G27" s="73">
        <v>2837.2849440533</v>
      </c>
      <c r="H27" s="73">
        <v>2739.2912214794001</v>
      </c>
      <c r="I27" s="73">
        <v>2551.0768860296998</v>
      </c>
      <c r="J27" s="73">
        <v>2484.1410560082004</v>
      </c>
      <c r="K27" s="73">
        <v>2447.9770515907999</v>
      </c>
      <c r="L27" s="73">
        <v>2051.2194256015</v>
      </c>
      <c r="M27" s="73">
        <v>2016.9455084440001</v>
      </c>
      <c r="N27" s="73">
        <v>1869.1837375341001</v>
      </c>
    </row>
    <row r="28" spans="1:14" x14ac:dyDescent="0.3">
      <c r="A28" t="s">
        <v>2248</v>
      </c>
      <c r="B28" t="s">
        <v>2216</v>
      </c>
      <c r="C28" s="73">
        <v>21046.701829584901</v>
      </c>
      <c r="D28" s="73">
        <v>22288.570189317699</v>
      </c>
      <c r="E28" s="73">
        <v>20737.055796726501</v>
      </c>
      <c r="F28" s="73">
        <v>20037.673764596802</v>
      </c>
      <c r="G28" s="73">
        <v>18492.932225674598</v>
      </c>
      <c r="H28" s="73">
        <v>18038.590422534002</v>
      </c>
      <c r="I28" s="73">
        <v>17115.5698613524</v>
      </c>
      <c r="J28" s="73">
        <v>16794.552248628701</v>
      </c>
      <c r="K28" s="73">
        <v>16600.284055615899</v>
      </c>
      <c r="L28" s="73">
        <v>13681.564482809299</v>
      </c>
      <c r="M28" s="73">
        <v>13443.8466087869</v>
      </c>
      <c r="N28" s="73">
        <v>12354.719587170601</v>
      </c>
    </row>
    <row r="29" spans="1:14" x14ac:dyDescent="0.3">
      <c r="A29" t="s">
        <v>2249</v>
      </c>
      <c r="B29" t="s">
        <v>2218</v>
      </c>
      <c r="C29" s="74">
        <f t="shared" ref="C29:G29" si="35">IFERROR(C28/C27,0)</f>
        <v>6.635400369717896</v>
      </c>
      <c r="D29" s="74">
        <f t="shared" si="35"/>
        <v>6.6327311569185756</v>
      </c>
      <c r="E29" s="74">
        <f t="shared" si="35"/>
        <v>6.6001504671209466</v>
      </c>
      <c r="F29" s="74">
        <f t="shared" si="35"/>
        <v>6.5382575309143816</v>
      </c>
      <c r="G29" s="74">
        <f t="shared" si="35"/>
        <v>6.5178269332567949</v>
      </c>
      <c r="H29" s="74">
        <f t="shared" ref="H29:J29" si="36">IFERROR(H28/H27,0)</f>
        <v>6.5851305918441048</v>
      </c>
      <c r="I29" s="74">
        <f t="shared" si="36"/>
        <v>6.7091548494995612</v>
      </c>
      <c r="J29" s="74">
        <f t="shared" si="36"/>
        <v>6.7607079751002921</v>
      </c>
      <c r="K29" s="74">
        <v>6.7812253570058294</v>
      </c>
      <c r="L29" s="74">
        <v>6.6699663195697916</v>
      </c>
      <c r="M29" s="74">
        <v>6.6654485966546204</v>
      </c>
      <c r="N29" s="74">
        <v>6.6096870730693533</v>
      </c>
    </row>
    <row r="30" spans="1:14" x14ac:dyDescent="0.3">
      <c r="A30" t="s">
        <v>2250</v>
      </c>
      <c r="B30" t="s">
        <v>58</v>
      </c>
      <c r="C30" s="73">
        <f t="shared" ref="C30:E31" si="37">C33+C36</f>
        <v>732.84425960450005</v>
      </c>
      <c r="D30" s="73">
        <f t="shared" si="37"/>
        <v>752.08223605350008</v>
      </c>
      <c r="E30" s="73">
        <f t="shared" si="37"/>
        <v>768.38064620279999</v>
      </c>
      <c r="F30" s="73">
        <f>F33+F36</f>
        <v>760.22810796739998</v>
      </c>
      <c r="G30" s="73">
        <f t="shared" ref="G30:G31" si="38">G33+G36</f>
        <v>760.40727508120005</v>
      </c>
      <c r="H30" s="73">
        <f t="shared" ref="H30:J30" si="39">H33+H36</f>
        <v>758.01783047259994</v>
      </c>
      <c r="I30" s="73">
        <f t="shared" si="39"/>
        <v>775.87929206019999</v>
      </c>
      <c r="J30" s="73">
        <f t="shared" si="39"/>
        <v>793.2318069204</v>
      </c>
      <c r="K30" s="73">
        <v>816.47215451509999</v>
      </c>
      <c r="L30" s="73">
        <v>830.33584490960004</v>
      </c>
      <c r="M30" s="73">
        <v>835.61317811029994</v>
      </c>
      <c r="N30" s="73">
        <v>838.61532115260002</v>
      </c>
    </row>
    <row r="31" spans="1:14" x14ac:dyDescent="0.3">
      <c r="A31" t="s">
        <v>2251</v>
      </c>
      <c r="B31" t="s">
        <v>2216</v>
      </c>
      <c r="C31" s="73">
        <f t="shared" si="37"/>
        <v>21501.751023897799</v>
      </c>
      <c r="D31" s="73">
        <f t="shared" si="37"/>
        <v>22132.2414933693</v>
      </c>
      <c r="E31" s="73">
        <f t="shared" si="37"/>
        <v>22721.899755652899</v>
      </c>
      <c r="F31" s="73">
        <f>F34+F37</f>
        <v>22734.247799345401</v>
      </c>
      <c r="G31" s="73">
        <f t="shared" si="38"/>
        <v>22890.891808455399</v>
      </c>
      <c r="H31" s="73">
        <f t="shared" ref="H31:J31" si="40">H34+H37</f>
        <v>22806.762653645197</v>
      </c>
      <c r="I31" s="73">
        <f t="shared" si="40"/>
        <v>23522.000576838698</v>
      </c>
      <c r="J31" s="73">
        <f t="shared" si="40"/>
        <v>24103.907815434301</v>
      </c>
      <c r="K31" s="73">
        <v>24877.85738705</v>
      </c>
      <c r="L31" s="73">
        <v>25345.5074023544</v>
      </c>
      <c r="M31" s="73">
        <v>25685.801025715598</v>
      </c>
      <c r="N31" s="73">
        <v>25892.331003240102</v>
      </c>
    </row>
    <row r="32" spans="1:14" x14ac:dyDescent="0.3">
      <c r="A32" t="s">
        <v>2252</v>
      </c>
      <c r="B32" t="s">
        <v>2218</v>
      </c>
      <c r="C32" s="74">
        <f t="shared" ref="C32:G32" si="41">IFERROR(C31/C30,0)</f>
        <v>29.340137064731628</v>
      </c>
      <c r="D32" s="74">
        <f t="shared" si="41"/>
        <v>29.427954061921099</v>
      </c>
      <c r="E32" s="74">
        <f t="shared" si="41"/>
        <v>29.571150533190121</v>
      </c>
      <c r="F32" s="74">
        <f t="shared" si="41"/>
        <v>29.904508345698115</v>
      </c>
      <c r="G32" s="74">
        <f t="shared" si="41"/>
        <v>30.103462392585598</v>
      </c>
      <c r="H32" s="74">
        <f t="shared" ref="H32:J32" si="42">IFERROR(H31/H30,0)</f>
        <v>30.08736963275113</v>
      </c>
      <c r="I32" s="74">
        <f t="shared" si="42"/>
        <v>30.316572200787181</v>
      </c>
      <c r="J32" s="74">
        <f t="shared" si="42"/>
        <v>30.386965834128613</v>
      </c>
      <c r="K32" s="74">
        <v>30.469939788485345</v>
      </c>
      <c r="L32" s="74">
        <v>30.524404742654227</v>
      </c>
      <c r="M32" s="74">
        <v>30.738865420723538</v>
      </c>
      <c r="N32" s="74">
        <v>30.875098928139618</v>
      </c>
    </row>
    <row r="33" spans="1:14" x14ac:dyDescent="0.3">
      <c r="A33" t="s">
        <v>2253</v>
      </c>
      <c r="B33" t="s">
        <v>2254</v>
      </c>
      <c r="C33" s="73">
        <v>732.84425960450005</v>
      </c>
      <c r="D33" s="73">
        <v>752.08223605350008</v>
      </c>
      <c r="E33" s="73">
        <v>768.38064620279999</v>
      </c>
      <c r="F33" s="73">
        <v>760.22810796739998</v>
      </c>
      <c r="G33" s="73">
        <v>760.40727508120005</v>
      </c>
      <c r="H33" s="73">
        <v>758.01783047259994</v>
      </c>
      <c r="I33" s="73">
        <v>775.87929206019999</v>
      </c>
      <c r="J33" s="73">
        <v>793.2318069204</v>
      </c>
      <c r="K33" s="73">
        <v>816.47215451509999</v>
      </c>
      <c r="L33" s="73">
        <v>830.33584490960004</v>
      </c>
      <c r="M33" s="73">
        <v>835.61317811029994</v>
      </c>
      <c r="N33" s="73">
        <v>838.61532115260002</v>
      </c>
    </row>
    <row r="34" spans="1:14" x14ac:dyDescent="0.3">
      <c r="A34" t="s">
        <v>2255</v>
      </c>
      <c r="B34" t="s">
        <v>2216</v>
      </c>
      <c r="C34" s="73">
        <v>21501.751023897799</v>
      </c>
      <c r="D34" s="73">
        <v>22132.2414933693</v>
      </c>
      <c r="E34" s="73">
        <v>22721.899755652899</v>
      </c>
      <c r="F34" s="73">
        <v>22734.247799345401</v>
      </c>
      <c r="G34" s="73">
        <v>22890.891808455399</v>
      </c>
      <c r="H34" s="73">
        <v>22806.762653645197</v>
      </c>
      <c r="I34" s="73">
        <v>23522.000576838698</v>
      </c>
      <c r="J34" s="73">
        <v>24103.907815434301</v>
      </c>
      <c r="K34" s="73">
        <v>24877.85738705</v>
      </c>
      <c r="L34" s="73">
        <v>25345.5074023544</v>
      </c>
      <c r="M34" s="73">
        <v>25685.801025715598</v>
      </c>
      <c r="N34" s="73">
        <v>25892.331003240102</v>
      </c>
    </row>
    <row r="35" spans="1:14" x14ac:dyDescent="0.3">
      <c r="A35" t="s">
        <v>2256</v>
      </c>
      <c r="B35" t="s">
        <v>2218</v>
      </c>
      <c r="C35" s="74">
        <f t="shared" ref="C35:J35" si="43">IFERROR(C34/C33,0)</f>
        <v>29.340137064731628</v>
      </c>
      <c r="D35" s="74">
        <f t="shared" si="43"/>
        <v>29.427954061921099</v>
      </c>
      <c r="E35" s="74">
        <f t="shared" si="43"/>
        <v>29.571150533190121</v>
      </c>
      <c r="F35" s="74">
        <f t="shared" si="43"/>
        <v>29.904508345698115</v>
      </c>
      <c r="G35" s="74">
        <f t="shared" si="43"/>
        <v>30.103462392585598</v>
      </c>
      <c r="H35" s="74">
        <f t="shared" si="43"/>
        <v>30.08736963275113</v>
      </c>
      <c r="I35" s="74">
        <f t="shared" si="43"/>
        <v>30.316572200787181</v>
      </c>
      <c r="J35" s="74">
        <f t="shared" si="43"/>
        <v>30.386965834128613</v>
      </c>
      <c r="K35" s="74">
        <v>30.469939788485345</v>
      </c>
      <c r="L35" s="74">
        <v>30.524404742654227</v>
      </c>
      <c r="M35" s="74">
        <v>30.738865420723538</v>
      </c>
      <c r="N35" s="74">
        <v>30.875098928139618</v>
      </c>
    </row>
    <row r="36" spans="1:14" x14ac:dyDescent="0.3">
      <c r="A36" t="s">
        <v>2257</v>
      </c>
      <c r="B36" t="s">
        <v>2258</v>
      </c>
      <c r="C36" s="73">
        <v>0</v>
      </c>
      <c r="D36" s="73">
        <v>0</v>
      </c>
      <c r="E36" s="73">
        <v>0</v>
      </c>
      <c r="F36" s="73">
        <v>0</v>
      </c>
      <c r="G36" s="73">
        <v>0</v>
      </c>
      <c r="H36" s="73">
        <v>0</v>
      </c>
      <c r="I36" s="73">
        <v>0</v>
      </c>
      <c r="J36" s="73">
        <v>0</v>
      </c>
      <c r="K36" s="73">
        <v>0</v>
      </c>
      <c r="L36" s="73">
        <v>0</v>
      </c>
      <c r="M36" s="73">
        <v>0</v>
      </c>
      <c r="N36" s="73">
        <v>0</v>
      </c>
    </row>
    <row r="37" spans="1:14" x14ac:dyDescent="0.3">
      <c r="A37" t="s">
        <v>2259</v>
      </c>
      <c r="B37" t="s">
        <v>2216</v>
      </c>
      <c r="C37" s="73">
        <v>0</v>
      </c>
      <c r="D37" s="73">
        <v>0</v>
      </c>
      <c r="E37" s="73">
        <v>0</v>
      </c>
      <c r="F37" s="73">
        <v>0</v>
      </c>
      <c r="G37" s="73">
        <v>0</v>
      </c>
      <c r="H37" s="73">
        <v>0</v>
      </c>
      <c r="I37" s="73">
        <v>0</v>
      </c>
      <c r="J37" s="73">
        <v>0</v>
      </c>
      <c r="K37" s="73">
        <v>0</v>
      </c>
      <c r="L37" s="73">
        <v>0</v>
      </c>
      <c r="M37" s="73">
        <v>0</v>
      </c>
      <c r="N37" s="73">
        <v>0</v>
      </c>
    </row>
    <row r="38" spans="1:14" x14ac:dyDescent="0.3">
      <c r="A38" t="s">
        <v>2260</v>
      </c>
      <c r="B38" t="s">
        <v>2218</v>
      </c>
      <c r="C38" s="74">
        <f t="shared" ref="C38:G38" si="44">IFERROR(C37/C36,0)</f>
        <v>0</v>
      </c>
      <c r="D38" s="74">
        <f t="shared" si="44"/>
        <v>0</v>
      </c>
      <c r="E38" s="74">
        <f t="shared" si="44"/>
        <v>0</v>
      </c>
      <c r="F38" s="74">
        <f t="shared" si="44"/>
        <v>0</v>
      </c>
      <c r="G38" s="74">
        <f t="shared" si="44"/>
        <v>0</v>
      </c>
      <c r="H38" s="74">
        <f t="shared" ref="H38:J38" si="45">IFERROR(H37/H36,0)</f>
        <v>0</v>
      </c>
      <c r="I38" s="74">
        <f t="shared" si="45"/>
        <v>0</v>
      </c>
      <c r="J38" s="74">
        <f t="shared" si="45"/>
        <v>0</v>
      </c>
      <c r="K38" s="74">
        <v>0</v>
      </c>
      <c r="L38" s="74">
        <v>0</v>
      </c>
      <c r="M38" s="74">
        <v>0</v>
      </c>
      <c r="N38" s="74">
        <v>0</v>
      </c>
    </row>
    <row r="39" spans="1:14" x14ac:dyDescent="0.3">
      <c r="A39" t="s">
        <v>2261</v>
      </c>
      <c r="B39" t="s">
        <v>1470</v>
      </c>
      <c r="C39" s="73">
        <f t="shared" ref="C39:E40" si="46">C42+C45</f>
        <v>16229.8039180376</v>
      </c>
      <c r="D39" s="73">
        <f t="shared" si="46"/>
        <v>16249.970362051201</v>
      </c>
      <c r="E39" s="73">
        <f t="shared" si="46"/>
        <v>16375.5312260297</v>
      </c>
      <c r="F39" s="73">
        <f>F42+F45</f>
        <v>16506.476089258802</v>
      </c>
      <c r="G39" s="73">
        <f t="shared" ref="G39:G40" si="47">G42+G45</f>
        <v>16524.976876274999</v>
      </c>
      <c r="H39" s="73">
        <f t="shared" ref="H39:J39" si="48">H42+H45</f>
        <v>16630.029825172598</v>
      </c>
      <c r="I39" s="73">
        <f t="shared" si="48"/>
        <v>16803.234786705401</v>
      </c>
      <c r="J39" s="73">
        <f t="shared" si="48"/>
        <v>17016.877353634198</v>
      </c>
      <c r="K39" s="73">
        <v>17157.419234393401</v>
      </c>
      <c r="L39" s="73">
        <v>17240.196769449201</v>
      </c>
      <c r="M39" s="73">
        <v>17241.4497223502</v>
      </c>
      <c r="N39" s="73">
        <v>17337.340360635601</v>
      </c>
    </row>
    <row r="40" spans="1:14" x14ac:dyDescent="0.3">
      <c r="A40" t="s">
        <v>2262</v>
      </c>
      <c r="B40" t="s">
        <v>2216</v>
      </c>
      <c r="C40" s="73">
        <f t="shared" si="46"/>
        <v>168803.04826851201</v>
      </c>
      <c r="D40" s="73">
        <f t="shared" si="46"/>
        <v>169039.554265104</v>
      </c>
      <c r="E40" s="73">
        <f t="shared" si="46"/>
        <v>170404.88243942801</v>
      </c>
      <c r="F40" s="73">
        <f>F43+F46</f>
        <v>171848.399535548</v>
      </c>
      <c r="G40" s="73">
        <f t="shared" si="47"/>
        <v>172139.34497146</v>
      </c>
      <c r="H40" s="73">
        <f t="shared" ref="H40:J40" si="49">H43+H46</f>
        <v>173325.09595895401</v>
      </c>
      <c r="I40" s="73">
        <f t="shared" si="49"/>
        <v>175255.201699267</v>
      </c>
      <c r="J40" s="73">
        <f t="shared" si="49"/>
        <v>177586.560740791</v>
      </c>
      <c r="K40" s="73">
        <v>179166.605504187</v>
      </c>
      <c r="L40" s="73">
        <v>180030.64068918899</v>
      </c>
      <c r="M40" s="73">
        <v>180106.97836195299</v>
      </c>
      <c r="N40" s="73">
        <v>181146.93263186401</v>
      </c>
    </row>
    <row r="41" spans="1:14" x14ac:dyDescent="0.3">
      <c r="A41" t="s">
        <v>2263</v>
      </c>
      <c r="B41" t="s">
        <v>2218</v>
      </c>
      <c r="C41" s="74">
        <f t="shared" ref="C41:G41" si="50">IFERROR(C40/C39,0)</f>
        <v>10.400806388110853</v>
      </c>
      <c r="D41" s="74">
        <f t="shared" si="50"/>
        <v>10.402453081383127</v>
      </c>
      <c r="E41" s="74">
        <f t="shared" si="50"/>
        <v>10.406067448276804</v>
      </c>
      <c r="F41" s="74">
        <f t="shared" si="50"/>
        <v>10.410968313665341</v>
      </c>
      <c r="G41" s="74">
        <f t="shared" si="50"/>
        <v>10.41691896214399</v>
      </c>
      <c r="H41" s="74">
        <f t="shared" ref="H41:J41" si="51">IFERROR(H40/H39,0)</f>
        <v>10.422416422644938</v>
      </c>
      <c r="I41" s="74">
        <f t="shared" si="51"/>
        <v>10.429849009663762</v>
      </c>
      <c r="J41" s="74">
        <f t="shared" si="51"/>
        <v>10.435907660982515</v>
      </c>
      <c r="K41" s="74">
        <v>10.442514871061341</v>
      </c>
      <c r="L41" s="74">
        <v>10.442493383150678</v>
      </c>
      <c r="M41" s="74">
        <v>10.446162083950469</v>
      </c>
      <c r="N41" s="74">
        <v>10.448369176806253</v>
      </c>
    </row>
    <row r="42" spans="1:14" x14ac:dyDescent="0.3">
      <c r="A42" t="s">
        <v>2264</v>
      </c>
      <c r="B42" t="s">
        <v>2265</v>
      </c>
      <c r="C42" s="73">
        <v>16229.8039180376</v>
      </c>
      <c r="D42" s="73">
        <v>16249.970362051201</v>
      </c>
      <c r="E42" s="73">
        <v>16375.5312260297</v>
      </c>
      <c r="F42" s="73">
        <v>16506.476089258802</v>
      </c>
      <c r="G42" s="73">
        <v>16524.976876274999</v>
      </c>
      <c r="H42" s="73">
        <v>16630.029825172598</v>
      </c>
      <c r="I42" s="73">
        <v>16803.234786705401</v>
      </c>
      <c r="J42" s="73">
        <v>17016.877353634198</v>
      </c>
      <c r="K42" s="73">
        <v>17157.419234393401</v>
      </c>
      <c r="L42" s="73">
        <v>17240.196769449201</v>
      </c>
      <c r="M42" s="73">
        <v>17241.4497223502</v>
      </c>
      <c r="N42" s="73">
        <v>17337.340360635601</v>
      </c>
    </row>
    <row r="43" spans="1:14" x14ac:dyDescent="0.3">
      <c r="A43" t="s">
        <v>2266</v>
      </c>
      <c r="B43" t="s">
        <v>2216</v>
      </c>
      <c r="C43" s="73">
        <v>168803.04826851201</v>
      </c>
      <c r="D43" s="73">
        <v>169039.554265104</v>
      </c>
      <c r="E43" s="73">
        <v>170404.88243942801</v>
      </c>
      <c r="F43" s="73">
        <v>171848.399535548</v>
      </c>
      <c r="G43" s="73">
        <v>172139.34497146</v>
      </c>
      <c r="H43" s="73">
        <v>173325.09595895401</v>
      </c>
      <c r="I43" s="73">
        <v>175255.201699267</v>
      </c>
      <c r="J43" s="73">
        <v>177586.560740791</v>
      </c>
      <c r="K43" s="73">
        <v>179166.605504187</v>
      </c>
      <c r="L43" s="73">
        <v>180030.64068918899</v>
      </c>
      <c r="M43" s="73">
        <v>180106.97836195299</v>
      </c>
      <c r="N43" s="73">
        <v>181146.93263186401</v>
      </c>
    </row>
    <row r="44" spans="1:14" x14ac:dyDescent="0.3">
      <c r="A44" t="s">
        <v>2267</v>
      </c>
      <c r="B44" t="s">
        <v>2218</v>
      </c>
      <c r="C44" s="74">
        <f t="shared" ref="C44:J44" si="52">IFERROR(C43/C42,0)</f>
        <v>10.400806388110853</v>
      </c>
      <c r="D44" s="74">
        <f t="shared" si="52"/>
        <v>10.402453081383127</v>
      </c>
      <c r="E44" s="74">
        <f t="shared" si="52"/>
        <v>10.406067448276804</v>
      </c>
      <c r="F44" s="74">
        <f t="shared" si="52"/>
        <v>10.410968313665341</v>
      </c>
      <c r="G44" s="74">
        <f t="shared" si="52"/>
        <v>10.41691896214399</v>
      </c>
      <c r="H44" s="74">
        <f t="shared" si="52"/>
        <v>10.422416422644938</v>
      </c>
      <c r="I44" s="74">
        <f t="shared" si="52"/>
        <v>10.429849009663762</v>
      </c>
      <c r="J44" s="74">
        <f t="shared" si="52"/>
        <v>10.435907660982515</v>
      </c>
      <c r="K44" s="74">
        <v>10.442514871061341</v>
      </c>
      <c r="L44" s="74">
        <v>10.442493383150678</v>
      </c>
      <c r="M44" s="74">
        <v>10.446162083950469</v>
      </c>
      <c r="N44" s="74">
        <v>10.448369176806253</v>
      </c>
    </row>
    <row r="45" spans="1:14" x14ac:dyDescent="0.3">
      <c r="A45" t="s">
        <v>2268</v>
      </c>
      <c r="B45" t="s">
        <v>2269</v>
      </c>
      <c r="C45" s="73">
        <v>0</v>
      </c>
      <c r="D45" s="73">
        <v>0</v>
      </c>
      <c r="E45" s="73">
        <v>0</v>
      </c>
      <c r="F45" s="73">
        <v>0</v>
      </c>
      <c r="G45" s="73">
        <v>0</v>
      </c>
      <c r="H45" s="73">
        <v>0</v>
      </c>
      <c r="I45" s="73">
        <v>0</v>
      </c>
      <c r="J45" s="73">
        <v>0</v>
      </c>
      <c r="K45" s="73">
        <v>0</v>
      </c>
      <c r="L45" s="73">
        <v>0</v>
      </c>
      <c r="M45" s="73">
        <v>0</v>
      </c>
      <c r="N45" s="73">
        <v>0</v>
      </c>
    </row>
    <row r="46" spans="1:14" x14ac:dyDescent="0.3">
      <c r="A46" t="s">
        <v>2270</v>
      </c>
      <c r="B46" t="s">
        <v>2216</v>
      </c>
      <c r="C46" s="73">
        <v>0</v>
      </c>
      <c r="D46" s="73">
        <v>0</v>
      </c>
      <c r="E46" s="73">
        <v>0</v>
      </c>
      <c r="F46" s="73">
        <v>0</v>
      </c>
      <c r="G46" s="73">
        <v>0</v>
      </c>
      <c r="H46" s="73">
        <v>0</v>
      </c>
      <c r="I46" s="73">
        <v>0</v>
      </c>
      <c r="J46" s="73">
        <v>0</v>
      </c>
      <c r="K46" s="73">
        <v>0</v>
      </c>
      <c r="L46" s="73">
        <v>0</v>
      </c>
      <c r="M46" s="73">
        <v>0</v>
      </c>
      <c r="N46" s="73">
        <v>0</v>
      </c>
    </row>
    <row r="47" spans="1:14" x14ac:dyDescent="0.3">
      <c r="A47" t="s">
        <v>2271</v>
      </c>
      <c r="B47" t="s">
        <v>2218</v>
      </c>
      <c r="C47" s="74">
        <f t="shared" ref="C47:G47" si="53">IFERROR(C46/C45,0)</f>
        <v>0</v>
      </c>
      <c r="D47" s="74">
        <f t="shared" si="53"/>
        <v>0</v>
      </c>
      <c r="E47" s="74">
        <f t="shared" si="53"/>
        <v>0</v>
      </c>
      <c r="F47" s="74">
        <f t="shared" si="53"/>
        <v>0</v>
      </c>
      <c r="G47" s="74">
        <f t="shared" si="53"/>
        <v>0</v>
      </c>
      <c r="H47" s="74">
        <f t="shared" ref="H47:J47" si="54">IFERROR(H46/H45,0)</f>
        <v>0</v>
      </c>
      <c r="I47" s="74">
        <f t="shared" si="54"/>
        <v>0</v>
      </c>
      <c r="J47" s="74">
        <f t="shared" si="54"/>
        <v>0</v>
      </c>
      <c r="K47" s="74">
        <v>0</v>
      </c>
      <c r="L47" s="74">
        <v>0</v>
      </c>
      <c r="M47" s="74">
        <v>0</v>
      </c>
      <c r="N47" s="74">
        <v>0</v>
      </c>
    </row>
    <row r="48" spans="1:14" x14ac:dyDescent="0.3">
      <c r="A48" t="s">
        <v>2272</v>
      </c>
      <c r="B48" t="s">
        <v>969</v>
      </c>
      <c r="C48" s="73">
        <f t="shared" ref="C48:E49" si="55">C51+C54</f>
        <v>22149.3229178519</v>
      </c>
      <c r="D48" s="73">
        <f t="shared" si="55"/>
        <v>22136.968044717003</v>
      </c>
      <c r="E48" s="73">
        <f t="shared" si="55"/>
        <v>22381.252368700101</v>
      </c>
      <c r="F48" s="73">
        <f>F51+F54</f>
        <v>22394.328693028499</v>
      </c>
      <c r="G48" s="73">
        <f t="shared" ref="G48:G49" si="56">G51+G54</f>
        <v>22427.6602632873</v>
      </c>
      <c r="H48" s="73">
        <f t="shared" ref="H48:J48" si="57">H51+H54</f>
        <v>22364.688920078297</v>
      </c>
      <c r="I48" s="73">
        <f t="shared" si="57"/>
        <v>22445.477836225098</v>
      </c>
      <c r="J48" s="73">
        <f t="shared" si="57"/>
        <v>22484.615596554901</v>
      </c>
      <c r="K48" s="73">
        <v>22460.081362120498</v>
      </c>
      <c r="L48" s="73">
        <v>22562.6767995398</v>
      </c>
      <c r="M48" s="73">
        <v>22567.3280668931</v>
      </c>
      <c r="N48" s="73">
        <v>22588.403672169199</v>
      </c>
    </row>
    <row r="49" spans="1:14" x14ac:dyDescent="0.3">
      <c r="A49" t="s">
        <v>2273</v>
      </c>
      <c r="B49" t="s">
        <v>2216</v>
      </c>
      <c r="C49" s="73">
        <f t="shared" si="55"/>
        <v>275327.53985582246</v>
      </c>
      <c r="D49" s="73">
        <f t="shared" si="55"/>
        <v>275122.51140455127</v>
      </c>
      <c r="E49" s="73">
        <f t="shared" si="55"/>
        <v>278587.17001665785</v>
      </c>
      <c r="F49" s="73">
        <f>F52+F55</f>
        <v>279225.20570041408</v>
      </c>
      <c r="G49" s="73">
        <f t="shared" si="56"/>
        <v>280143.40193374845</v>
      </c>
      <c r="H49" s="73">
        <f t="shared" ref="H49:J49" si="58">H52+H55</f>
        <v>279804.63918668975</v>
      </c>
      <c r="I49" s="73">
        <f t="shared" si="58"/>
        <v>280595.84223924001</v>
      </c>
      <c r="J49" s="73">
        <f t="shared" si="58"/>
        <v>281017.64971097617</v>
      </c>
      <c r="K49" s="73">
        <v>280631.71129677823</v>
      </c>
      <c r="L49" s="73">
        <v>281699.89675941475</v>
      </c>
      <c r="M49" s="73">
        <v>281639.4590144215</v>
      </c>
      <c r="N49" s="73">
        <v>281154.31487202359</v>
      </c>
    </row>
    <row r="50" spans="1:14" x14ac:dyDescent="0.3">
      <c r="A50" t="s">
        <v>2274</v>
      </c>
      <c r="B50" t="s">
        <v>2218</v>
      </c>
      <c r="C50" s="74">
        <f t="shared" ref="C50:G50" si="59">IFERROR(C49/C48,0)</f>
        <v>12.430517216122851</v>
      </c>
      <c r="D50" s="74">
        <f t="shared" si="59"/>
        <v>12.428193004967968</v>
      </c>
      <c r="E50" s="74">
        <f t="shared" si="59"/>
        <v>12.447345011231743</v>
      </c>
      <c r="F50" s="74">
        <f t="shared" si="59"/>
        <v>12.468567802496295</v>
      </c>
      <c r="G50" s="74">
        <f t="shared" si="59"/>
        <v>12.490977598422337</v>
      </c>
      <c r="H50" s="74">
        <f t="shared" ref="H50:J50" si="60">IFERROR(H49/H48,0)</f>
        <v>12.5110007202242</v>
      </c>
      <c r="I50" s="74">
        <f t="shared" si="60"/>
        <v>12.501219367510284</v>
      </c>
      <c r="J50" s="74">
        <f t="shared" si="60"/>
        <v>12.498218993525233</v>
      </c>
      <c r="K50" s="74">
        <v>12.494688098951894</v>
      </c>
      <c r="L50" s="74">
        <v>12.485216149759342</v>
      </c>
      <c r="M50" s="74">
        <v>12.479964760542231</v>
      </c>
      <c r="N50" s="74">
        <v>12.446843032933275</v>
      </c>
    </row>
    <row r="51" spans="1:14" x14ac:dyDescent="0.3">
      <c r="A51" t="s">
        <v>2275</v>
      </c>
      <c r="B51" t="s">
        <v>2276</v>
      </c>
      <c r="C51" s="73">
        <v>21318.763016879901</v>
      </c>
      <c r="D51" s="73">
        <v>21235.531540764801</v>
      </c>
      <c r="E51" s="73">
        <v>21492.863212373002</v>
      </c>
      <c r="F51" s="73">
        <v>21516.4125093201</v>
      </c>
      <c r="G51" s="73">
        <v>21590.605491178001</v>
      </c>
      <c r="H51" s="73">
        <v>21540.709124928399</v>
      </c>
      <c r="I51" s="73">
        <v>21538.299623528197</v>
      </c>
      <c r="J51" s="73">
        <v>21569.593023154201</v>
      </c>
      <c r="K51" s="73">
        <v>21548.4277019398</v>
      </c>
      <c r="L51" s="73">
        <v>21690.2935377022</v>
      </c>
      <c r="M51" s="73">
        <v>21701.200655852201</v>
      </c>
      <c r="N51" s="73">
        <v>21726.6857044723</v>
      </c>
    </row>
    <row r="52" spans="1:14" x14ac:dyDescent="0.3">
      <c r="A52" t="s">
        <v>2277</v>
      </c>
      <c r="B52" t="s">
        <v>2216</v>
      </c>
      <c r="C52" s="73">
        <v>268496.89252117899</v>
      </c>
      <c r="D52" s="73">
        <v>267791.91362573497</v>
      </c>
      <c r="E52" s="73">
        <v>271356.40529459796</v>
      </c>
      <c r="F52" s="73">
        <v>272060.46371701499</v>
      </c>
      <c r="G52" s="73">
        <v>273292.13115165202</v>
      </c>
      <c r="H52" s="73">
        <v>273040.535421198</v>
      </c>
      <c r="I52" s="73">
        <v>273196.45866371098</v>
      </c>
      <c r="J52" s="73">
        <v>273546.88492743799</v>
      </c>
      <c r="K52" s="73">
        <v>273196.59951099497</v>
      </c>
      <c r="L52" s="73">
        <v>274590.36027965101</v>
      </c>
      <c r="M52" s="73">
        <v>274573.51871680102</v>
      </c>
      <c r="N52" s="73">
        <v>274123.01403758896</v>
      </c>
    </row>
    <row r="53" spans="1:14" x14ac:dyDescent="0.3">
      <c r="A53" t="s">
        <v>2278</v>
      </c>
      <c r="B53" t="s">
        <v>2218</v>
      </c>
      <c r="C53" s="74">
        <f t="shared" ref="C53:J53" si="61">IFERROR(C52/C51,0)</f>
        <v>12.594393601007098</v>
      </c>
      <c r="D53" s="74">
        <f t="shared" si="61"/>
        <v>12.610558540136754</v>
      </c>
      <c r="E53" s="74">
        <f t="shared" si="61"/>
        <v>12.625419080431481</v>
      </c>
      <c r="F53" s="74">
        <f t="shared" si="61"/>
        <v>12.644322728018373</v>
      </c>
      <c r="G53" s="74">
        <f t="shared" si="61"/>
        <v>12.657918800068861</v>
      </c>
      <c r="H53" s="74">
        <f t="shared" si="61"/>
        <v>12.675559278836211</v>
      </c>
      <c r="I53" s="74">
        <f t="shared" si="61"/>
        <v>12.684216648433761</v>
      </c>
      <c r="J53" s="74">
        <f t="shared" si="61"/>
        <v>12.682060557832269</v>
      </c>
      <c r="K53" s="74">
        <v>12.678261416094024</v>
      </c>
      <c r="L53" s="74">
        <v>12.659596321384788</v>
      </c>
      <c r="M53" s="74">
        <v>12.652457487081771</v>
      </c>
      <c r="N53" s="74">
        <v>12.616881275231155</v>
      </c>
    </row>
    <row r="54" spans="1:14" x14ac:dyDescent="0.3">
      <c r="A54" t="s">
        <v>2279</v>
      </c>
      <c r="B54" t="s">
        <v>2280</v>
      </c>
      <c r="C54" s="73">
        <v>830.55990097200004</v>
      </c>
      <c r="D54" s="73">
        <v>901.43650395220004</v>
      </c>
      <c r="E54" s="73">
        <v>888.38915632710007</v>
      </c>
      <c r="F54" s="73">
        <v>877.91618370840001</v>
      </c>
      <c r="G54" s="73">
        <v>837.05477210929996</v>
      </c>
      <c r="H54" s="73">
        <v>823.97979514989993</v>
      </c>
      <c r="I54" s="73">
        <v>907.1782126969</v>
      </c>
      <c r="J54" s="73">
        <v>915.02257340070003</v>
      </c>
      <c r="K54" s="73">
        <v>911.65366018069994</v>
      </c>
      <c r="L54" s="73">
        <v>872.3832618376</v>
      </c>
      <c r="M54" s="73">
        <v>866.12741104090003</v>
      </c>
      <c r="N54" s="73">
        <v>861.71796769690002</v>
      </c>
    </row>
    <row r="55" spans="1:14" x14ac:dyDescent="0.3">
      <c r="A55" t="s">
        <v>2281</v>
      </c>
      <c r="B55" t="s">
        <v>2216</v>
      </c>
      <c r="C55" s="73">
        <v>6830.6473346434896</v>
      </c>
      <c r="D55" s="73">
        <v>7330.5977788163</v>
      </c>
      <c r="E55" s="73">
        <v>7230.7647220598801</v>
      </c>
      <c r="F55" s="73">
        <v>7164.7419833990807</v>
      </c>
      <c r="G55" s="73">
        <v>6851.2707820964097</v>
      </c>
      <c r="H55" s="73">
        <v>6764.10376549174</v>
      </c>
      <c r="I55" s="73">
        <v>7399.3835755290402</v>
      </c>
      <c r="J55" s="73">
        <v>7470.7647835381695</v>
      </c>
      <c r="K55" s="73">
        <v>7435.1117857832605</v>
      </c>
      <c r="L55" s="73">
        <v>7109.5364797637594</v>
      </c>
      <c r="M55" s="73">
        <v>7065.9402976204992</v>
      </c>
      <c r="N55" s="73">
        <v>7031.3008344346199</v>
      </c>
    </row>
    <row r="56" spans="1:14" x14ac:dyDescent="0.3">
      <c r="A56" t="s">
        <v>2282</v>
      </c>
      <c r="B56" t="s">
        <v>2218</v>
      </c>
      <c r="C56" s="74">
        <f t="shared" ref="C56:G56" si="62">IFERROR(C55/C54,0)</f>
        <v>8.2241477425645257</v>
      </c>
      <c r="D56" s="74">
        <f t="shared" si="62"/>
        <v>8.1321288262417823</v>
      </c>
      <c r="E56" s="74">
        <f t="shared" si="62"/>
        <v>8.1391861557093925</v>
      </c>
      <c r="F56" s="74">
        <f t="shared" si="62"/>
        <v>8.161077465430175</v>
      </c>
      <c r="G56" s="74">
        <f t="shared" si="62"/>
        <v>8.1849730870440496</v>
      </c>
      <c r="H56" s="74">
        <f t="shared" ref="H56:J56" si="63">IFERROR(H55/H54,0)</f>
        <v>8.2090650830354424</v>
      </c>
      <c r="I56" s="74">
        <f t="shared" si="63"/>
        <v>8.1564828960473168</v>
      </c>
      <c r="J56" s="74">
        <f t="shared" si="63"/>
        <v>8.1645688321905769</v>
      </c>
      <c r="K56" s="74">
        <v>8.1556320240183524</v>
      </c>
      <c r="L56" s="74">
        <v>8.1495562681798077</v>
      </c>
      <c r="M56" s="74">
        <v>8.1580841427576445</v>
      </c>
      <c r="N56" s="74">
        <v>8.1596312227619752</v>
      </c>
    </row>
    <row r="57" spans="1:14" x14ac:dyDescent="0.3">
      <c r="A57" t="s">
        <v>2283</v>
      </c>
      <c r="B57" t="s">
        <v>2284</v>
      </c>
      <c r="C57" s="73">
        <f t="shared" ref="C57:E58" si="64">C60+C63</f>
        <v>107081.29145220209</v>
      </c>
      <c r="D57" s="73">
        <f t="shared" si="64"/>
        <v>109288.08249965392</v>
      </c>
      <c r="E57" s="73">
        <f t="shared" si="64"/>
        <v>109351.36520940351</v>
      </c>
      <c r="F57" s="73">
        <f>F60+F63</f>
        <v>111517.9858398721</v>
      </c>
      <c r="G57" s="73">
        <f t="shared" ref="G57:G58" si="65">G60+G63</f>
        <v>111457.83387721305</v>
      </c>
      <c r="H57" s="73">
        <f t="shared" ref="H57:J57" si="66">H60+H63</f>
        <v>113636.24907328209</v>
      </c>
      <c r="I57" s="73">
        <f t="shared" si="66"/>
        <v>113666.73613576128</v>
      </c>
      <c r="J57" s="73">
        <f t="shared" si="66"/>
        <v>114844.88803244871</v>
      </c>
      <c r="K57" s="73">
        <v>116065.5380113259</v>
      </c>
      <c r="L57" s="73">
        <v>117593.08958221499</v>
      </c>
      <c r="M57" s="73">
        <v>117312.6519312111</v>
      </c>
      <c r="N57" s="73">
        <v>118424.78456801771</v>
      </c>
    </row>
    <row r="58" spans="1:14" x14ac:dyDescent="0.3">
      <c r="A58" t="s">
        <v>2285</v>
      </c>
      <c r="B58" t="s">
        <v>2216</v>
      </c>
      <c r="C58" s="73">
        <f t="shared" si="64"/>
        <v>1487914.6567497319</v>
      </c>
      <c r="D58" s="73">
        <f t="shared" si="64"/>
        <v>1510784.2678412676</v>
      </c>
      <c r="E58" s="73">
        <f t="shared" si="64"/>
        <v>1507616.4602030083</v>
      </c>
      <c r="F58" s="73">
        <f>F61+F64</f>
        <v>1533133.636291164</v>
      </c>
      <c r="G58" s="73">
        <f t="shared" si="65"/>
        <v>1531259.9385231223</v>
      </c>
      <c r="H58" s="73">
        <f t="shared" ref="H58:J58" si="67">H61+H64</f>
        <v>1556246.4308218828</v>
      </c>
      <c r="I58" s="73">
        <f t="shared" si="67"/>
        <v>1546942.3993458219</v>
      </c>
      <c r="J58" s="73">
        <f t="shared" si="67"/>
        <v>1542466.7696554265</v>
      </c>
      <c r="K58" s="73">
        <v>1544981.4133769867</v>
      </c>
      <c r="L58" s="73">
        <v>1543228.9644934284</v>
      </c>
      <c r="M58" s="73">
        <v>1526528.7233189659</v>
      </c>
      <c r="N58" s="73">
        <v>1530441.6202701807</v>
      </c>
    </row>
    <row r="59" spans="1:14" x14ac:dyDescent="0.3">
      <c r="A59" t="s">
        <v>2286</v>
      </c>
      <c r="B59" t="s">
        <v>2218</v>
      </c>
      <c r="C59" s="74">
        <f t="shared" ref="C59:G59" si="68">IFERROR(C58/C57,0)</f>
        <v>13.895187820123489</v>
      </c>
      <c r="D59" s="74">
        <f t="shared" si="68"/>
        <v>13.823870208776441</v>
      </c>
      <c r="E59" s="74">
        <f t="shared" si="68"/>
        <v>13.786901126620439</v>
      </c>
      <c r="F59" s="74">
        <f t="shared" si="68"/>
        <v>13.7478598160173</v>
      </c>
      <c r="G59" s="74">
        <f t="shared" si="68"/>
        <v>13.73846848854094</v>
      </c>
      <c r="H59" s="74">
        <f t="shared" ref="H59:J59" si="69">IFERROR(H58/H57,0)</f>
        <v>13.694982397899158</v>
      </c>
      <c r="I59" s="74">
        <f t="shared" si="69"/>
        <v>13.609455606239848</v>
      </c>
      <c r="J59" s="74">
        <f t="shared" si="69"/>
        <v>13.430870072506947</v>
      </c>
      <c r="K59" s="74">
        <v>13.311284640116211</v>
      </c>
      <c r="L59" s="74">
        <v>13.123466438174351</v>
      </c>
      <c r="M59" s="74">
        <v>13.01248158820994</v>
      </c>
      <c r="N59" s="74">
        <v>12.923321970589408</v>
      </c>
    </row>
    <row r="60" spans="1:14" x14ac:dyDescent="0.3">
      <c r="A60" t="s">
        <v>2287</v>
      </c>
      <c r="B60" t="s">
        <v>2288</v>
      </c>
      <c r="C60" s="73">
        <v>98347.351508259992</v>
      </c>
      <c r="D60" s="73">
        <v>99825.165319708132</v>
      </c>
      <c r="E60" s="73">
        <v>99743.527664889014</v>
      </c>
      <c r="F60" s="73">
        <v>101993.41896012399</v>
      </c>
      <c r="G60" s="73">
        <v>102331.52075690425</v>
      </c>
      <c r="H60" s="73">
        <v>104789.40873310699</v>
      </c>
      <c r="I60" s="73">
        <v>105391.23989079185</v>
      </c>
      <c r="J60" s="73">
        <v>106636.49340580431</v>
      </c>
      <c r="K60" s="73">
        <v>107830.34551807494</v>
      </c>
      <c r="L60" s="73">
        <v>108244.32367893684</v>
      </c>
      <c r="M60" s="73">
        <v>107993.6325638985</v>
      </c>
      <c r="N60" s="73">
        <v>109484.8363291409</v>
      </c>
    </row>
    <row r="61" spans="1:14" x14ac:dyDescent="0.3">
      <c r="A61" t="s">
        <v>2289</v>
      </c>
      <c r="B61" t="s">
        <v>2216</v>
      </c>
      <c r="C61" s="73">
        <v>1417896.2210891799</v>
      </c>
      <c r="D61" s="73">
        <v>1437067.1336271465</v>
      </c>
      <c r="E61" s="73">
        <v>1433358.8393572699</v>
      </c>
      <c r="F61" s="73">
        <v>1459570.5639019699</v>
      </c>
      <c r="G61" s="73">
        <v>1460453.9400781682</v>
      </c>
      <c r="H61" s="73">
        <v>1487252.21792179</v>
      </c>
      <c r="I61" s="73">
        <v>1482602.2805333701</v>
      </c>
      <c r="J61" s="73">
        <v>1478772.477771268</v>
      </c>
      <c r="K61" s="73">
        <v>1481398.1632505339</v>
      </c>
      <c r="L61" s="73">
        <v>1473595.8695426397</v>
      </c>
      <c r="M61" s="73">
        <v>1456963.3226297644</v>
      </c>
      <c r="N61" s="73">
        <v>1462945.9851899347</v>
      </c>
    </row>
    <row r="62" spans="1:14" x14ac:dyDescent="0.3">
      <c r="A62" t="s">
        <v>2290</v>
      </c>
      <c r="B62" t="s">
        <v>2218</v>
      </c>
      <c r="C62" s="74">
        <f t="shared" ref="C62:J62" si="70">IFERROR(C61/C60,0)</f>
        <v>14.417228317227167</v>
      </c>
      <c r="D62" s="74">
        <f t="shared" si="70"/>
        <v>14.395840257561099</v>
      </c>
      <c r="E62" s="74">
        <f t="shared" si="70"/>
        <v>14.37044460842576</v>
      </c>
      <c r="F62" s="74">
        <f t="shared" si="70"/>
        <v>14.310438641856031</v>
      </c>
      <c r="G62" s="74">
        <f t="shared" si="70"/>
        <v>14.271789662420629</v>
      </c>
      <c r="H62" s="74">
        <f t="shared" si="70"/>
        <v>14.192772303064919</v>
      </c>
      <c r="I62" s="74">
        <f t="shared" si="70"/>
        <v>14.067604499858499</v>
      </c>
      <c r="J62" s="74">
        <f t="shared" si="70"/>
        <v>13.867414714621301</v>
      </c>
      <c r="K62" s="74">
        <v>13.738230700579701</v>
      </c>
      <c r="L62" s="74">
        <v>13.613608727543699</v>
      </c>
      <c r="M62" s="74">
        <v>13.491196545941699</v>
      </c>
      <c r="N62" s="74">
        <v>13.362087703103699</v>
      </c>
    </row>
    <row r="63" spans="1:14" x14ac:dyDescent="0.3">
      <c r="A63" t="s">
        <v>2291</v>
      </c>
      <c r="B63" t="s">
        <v>2292</v>
      </c>
      <c r="C63" s="73">
        <v>8733.9399439421013</v>
      </c>
      <c r="D63" s="73">
        <v>9462.9171799457854</v>
      </c>
      <c r="E63" s="73">
        <v>9607.8375445144993</v>
      </c>
      <c r="F63" s="73">
        <v>9524.5668797480994</v>
      </c>
      <c r="G63" s="73">
        <v>9126.3131203087996</v>
      </c>
      <c r="H63" s="73">
        <v>8846.8403401751002</v>
      </c>
      <c r="I63" s="73">
        <v>8275.4962449694358</v>
      </c>
      <c r="J63" s="73">
        <v>8208.3946266443891</v>
      </c>
      <c r="K63" s="73">
        <v>8235.1924932509537</v>
      </c>
      <c r="L63" s="73">
        <v>9348.7659032781521</v>
      </c>
      <c r="M63" s="73">
        <v>9319.019367312605</v>
      </c>
      <c r="N63" s="73">
        <v>8939.9482388768101</v>
      </c>
    </row>
    <row r="64" spans="1:14" x14ac:dyDescent="0.3">
      <c r="A64" t="s">
        <v>2293</v>
      </c>
      <c r="B64" t="s">
        <v>2216</v>
      </c>
      <c r="C64" s="73">
        <v>70018.435660551899</v>
      </c>
      <c r="D64" s="73">
        <v>73717.134214121194</v>
      </c>
      <c r="E64" s="73">
        <v>74257.620845738304</v>
      </c>
      <c r="F64" s="73">
        <v>73563.072389194102</v>
      </c>
      <c r="G64" s="73">
        <v>70805.998444954195</v>
      </c>
      <c r="H64" s="73">
        <v>68994.212900092811</v>
      </c>
      <c r="I64" s="73">
        <v>64340.118812451794</v>
      </c>
      <c r="J64" s="73">
        <v>63694.291884158454</v>
      </c>
      <c r="K64" s="73">
        <v>63583.250126452978</v>
      </c>
      <c r="L64" s="73">
        <v>69633.094950788553</v>
      </c>
      <c r="M64" s="73">
        <v>69565.400689201386</v>
      </c>
      <c r="N64" s="73">
        <v>67495.635080245978</v>
      </c>
    </row>
    <row r="65" spans="1:14" x14ac:dyDescent="0.3">
      <c r="A65" t="s">
        <v>2294</v>
      </c>
      <c r="B65" t="s">
        <v>2218</v>
      </c>
      <c r="C65" s="74">
        <f t="shared" ref="C65:G65" si="71">IFERROR(C64/C63,0)</f>
        <v>8.0168212868371036</v>
      </c>
      <c r="D65" s="74">
        <f t="shared" si="71"/>
        <v>7.7901066671433696</v>
      </c>
      <c r="E65" s="74">
        <f t="shared" si="71"/>
        <v>7.7288589135372057</v>
      </c>
      <c r="F65" s="74">
        <f t="shared" si="71"/>
        <v>7.7235084091445492</v>
      </c>
      <c r="G65" s="74">
        <f t="shared" si="71"/>
        <v>7.7584450052880047</v>
      </c>
      <c r="H65" s="74">
        <f t="shared" ref="H65:J65" si="72">IFERROR(H64/H63,0)</f>
        <v>7.7987405951905364</v>
      </c>
      <c r="I65" s="74">
        <f t="shared" si="72"/>
        <v>7.7747746972350207</v>
      </c>
      <c r="J65" s="74">
        <f t="shared" si="72"/>
        <v>7.7596527434740095</v>
      </c>
      <c r="K65" s="74">
        <v>7.7209185065876502</v>
      </c>
      <c r="L65" s="74">
        <v>7.4483729372634793</v>
      </c>
      <c r="M65" s="74">
        <v>7.4648842273264293</v>
      </c>
      <c r="N65" s="74">
        <v>7.5498910370342296</v>
      </c>
    </row>
    <row r="66" spans="1:14" x14ac:dyDescent="0.3">
      <c r="A66" t="s">
        <v>2295</v>
      </c>
      <c r="B66" t="s">
        <v>860</v>
      </c>
      <c r="C66" s="73">
        <f t="shared" ref="C66:G67" si="73">C69+C72</f>
        <v>43928.506353149431</v>
      </c>
      <c r="D66" s="73">
        <f t="shared" si="73"/>
        <v>40605.882868100867</v>
      </c>
      <c r="E66" s="73">
        <f t="shared" si="73"/>
        <v>44434.068876000005</v>
      </c>
      <c r="F66" s="73">
        <f t="shared" si="73"/>
        <v>46163.898469035608</v>
      </c>
      <c r="G66" s="73">
        <f t="shared" si="73"/>
        <v>48181.190248239938</v>
      </c>
      <c r="H66" s="73">
        <f t="shared" ref="H66:J66" si="74">H69+H72</f>
        <v>50588.1092829275</v>
      </c>
      <c r="I66" s="73">
        <f t="shared" si="74"/>
        <v>49181.408970808501</v>
      </c>
      <c r="J66" s="73">
        <f t="shared" si="74"/>
        <v>48548.96426880428</v>
      </c>
      <c r="K66" s="73">
        <v>50042.132562446131</v>
      </c>
      <c r="L66" s="73">
        <v>54460.140798</v>
      </c>
      <c r="M66" s="73">
        <v>56596.615176280742</v>
      </c>
      <c r="N66" s="73">
        <v>58043.620137618447</v>
      </c>
    </row>
    <row r="67" spans="1:14" x14ac:dyDescent="0.3">
      <c r="A67" t="s">
        <v>2296</v>
      </c>
      <c r="B67" t="s">
        <v>2216</v>
      </c>
      <c r="C67" s="73">
        <f t="shared" si="73"/>
        <v>466200.38744619582</v>
      </c>
      <c r="D67" s="73">
        <f t="shared" si="73"/>
        <v>426960.21781280061</v>
      </c>
      <c r="E67" s="73">
        <f t="shared" si="73"/>
        <v>457560.17104325863</v>
      </c>
      <c r="F67" s="73">
        <f t="shared" si="73"/>
        <v>470935.90771724191</v>
      </c>
      <c r="G67" s="73">
        <f t="shared" si="73"/>
        <v>476286.16614241834</v>
      </c>
      <c r="H67" s="73">
        <f t="shared" ref="H67:J67" si="75">H70+H73</f>
        <v>489946.44546813681</v>
      </c>
      <c r="I67" s="73">
        <f t="shared" si="75"/>
        <v>468307.40378388547</v>
      </c>
      <c r="J67" s="73">
        <f t="shared" si="75"/>
        <v>452679.73508179456</v>
      </c>
      <c r="K67" s="73">
        <v>464882.58877143916</v>
      </c>
      <c r="L67" s="73">
        <v>496706.32696010848</v>
      </c>
      <c r="M67" s="73">
        <v>501701.35010282777</v>
      </c>
      <c r="N67" s="73">
        <v>512599.57798045385</v>
      </c>
    </row>
    <row r="68" spans="1:14" x14ac:dyDescent="0.3">
      <c r="A68" t="s">
        <v>2297</v>
      </c>
      <c r="B68" t="s">
        <v>2218</v>
      </c>
      <c r="C68" s="74">
        <f>C67/C66</f>
        <v>10.612707468319643</v>
      </c>
      <c r="D68" s="74">
        <f>D67/D66</f>
        <v>10.514737955573715</v>
      </c>
      <c r="E68" s="74">
        <f>E67/E66</f>
        <v>10.297507804656592</v>
      </c>
      <c r="F68" s="74">
        <f>F67/F66</f>
        <v>10.201389469590003</v>
      </c>
      <c r="G68" s="74">
        <f>IFERROR(G67/G66,0)</f>
        <v>9.8853134114887737</v>
      </c>
      <c r="H68" s="74">
        <f t="shared" ref="H68:J68" si="76">IFERROR(H67/H66,0)</f>
        <v>9.6850120001121329</v>
      </c>
      <c r="I68" s="74">
        <f t="shared" si="76"/>
        <v>9.5220412262253031</v>
      </c>
      <c r="J68" s="74">
        <f t="shared" si="76"/>
        <v>9.3241893395585649</v>
      </c>
      <c r="K68" s="74">
        <v>9.2898236938908543</v>
      </c>
      <c r="L68" s="74">
        <v>9.120547976591892</v>
      </c>
      <c r="M68" s="74">
        <v>8.8645115708807865</v>
      </c>
      <c r="N68" s="74">
        <v>8.8312820042083278</v>
      </c>
    </row>
    <row r="69" spans="1:14" x14ac:dyDescent="0.3">
      <c r="A69" s="2">
        <v>2052242010</v>
      </c>
      <c r="B69" t="s">
        <v>2298</v>
      </c>
      <c r="C69" s="73">
        <v>35125.823954980202</v>
      </c>
      <c r="D69" s="73">
        <v>32801.654190968497</v>
      </c>
      <c r="E69" s="73">
        <v>36630.22429425177</v>
      </c>
      <c r="F69" s="73">
        <v>38352.729069553701</v>
      </c>
      <c r="G69" s="73">
        <v>40365.986455851598</v>
      </c>
      <c r="H69" s="73">
        <v>42767.740882473394</v>
      </c>
      <c r="I69" s="73">
        <v>41357.641898604794</v>
      </c>
      <c r="J69" s="73">
        <v>41746.9144374147</v>
      </c>
      <c r="K69" s="73">
        <v>44239.827667589299</v>
      </c>
      <c r="L69" s="73">
        <v>48659.743889069614</v>
      </c>
      <c r="M69" s="73">
        <v>50765.499478653102</v>
      </c>
      <c r="N69" s="73">
        <v>52710.949254440005</v>
      </c>
    </row>
    <row r="70" spans="1:14" x14ac:dyDescent="0.3">
      <c r="A70" s="2">
        <v>2052242030</v>
      </c>
      <c r="B70" t="s">
        <v>2216</v>
      </c>
      <c r="C70" s="73">
        <v>375206.58964506473</v>
      </c>
      <c r="D70" s="73">
        <v>348279.795769741</v>
      </c>
      <c r="E70" s="73">
        <v>382836.88278910622</v>
      </c>
      <c r="F70" s="73">
        <v>396094.26094054902</v>
      </c>
      <c r="G70" s="73">
        <v>405262.89721928304</v>
      </c>
      <c r="H70" s="73">
        <v>420240.12087824999</v>
      </c>
      <c r="I70" s="73">
        <v>401161.54542661499</v>
      </c>
      <c r="J70" s="73">
        <v>397903.87797556497</v>
      </c>
      <c r="K70" s="73">
        <v>419153.83864198998</v>
      </c>
      <c r="L70" s="73">
        <v>451206.52943117369</v>
      </c>
      <c r="M70" s="73">
        <v>457495.32567098399</v>
      </c>
      <c r="N70" s="73">
        <v>473309.39275396697</v>
      </c>
    </row>
    <row r="71" spans="1:14" x14ac:dyDescent="0.3">
      <c r="A71" s="2">
        <v>2052242040</v>
      </c>
      <c r="B71" t="s">
        <v>2218</v>
      </c>
      <c r="C71" s="74">
        <f t="shared" ref="C71:J71" si="77">IFERROR(C70/C69,0)</f>
        <v>10.681787568199301</v>
      </c>
      <c r="D71" s="74">
        <f t="shared" si="77"/>
        <v>10.617750975060131</v>
      </c>
      <c r="E71" s="74">
        <f t="shared" si="77"/>
        <v>10.451393355218499</v>
      </c>
      <c r="F71" s="74">
        <f t="shared" si="77"/>
        <v>10.327668214228549</v>
      </c>
      <c r="G71" s="74">
        <f t="shared" si="77"/>
        <v>10.039712460948286</v>
      </c>
      <c r="H71" s="74">
        <f t="shared" si="77"/>
        <v>9.8261005189186452</v>
      </c>
      <c r="I71" s="74">
        <f t="shared" si="77"/>
        <v>9.6998166967577575</v>
      </c>
      <c r="J71" s="74">
        <f t="shared" si="77"/>
        <v>9.5313362277848466</v>
      </c>
      <c r="K71" s="74">
        <v>9.474581180366302</v>
      </c>
      <c r="L71" s="74">
        <v>9.2726860720803703</v>
      </c>
      <c r="M71" s="74">
        <v>9.0119338993869409</v>
      </c>
      <c r="N71" s="74">
        <v>8.9793372999083036</v>
      </c>
    </row>
    <row r="72" spans="1:14" x14ac:dyDescent="0.3">
      <c r="A72" s="2">
        <v>2052342010</v>
      </c>
      <c r="B72" t="s">
        <v>2299</v>
      </c>
      <c r="C72" s="73">
        <v>8802.6823981692287</v>
      </c>
      <c r="D72" s="73">
        <v>7804.2286771323697</v>
      </c>
      <c r="E72" s="73">
        <v>7803.8445817482316</v>
      </c>
      <c r="F72" s="73">
        <v>7811.1693994819097</v>
      </c>
      <c r="G72" s="73">
        <v>7815.2037923883399</v>
      </c>
      <c r="H72" s="73">
        <v>7820.3684004541101</v>
      </c>
      <c r="I72" s="73">
        <v>7823.7670722037092</v>
      </c>
      <c r="J72" s="73">
        <v>6802.0498313895796</v>
      </c>
      <c r="K72" s="73">
        <v>5802.3048948568294</v>
      </c>
      <c r="L72" s="73">
        <v>5800.3969089303855</v>
      </c>
      <c r="M72" s="73">
        <v>5831.1156976276397</v>
      </c>
      <c r="N72" s="73">
        <v>5332.6708831784399</v>
      </c>
    </row>
    <row r="73" spans="1:14" x14ac:dyDescent="0.3">
      <c r="A73" s="2">
        <v>2052342030</v>
      </c>
      <c r="B73" t="s">
        <v>2216</v>
      </c>
      <c r="C73" s="73">
        <v>90993.797801131106</v>
      </c>
      <c r="D73" s="73">
        <v>78680.422043059603</v>
      </c>
      <c r="E73" s="73">
        <v>74723.288254152401</v>
      </c>
      <c r="F73" s="73">
        <v>74841.646776692898</v>
      </c>
      <c r="G73" s="73">
        <v>71023.2689231353</v>
      </c>
      <c r="H73" s="73">
        <v>69706.32458988679</v>
      </c>
      <c r="I73" s="73">
        <v>67145.858357270496</v>
      </c>
      <c r="J73" s="73">
        <v>54775.857106229596</v>
      </c>
      <c r="K73" s="73">
        <v>45728.750129449203</v>
      </c>
      <c r="L73" s="73">
        <v>45499.797528934781</v>
      </c>
      <c r="M73" s="73">
        <v>44206.024431843805</v>
      </c>
      <c r="N73" s="73">
        <v>39290.185226486901</v>
      </c>
    </row>
    <row r="74" spans="1:14" x14ac:dyDescent="0.3">
      <c r="A74" s="2">
        <v>2052342040</v>
      </c>
      <c r="B74" t="s">
        <v>2218</v>
      </c>
      <c r="C74" s="74">
        <f t="shared" ref="C74:J74" si="78">IFERROR(C73/C72,0)</f>
        <v>10.337053375918218</v>
      </c>
      <c r="D74" s="74">
        <f t="shared" si="78"/>
        <v>10.081767884839888</v>
      </c>
      <c r="E74" s="74">
        <f t="shared" si="78"/>
        <v>9.5751891867396406</v>
      </c>
      <c r="F74" s="74">
        <f t="shared" si="78"/>
        <v>9.5813626550791362</v>
      </c>
      <c r="G74" s="74">
        <f t="shared" si="78"/>
        <v>9.087833255520323</v>
      </c>
      <c r="H74" s="74">
        <f t="shared" si="78"/>
        <v>8.9134323372590867</v>
      </c>
      <c r="I74" s="74">
        <f t="shared" si="78"/>
        <v>8.5822926139795754</v>
      </c>
      <c r="J74" s="74">
        <f t="shared" si="78"/>
        <v>8.0528456074305943</v>
      </c>
      <c r="K74" s="74">
        <v>7.8811353346810895</v>
      </c>
      <c r="L74" s="74">
        <v>7.8442558747803197</v>
      </c>
      <c r="M74" s="74">
        <v>7.5810576781779178</v>
      </c>
      <c r="N74" s="74">
        <v>7.367824883104114</v>
      </c>
    </row>
    <row r="75" spans="1:14" x14ac:dyDescent="0.3">
      <c r="A75" s="2">
        <v>2052442010</v>
      </c>
      <c r="B75" t="s">
        <v>2300</v>
      </c>
      <c r="C75" s="73">
        <v>18809.673971520002</v>
      </c>
      <c r="D75" s="73">
        <v>15775.03543874</v>
      </c>
      <c r="E75" s="73">
        <v>20432.54390877</v>
      </c>
      <c r="F75" s="73">
        <v>19779.257746810003</v>
      </c>
      <c r="G75" s="73">
        <v>21487.128227279998</v>
      </c>
      <c r="H75" s="73">
        <f>25718165908.4702/1000000</f>
        <v>25718.165908470201</v>
      </c>
      <c r="I75" s="73">
        <v>29170.68808408</v>
      </c>
      <c r="J75" s="73">
        <v>23354.156152020001</v>
      </c>
      <c r="K75" s="73">
        <v>29535.515677893869</v>
      </c>
      <c r="L75" s="73">
        <v>28214.499089650002</v>
      </c>
      <c r="M75" s="73">
        <v>33744.406840240001</v>
      </c>
      <c r="N75" s="73">
        <v>36126.059951207782</v>
      </c>
    </row>
    <row r="76" spans="1:14" x14ac:dyDescent="0.3">
      <c r="A76" s="2">
        <v>2052442030</v>
      </c>
      <c r="B76" t="s">
        <v>2216</v>
      </c>
      <c r="C76" s="73">
        <v>183906.23363378699</v>
      </c>
      <c r="D76" s="73">
        <v>156463.41220541799</v>
      </c>
      <c r="E76" s="73">
        <v>190967.69608941401</v>
      </c>
      <c r="F76" s="73">
        <v>181102.246140353</v>
      </c>
      <c r="G76" s="73">
        <v>192888.71862362899</v>
      </c>
      <c r="H76" s="73">
        <f>219573222000.709/1000000</f>
        <v>219573.22200070901</v>
      </c>
      <c r="I76" s="73">
        <v>235287.426432081</v>
      </c>
      <c r="J76" s="73">
        <v>182651.24594565798</v>
      </c>
      <c r="K76" s="73">
        <v>223208.50170919407</v>
      </c>
      <c r="L76" s="73">
        <v>213872.18501200399</v>
      </c>
      <c r="M76" s="73">
        <v>244925.098972379</v>
      </c>
      <c r="N76" s="73">
        <v>262302.15035059908</v>
      </c>
    </row>
    <row r="77" spans="1:14" x14ac:dyDescent="0.3">
      <c r="A77" s="2">
        <v>2052442040</v>
      </c>
      <c r="B77" t="s">
        <v>2218</v>
      </c>
      <c r="C77" s="74">
        <f t="shared" ref="C77:J77" si="79">IFERROR(C76/C75,0)</f>
        <v>9.7772153792905758</v>
      </c>
      <c r="D77" s="74">
        <f t="shared" si="79"/>
        <v>9.9184190623862829</v>
      </c>
      <c r="E77" s="74">
        <f t="shared" si="79"/>
        <v>9.3462515946165361</v>
      </c>
      <c r="F77" s="74">
        <f t="shared" si="79"/>
        <v>9.1561699866902817</v>
      </c>
      <c r="G77" s="74">
        <f t="shared" si="79"/>
        <v>8.9769426878896734</v>
      </c>
      <c r="H77" s="74">
        <f t="shared" si="79"/>
        <v>8.5376703292979865</v>
      </c>
      <c r="I77" s="74">
        <f t="shared" si="79"/>
        <v>8.0658853762345739</v>
      </c>
      <c r="J77" s="74">
        <f t="shared" si="79"/>
        <v>7.8209310906684033</v>
      </c>
      <c r="K77" s="74">
        <v>7.5572915043517099</v>
      </c>
      <c r="L77" s="74">
        <v>7.5802226483779496</v>
      </c>
      <c r="M77" s="74">
        <v>7.2582428291584993</v>
      </c>
      <c r="N77" s="74">
        <v>7.260746140178779</v>
      </c>
    </row>
    <row r="78" spans="1:14" x14ac:dyDescent="0.3">
      <c r="A78" s="2">
        <v>2052542010</v>
      </c>
      <c r="B78" t="s">
        <v>2301</v>
      </c>
      <c r="C78" s="73">
        <v>8778.2306924999993</v>
      </c>
      <c r="D78" s="73">
        <v>3518.8573247600002</v>
      </c>
      <c r="E78" s="73">
        <v>7787.0920211299999</v>
      </c>
      <c r="F78" s="73">
        <v>5503.8933592799995</v>
      </c>
      <c r="G78" s="73">
        <v>7795.7847780000002</v>
      </c>
      <c r="H78" s="73">
        <f>3879917071.52977/1000000</f>
        <v>3879.9170715297701</v>
      </c>
      <c r="I78" s="73">
        <v>7533.3973604900002</v>
      </c>
      <c r="J78" s="73">
        <v>6602.4545400200004</v>
      </c>
      <c r="K78" s="73">
        <v>5515.0972551061377</v>
      </c>
      <c r="L78" s="73">
        <v>5782.4254557100003</v>
      </c>
      <c r="M78" s="73">
        <v>5829.5978963900006</v>
      </c>
      <c r="N78" s="73">
        <v>3080.01186479222</v>
      </c>
    </row>
    <row r="79" spans="1:14" x14ac:dyDescent="0.3">
      <c r="A79" s="2">
        <v>2052542030</v>
      </c>
      <c r="B79" t="s">
        <v>2216</v>
      </c>
      <c r="C79" s="73">
        <v>84996.020134505903</v>
      </c>
      <c r="D79" s="73">
        <v>34219.389521437399</v>
      </c>
      <c r="E79" s="73">
        <v>71917.454097355891</v>
      </c>
      <c r="F79" s="73">
        <v>48737.7802518069</v>
      </c>
      <c r="G79" s="73">
        <v>67358.726958002706</v>
      </c>
      <c r="H79" s="73">
        <f>31850754716.8089/1000000</f>
        <v>31850.7547168089</v>
      </c>
      <c r="I79" s="73">
        <v>59316.347128091402</v>
      </c>
      <c r="J79" s="73">
        <v>48795.492183998394</v>
      </c>
      <c r="K79" s="73">
        <v>39623.699276735031</v>
      </c>
      <c r="L79" s="73">
        <v>43321.848285535401</v>
      </c>
      <c r="M79" s="73">
        <v>41086.230418973799</v>
      </c>
      <c r="N79" s="73">
        <v>20736.399679767594</v>
      </c>
    </row>
    <row r="80" spans="1:14" x14ac:dyDescent="0.3">
      <c r="A80" s="2">
        <v>2052542040</v>
      </c>
      <c r="B80" t="s">
        <v>2218</v>
      </c>
      <c r="C80" s="74">
        <f t="shared" ref="C80:J80" si="80">IFERROR(C79/C78,0)</f>
        <v>9.6825913002178616</v>
      </c>
      <c r="D80" s="74">
        <f t="shared" si="80"/>
        <v>9.7245743044643884</v>
      </c>
      <c r="E80" s="74">
        <f t="shared" si="80"/>
        <v>9.2354699163963154</v>
      </c>
      <c r="F80" s="74">
        <f t="shared" si="80"/>
        <v>8.8551461793188899</v>
      </c>
      <c r="G80" s="74">
        <f t="shared" si="80"/>
        <v>8.6404036124870434</v>
      </c>
      <c r="H80" s="74">
        <f t="shared" si="80"/>
        <v>8.2091328576388403</v>
      </c>
      <c r="I80" s="74">
        <f t="shared" si="80"/>
        <v>7.873784467972528</v>
      </c>
      <c r="J80" s="74">
        <f t="shared" si="80"/>
        <v>7.3905078616187767</v>
      </c>
      <c r="K80" s="74">
        <v>7.1845875863838193</v>
      </c>
      <c r="L80" s="74">
        <v>7.4919856066205162</v>
      </c>
      <c r="M80" s="74">
        <v>7.0478669625595609</v>
      </c>
      <c r="N80" s="74">
        <v>6.7325713633789812</v>
      </c>
    </row>
    <row r="81" spans="1:14" x14ac:dyDescent="0.3">
      <c r="A81" s="2">
        <v>2052642010</v>
      </c>
      <c r="B81" t="s">
        <v>2302</v>
      </c>
      <c r="C81" s="73">
        <v>2448.9867003847721</v>
      </c>
      <c r="D81" s="73">
        <v>2333.0272318099087</v>
      </c>
      <c r="E81" s="73">
        <v>2250.260810327014</v>
      </c>
      <c r="F81" s="73">
        <v>2172.6947596543887</v>
      </c>
      <c r="G81" s="73">
        <v>2131.5417955622929</v>
      </c>
      <c r="H81" s="73">
        <v>2149.9288358725175</v>
      </c>
      <c r="I81" s="73">
        <v>2139.7805726410234</v>
      </c>
      <c r="J81" s="73">
        <v>2220.9810170412802</v>
      </c>
      <c r="K81" s="73">
        <v>2820.9794359645807</v>
      </c>
      <c r="L81" s="73">
        <v>2865.0415202852164</v>
      </c>
      <c r="M81" s="73">
        <v>2850.8150855712311</v>
      </c>
      <c r="N81" s="73">
        <v>2855.3583733593678</v>
      </c>
    </row>
    <row r="82" spans="1:14" x14ac:dyDescent="0.3">
      <c r="A82" s="2">
        <v>2052642030</v>
      </c>
      <c r="B82" t="s">
        <v>2216</v>
      </c>
      <c r="C82" s="73">
        <v>27368.546821526281</v>
      </c>
      <c r="D82" s="73">
        <v>25850.958589216167</v>
      </c>
      <c r="E82" s="73">
        <v>24706.781763710947</v>
      </c>
      <c r="F82" s="73">
        <v>23345.136575839013</v>
      </c>
      <c r="G82" s="73">
        <v>23136.176010551339</v>
      </c>
      <c r="H82" s="73">
        <v>23013.407819400723</v>
      </c>
      <c r="I82" s="73">
        <v>22408.661188297952</v>
      </c>
      <c r="J82" s="73">
        <v>22216.690820692307</v>
      </c>
      <c r="K82" s="73">
        <v>26882.909851996788</v>
      </c>
      <c r="L82" s="73">
        <v>27291.421460474019</v>
      </c>
      <c r="M82" s="73">
        <v>27020.856101892208</v>
      </c>
      <c r="N82" s="73">
        <v>26730.259522461492</v>
      </c>
    </row>
    <row r="83" spans="1:14" x14ac:dyDescent="0.3">
      <c r="A83" s="2">
        <v>2052642040</v>
      </c>
      <c r="B83" t="s">
        <v>2218</v>
      </c>
      <c r="C83" s="74">
        <f t="shared" ref="C83:J83" si="81">IFERROR(C82/C81,0)</f>
        <v>11.175457513601962</v>
      </c>
      <c r="D83" s="74">
        <f t="shared" si="81"/>
        <v>11.080435854647778</v>
      </c>
      <c r="E83" s="74">
        <f t="shared" si="81"/>
        <v>10.97951919631951</v>
      </c>
      <c r="F83" s="74">
        <f t="shared" si="81"/>
        <v>10.74478431547031</v>
      </c>
      <c r="G83" s="74">
        <f t="shared" si="81"/>
        <v>10.854197679219375</v>
      </c>
      <c r="H83" s="74">
        <f t="shared" si="81"/>
        <v>10.704264920499597</v>
      </c>
      <c r="I83" s="74">
        <f t="shared" si="81"/>
        <v>10.472410804552764</v>
      </c>
      <c r="J83" s="74">
        <f t="shared" si="81"/>
        <v>10.003098023002767</v>
      </c>
      <c r="K83" s="74">
        <v>9.527714464110808</v>
      </c>
      <c r="L83" s="74">
        <v>9.5256635086241772</v>
      </c>
      <c r="M83" s="74">
        <v>9.4782913976610708</v>
      </c>
      <c r="N83" s="74">
        <v>9.3614376996793514</v>
      </c>
    </row>
    <row r="84" spans="1:14" x14ac:dyDescent="0.3">
      <c r="A84" s="2">
        <v>2052742010</v>
      </c>
      <c r="B84" t="s">
        <v>2303</v>
      </c>
      <c r="C84" s="73">
        <v>1380.8968032999999</v>
      </c>
      <c r="D84" s="73">
        <v>1285.6097244699999</v>
      </c>
      <c r="E84" s="73">
        <v>1261.0631864000002</v>
      </c>
      <c r="F84" s="73">
        <v>1190.4281936299999</v>
      </c>
      <c r="G84" s="73">
        <v>1337.2621554377151</v>
      </c>
      <c r="H84" s="73">
        <v>1351.7030591274811</v>
      </c>
      <c r="I84" s="73">
        <v>1347.3808833589771</v>
      </c>
      <c r="J84" s="73">
        <v>1314.8582139587161</v>
      </c>
      <c r="K84" s="73">
        <v>744.8257120354192</v>
      </c>
      <c r="L84" s="73">
        <v>688.07158635999997</v>
      </c>
      <c r="M84" s="73">
        <v>674.89240408000001</v>
      </c>
      <c r="N84" s="73">
        <v>660.28325364063733</v>
      </c>
    </row>
    <row r="85" spans="1:14" x14ac:dyDescent="0.3">
      <c r="A85" s="2">
        <v>2052742030</v>
      </c>
      <c r="B85" t="s">
        <v>2216</v>
      </c>
      <c r="C85" s="73">
        <v>15646.905163286399</v>
      </c>
      <c r="D85" s="73">
        <v>14296.825514023601</v>
      </c>
      <c r="E85" s="73">
        <v>13809.961176114599</v>
      </c>
      <c r="F85" s="73">
        <v>12654.968753593501</v>
      </c>
      <c r="G85" s="73">
        <v>14160.730213236289</v>
      </c>
      <c r="H85" s="73">
        <v>14248.099359846407</v>
      </c>
      <c r="I85" s="73">
        <v>14022.741823288585</v>
      </c>
      <c r="J85" s="73">
        <v>13358.181890918486</v>
      </c>
      <c r="K85" s="73">
        <v>8631.6369541520362</v>
      </c>
      <c r="L85" s="73">
        <v>7920.9586748774091</v>
      </c>
      <c r="M85" s="73">
        <v>7630.9226327758997</v>
      </c>
      <c r="N85" s="73">
        <v>7369.5664205778439</v>
      </c>
    </row>
    <row r="86" spans="1:14" x14ac:dyDescent="0.3">
      <c r="A86" s="2">
        <v>2052742040</v>
      </c>
      <c r="B86" t="s">
        <v>2218</v>
      </c>
      <c r="C86" s="74">
        <f t="shared" ref="C86:J86" si="82">IFERROR(C85/C84,0)</f>
        <v>11.330973557107372</v>
      </c>
      <c r="D86" s="74">
        <f t="shared" si="82"/>
        <v>11.120657569634945</v>
      </c>
      <c r="E86" s="74">
        <f t="shared" si="82"/>
        <v>10.951046168858804</v>
      </c>
      <c r="F86" s="74">
        <f t="shared" si="82"/>
        <v>10.630602350742732</v>
      </c>
      <c r="G86" s="74">
        <f t="shared" si="82"/>
        <v>10.589344920630893</v>
      </c>
      <c r="H86" s="74">
        <f t="shared" si="82"/>
        <v>10.540850125058899</v>
      </c>
      <c r="I86" s="74">
        <f t="shared" si="82"/>
        <v>10.4074074350308</v>
      </c>
      <c r="J86" s="74">
        <f t="shared" si="82"/>
        <v>10.159408633650523</v>
      </c>
      <c r="K86" s="74">
        <v>11.584331192229522</v>
      </c>
      <c r="L86" s="74">
        <v>11.511823525195172</v>
      </c>
      <c r="M86" s="74">
        <v>11.306872898026201</v>
      </c>
      <c r="N86" s="74">
        <v>11.161219643151467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6"/>
  <sheetViews>
    <sheetView topLeftCell="B1" zoomScaleNormal="100" workbookViewId="0">
      <pane xSplit="2" ySplit="1" topLeftCell="I2" activePane="bottomRight" state="frozen"/>
      <selection activeCell="N42" sqref="N42"/>
      <selection pane="topRight" activeCell="N42" sqref="N42"/>
      <selection pane="bottomLeft" activeCell="N42" sqref="N42"/>
      <selection pane="bottomRight" activeCell="K5" sqref="K5"/>
    </sheetView>
  </sheetViews>
  <sheetFormatPr baseColWidth="10" defaultRowHeight="14.4" x14ac:dyDescent="0.3"/>
  <cols>
    <col min="3" max="3" width="40.5546875" bestFit="1" customWidth="1"/>
    <col min="4" max="9" width="13.5546875" customWidth="1"/>
  </cols>
  <sheetData>
    <row r="1" spans="1:10" x14ac:dyDescent="0.3">
      <c r="A1" s="68" t="s">
        <v>206</v>
      </c>
      <c r="B1" s="68" t="s">
        <v>206</v>
      </c>
      <c r="C1" s="68" t="s">
        <v>205</v>
      </c>
      <c r="D1" s="45">
        <v>45627</v>
      </c>
      <c r="E1" s="45">
        <v>45658</v>
      </c>
      <c r="F1" s="45">
        <v>45689</v>
      </c>
      <c r="G1" s="45">
        <v>45717</v>
      </c>
      <c r="H1" s="45">
        <v>45748</v>
      </c>
      <c r="I1" s="45">
        <v>45778</v>
      </c>
      <c r="J1" s="45">
        <v>45809</v>
      </c>
    </row>
    <row r="2" spans="1:10" x14ac:dyDescent="0.3">
      <c r="A2" s="11" t="s">
        <v>2035</v>
      </c>
      <c r="B2" s="11">
        <v>34000</v>
      </c>
      <c r="C2" s="11" t="s">
        <v>2036</v>
      </c>
      <c r="D2" s="23">
        <v>-970.68355256693098</v>
      </c>
      <c r="E2" s="23">
        <v>-980.41339707853422</v>
      </c>
      <c r="F2" s="23">
        <v>-1092.7723677847546</v>
      </c>
      <c r="G2" s="23">
        <v>-1187.0979539935329</v>
      </c>
      <c r="H2" s="23">
        <v>-1295.4892754110097</v>
      </c>
      <c r="I2" s="23">
        <v>-1303.2198641356952</v>
      </c>
      <c r="J2" s="23">
        <v>-1337.8622394207641</v>
      </c>
    </row>
    <row r="3" spans="1:10" x14ac:dyDescent="0.3">
      <c r="A3" s="11" t="s">
        <v>2037</v>
      </c>
      <c r="B3" s="11">
        <v>34001</v>
      </c>
      <c r="C3" s="11" t="s">
        <v>2038</v>
      </c>
      <c r="D3" s="23">
        <v>-3069.5709133752848</v>
      </c>
      <c r="E3" s="23">
        <v>-3100.3393833112395</v>
      </c>
      <c r="F3" s="23">
        <v>-3455.6496462950336</v>
      </c>
      <c r="G3" s="23">
        <v>-3753.9333403453397</v>
      </c>
      <c r="H3" s="23">
        <v>-4096.6967946199575</v>
      </c>
      <c r="I3" s="23">
        <v>-4121.1430626439796</v>
      </c>
      <c r="J3" s="23">
        <v>-4230.6918721031225</v>
      </c>
    </row>
    <row r="4" spans="1:10" x14ac:dyDescent="0.3">
      <c r="A4" s="11" t="s">
        <v>2039</v>
      </c>
      <c r="B4" s="11">
        <v>34002</v>
      </c>
      <c r="C4" s="11" t="s">
        <v>2040</v>
      </c>
      <c r="D4" s="23">
        <v>-266.07289186184789</v>
      </c>
      <c r="E4" s="23">
        <v>-279.89717022927664</v>
      </c>
      <c r="F4" s="23">
        <v>-347.12010928401298</v>
      </c>
      <c r="G4" s="23">
        <v>-407.65443550316655</v>
      </c>
      <c r="H4" s="23">
        <v>-486.21253450778215</v>
      </c>
      <c r="I4" s="23">
        <v>-510.40487901919414</v>
      </c>
      <c r="J4" s="23">
        <v>-540.13347937912101</v>
      </c>
    </row>
    <row r="5" spans="1:10" x14ac:dyDescent="0.3">
      <c r="A5" s="11" t="s">
        <v>2041</v>
      </c>
      <c r="B5" s="11">
        <v>34003</v>
      </c>
      <c r="C5" s="11" t="s">
        <v>2042</v>
      </c>
      <c r="D5" s="23">
        <v>-841.39636191111867</v>
      </c>
      <c r="E5" s="23">
        <v>-885.11256856038756</v>
      </c>
      <c r="F5" s="23">
        <v>-1097.6901669840408</v>
      </c>
      <c r="G5" s="23">
        <v>-1289.1165144602151</v>
      </c>
      <c r="H5" s="23">
        <v>-1537.5390359678067</v>
      </c>
      <c r="I5" s="23">
        <v>-1614.041946563342</v>
      </c>
      <c r="J5" s="23">
        <v>-1708.0520353496124</v>
      </c>
    </row>
    <row r="6" spans="1:10" x14ac:dyDescent="0.3">
      <c r="A6" s="11" t="s">
        <v>2043</v>
      </c>
      <c r="B6" s="11">
        <v>34004</v>
      </c>
      <c r="C6" s="11" t="s">
        <v>2044</v>
      </c>
      <c r="D6" s="23">
        <v>45.215360125865715</v>
      </c>
      <c r="E6" s="23">
        <v>42.657914559738018</v>
      </c>
      <c r="F6" s="23">
        <v>62.156948682078841</v>
      </c>
      <c r="G6" s="23">
        <v>79.262424129761371</v>
      </c>
      <c r="H6" s="23">
        <v>76.680267531064345</v>
      </c>
      <c r="I6" s="23">
        <v>55.107110840284463</v>
      </c>
      <c r="J6" s="23">
        <v>-106.69538491150004</v>
      </c>
    </row>
    <row r="7" spans="1:10" x14ac:dyDescent="0.3">
      <c r="A7" s="11" t="s">
        <v>2045</v>
      </c>
      <c r="B7" s="11">
        <v>34005</v>
      </c>
      <c r="C7" s="11" t="s">
        <v>2046</v>
      </c>
      <c r="D7" s="23">
        <v>142.98352322249329</v>
      </c>
      <c r="E7" s="23">
        <v>134.89617024163098</v>
      </c>
      <c r="F7" s="23">
        <v>196.55753024157033</v>
      </c>
      <c r="G7" s="23">
        <v>250.6497931163355</v>
      </c>
      <c r="H7" s="23">
        <v>242.48429698921953</v>
      </c>
      <c r="I7" s="23">
        <v>174.2639855266543</v>
      </c>
      <c r="J7" s="23">
        <v>-337.40043214870298</v>
      </c>
    </row>
    <row r="8" spans="1:10" x14ac:dyDescent="0.3">
      <c r="A8" s="11" t="s">
        <v>2047</v>
      </c>
      <c r="B8" s="11">
        <v>34006</v>
      </c>
      <c r="C8" s="11" t="s">
        <v>2048</v>
      </c>
      <c r="D8" s="23">
        <v>-258.28397339962015</v>
      </c>
      <c r="E8" s="23">
        <v>-261.33720152274441</v>
      </c>
      <c r="F8" s="23">
        <v>-296.32296464914702</v>
      </c>
      <c r="G8" s="23">
        <v>-325.03408464617354</v>
      </c>
      <c r="H8" s="23">
        <v>-369.50702913134813</v>
      </c>
      <c r="I8" s="23">
        <v>-380.90370239713246</v>
      </c>
      <c r="J8" s="23">
        <v>-402.31921503741296</v>
      </c>
    </row>
    <row r="9" spans="1:10" x14ac:dyDescent="0.3">
      <c r="A9" s="11" t="s">
        <v>2049</v>
      </c>
      <c r="B9" s="11">
        <v>34007</v>
      </c>
      <c r="C9" s="11" t="s">
        <v>2050</v>
      </c>
      <c r="D9" s="23">
        <v>-816.76563906114279</v>
      </c>
      <c r="E9" s="23">
        <v>-826.42079414629643</v>
      </c>
      <c r="F9" s="23">
        <v>-937.05549130486213</v>
      </c>
      <c r="G9" s="23">
        <v>-1027.8480246698728</v>
      </c>
      <c r="H9" s="23">
        <v>-1168.4838234972487</v>
      </c>
      <c r="I9" s="23">
        <v>-1204.5232687658768</v>
      </c>
      <c r="J9" s="23">
        <v>-1272.2450659692893</v>
      </c>
    </row>
    <row r="10" spans="1:10" x14ac:dyDescent="0.3">
      <c r="A10" s="11" t="s">
        <v>2051</v>
      </c>
      <c r="B10" s="11">
        <v>34008</v>
      </c>
      <c r="C10" s="11" t="s">
        <v>2052</v>
      </c>
      <c r="D10" s="23">
        <v>3.7197998905015002</v>
      </c>
      <c r="E10" s="23">
        <v>5.6750186893484988</v>
      </c>
      <c r="F10" s="23">
        <v>7.4213640209272524</v>
      </c>
      <c r="G10" s="23">
        <v>9.0824705242384969</v>
      </c>
      <c r="H10" s="23">
        <v>10.797209594602005</v>
      </c>
      <c r="I10" s="23">
        <v>8.9454214738147506</v>
      </c>
      <c r="J10" s="23">
        <v>8.8494648950245036</v>
      </c>
    </row>
    <row r="11" spans="1:10" x14ac:dyDescent="0.3">
      <c r="A11" s="11" t="s">
        <v>2053</v>
      </c>
      <c r="B11" s="11">
        <v>34009</v>
      </c>
      <c r="C11" s="11" t="s">
        <v>2054</v>
      </c>
      <c r="D11" s="23">
        <v>10.301562277019002</v>
      </c>
      <c r="E11" s="23">
        <v>9.6778526660451654</v>
      </c>
      <c r="F11" s="23">
        <v>9.8707353872283914</v>
      </c>
      <c r="G11" s="23">
        <v>10.852523502384191</v>
      </c>
      <c r="H11" s="23">
        <v>11.92953527874355</v>
      </c>
      <c r="I11" s="23">
        <v>9.9266241517769025</v>
      </c>
      <c r="J11" s="23">
        <v>9.6332207344654552</v>
      </c>
    </row>
    <row r="12" spans="1:10" x14ac:dyDescent="0.3">
      <c r="A12" s="11" t="s">
        <v>2055</v>
      </c>
      <c r="B12" s="11">
        <v>34010</v>
      </c>
      <c r="C12" s="11" t="s">
        <v>2056</v>
      </c>
      <c r="D12" s="23">
        <v>4.8085655499577333</v>
      </c>
      <c r="E12" s="23">
        <v>4.8846375013825396</v>
      </c>
      <c r="F12" s="23">
        <v>4.5140847765951859</v>
      </c>
      <c r="G12" s="23">
        <v>4.5139906298940069</v>
      </c>
      <c r="H12" s="23">
        <v>3.9555310799460282</v>
      </c>
      <c r="I12" s="23">
        <v>3.3083383453278827</v>
      </c>
      <c r="J12" s="23">
        <v>3.0559558747515525</v>
      </c>
    </row>
    <row r="13" spans="1:10" x14ac:dyDescent="0.3">
      <c r="A13" s="11" t="s">
        <v>2057</v>
      </c>
      <c r="B13" s="11">
        <v>34011</v>
      </c>
      <c r="C13" s="11" t="s">
        <v>2058</v>
      </c>
      <c r="D13" s="23">
        <v>10.517401391399265</v>
      </c>
      <c r="E13" s="23">
        <v>9.9710909502652338</v>
      </c>
      <c r="F13" s="23">
        <v>8.140461084533781</v>
      </c>
      <c r="G13" s="23">
        <v>7.4731001067278822</v>
      </c>
      <c r="H13" s="23">
        <v>6.0992099170593805</v>
      </c>
      <c r="I13" s="23">
        <v>4.7660389958745988</v>
      </c>
      <c r="J13" s="23">
        <v>4.5224124290380532</v>
      </c>
    </row>
    <row r="14" spans="1:10" x14ac:dyDescent="0.3">
      <c r="A14" s="11" t="s">
        <v>2059</v>
      </c>
      <c r="B14" s="11">
        <v>34012</v>
      </c>
      <c r="C14" s="11" t="s">
        <v>2060</v>
      </c>
      <c r="D14" s="23">
        <v>7.8853670119374968</v>
      </c>
      <c r="E14" s="23">
        <v>7.6212734887288658</v>
      </c>
      <c r="F14" s="23">
        <v>7.1038276502807243</v>
      </c>
      <c r="G14" s="23">
        <v>6.9087939927940303</v>
      </c>
      <c r="H14" s="23">
        <v>6.8262542562179327</v>
      </c>
      <c r="I14" s="23">
        <v>5.2365062667056694</v>
      </c>
      <c r="J14" s="23">
        <v>4.9007008133624268</v>
      </c>
    </row>
    <row r="15" spans="1:10" x14ac:dyDescent="0.3">
      <c r="A15" s="11" t="s">
        <v>2061</v>
      </c>
      <c r="B15" s="11">
        <v>34013</v>
      </c>
      <c r="C15" s="11" t="s">
        <v>2062</v>
      </c>
      <c r="D15" s="23">
        <v>-183.77791986504187</v>
      </c>
      <c r="E15" s="23">
        <v>-151.16845802984034</v>
      </c>
      <c r="F15" s="23">
        <v>-104.8358145991966</v>
      </c>
      <c r="G15" s="23">
        <v>-93.516876423387117</v>
      </c>
      <c r="H15" s="23">
        <v>-60.903585050677776</v>
      </c>
      <c r="I15" s="23">
        <v>-70.622964061128343</v>
      </c>
      <c r="J15" s="23">
        <v>-62.534709124586769</v>
      </c>
    </row>
    <row r="16" spans="1:10" x14ac:dyDescent="0.3">
      <c r="A16" s="11" t="s">
        <v>2063</v>
      </c>
      <c r="B16" s="11">
        <v>34014</v>
      </c>
      <c r="C16" s="11" t="s">
        <v>2064</v>
      </c>
      <c r="D16" s="23">
        <v>13.768413582958061</v>
      </c>
      <c r="E16" s="23">
        <v>16.628778196715551</v>
      </c>
      <c r="F16" s="23">
        <v>28.477355286679249</v>
      </c>
      <c r="G16" s="23">
        <v>39.498267297371164</v>
      </c>
      <c r="H16" s="23">
        <v>28.281664937976437</v>
      </c>
      <c r="I16" s="23">
        <v>32.086049804471557</v>
      </c>
      <c r="J16" s="23">
        <v>29.069809785540951</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10"/>
  <sheetViews>
    <sheetView workbookViewId="0">
      <selection activeCell="M12" sqref="M12"/>
    </sheetView>
  </sheetViews>
  <sheetFormatPr baseColWidth="10" defaultRowHeight="14.4" x14ac:dyDescent="0.3"/>
  <cols>
    <col min="1" max="1" width="17" bestFit="1" customWidth="1"/>
    <col min="4" max="4" width="19" bestFit="1" customWidth="1"/>
    <col min="6" max="6" width="15.5546875" bestFit="1" customWidth="1"/>
    <col min="7" max="7" width="18.21875" bestFit="1" customWidth="1"/>
    <col min="8" max="8" width="13.5546875" bestFit="1" customWidth="1"/>
    <col min="9" max="9" width="14.5546875" bestFit="1" customWidth="1"/>
  </cols>
  <sheetData>
    <row r="1" spans="1:10" x14ac:dyDescent="0.3">
      <c r="A1" s="71" t="s">
        <v>2306</v>
      </c>
      <c r="B1" s="71" t="s">
        <v>2910</v>
      </c>
      <c r="C1" s="71" t="s">
        <v>2307</v>
      </c>
      <c r="D1" s="71" t="s">
        <v>2308</v>
      </c>
      <c r="E1" s="71" t="s">
        <v>2309</v>
      </c>
      <c r="F1" s="71" t="s">
        <v>2310</v>
      </c>
      <c r="G1" s="71" t="s">
        <v>2311</v>
      </c>
      <c r="H1" s="71" t="s">
        <v>2312</v>
      </c>
      <c r="I1" s="71" t="s">
        <v>2313</v>
      </c>
      <c r="J1" s="71" t="s">
        <v>2314</v>
      </c>
    </row>
    <row r="2" spans="1:10" x14ac:dyDescent="0.3">
      <c r="A2" t="s">
        <v>2911</v>
      </c>
      <c r="B2">
        <v>2025</v>
      </c>
      <c r="C2">
        <v>4</v>
      </c>
      <c r="D2" t="s">
        <v>2317</v>
      </c>
      <c r="E2" t="s">
        <v>2316</v>
      </c>
      <c r="F2" t="s">
        <v>415</v>
      </c>
      <c r="G2" s="77">
        <v>45757</v>
      </c>
      <c r="H2" s="3">
        <v>324288.94018460001</v>
      </c>
      <c r="I2" s="3">
        <v>2809403.0606762199</v>
      </c>
      <c r="J2" s="3">
        <v>8.6632712761557098</v>
      </c>
    </row>
    <row r="3" spans="1:10" x14ac:dyDescent="0.3">
      <c r="A3" t="s">
        <v>2911</v>
      </c>
      <c r="B3">
        <v>2025</v>
      </c>
      <c r="C3">
        <v>7</v>
      </c>
      <c r="D3" t="s">
        <v>2317</v>
      </c>
      <c r="E3" t="s">
        <v>2316</v>
      </c>
      <c r="F3" t="s">
        <v>415</v>
      </c>
      <c r="G3" s="77">
        <v>45841</v>
      </c>
      <c r="H3" s="3">
        <v>681403.60400000005</v>
      </c>
      <c r="I3" s="3">
        <v>5505741.1203199998</v>
      </c>
      <c r="J3" s="3">
        <v>8.08</v>
      </c>
    </row>
    <row r="4" spans="1:10" x14ac:dyDescent="0.3">
      <c r="A4" t="s">
        <v>2911</v>
      </c>
      <c r="B4">
        <v>2025</v>
      </c>
      <c r="C4">
        <v>9</v>
      </c>
      <c r="D4" t="s">
        <v>2317</v>
      </c>
      <c r="E4" t="s">
        <v>2316</v>
      </c>
      <c r="F4" t="s">
        <v>415</v>
      </c>
      <c r="G4" s="77">
        <v>45904</v>
      </c>
      <c r="H4" s="3">
        <v>38904616.910962403</v>
      </c>
      <c r="I4" s="3">
        <v>285948934.29557401</v>
      </c>
      <c r="J4" s="3">
        <v>7.35</v>
      </c>
    </row>
    <row r="5" spans="1:10" x14ac:dyDescent="0.3">
      <c r="A5" t="s">
        <v>2912</v>
      </c>
      <c r="B5">
        <v>2025</v>
      </c>
      <c r="C5">
        <v>7</v>
      </c>
      <c r="D5" t="s">
        <v>2317</v>
      </c>
      <c r="E5" t="s">
        <v>2316</v>
      </c>
      <c r="F5" t="s">
        <v>415</v>
      </c>
      <c r="G5" s="77">
        <v>45848</v>
      </c>
      <c r="H5" s="3">
        <v>5597285.4720622003</v>
      </c>
      <c r="I5" s="3">
        <v>44778283.776497602</v>
      </c>
      <c r="J5" s="3">
        <v>8</v>
      </c>
    </row>
    <row r="6" spans="1:10" x14ac:dyDescent="0.3">
      <c r="A6" t="s">
        <v>2912</v>
      </c>
      <c r="B6">
        <v>2025</v>
      </c>
      <c r="C6">
        <v>9</v>
      </c>
      <c r="D6" t="s">
        <v>2317</v>
      </c>
      <c r="E6" t="s">
        <v>2316</v>
      </c>
      <c r="F6" t="s">
        <v>415</v>
      </c>
      <c r="G6" s="77">
        <v>45911</v>
      </c>
      <c r="H6" s="3">
        <v>65774.208404000005</v>
      </c>
      <c r="I6" s="3">
        <v>483440.43176940002</v>
      </c>
      <c r="J6" s="3">
        <v>7.35</v>
      </c>
    </row>
    <row r="7" spans="1:10" x14ac:dyDescent="0.3">
      <c r="A7" t="s">
        <v>2319</v>
      </c>
      <c r="B7">
        <v>2024</v>
      </c>
      <c r="C7">
        <v>10</v>
      </c>
      <c r="D7" t="s">
        <v>2315</v>
      </c>
      <c r="E7" t="s">
        <v>2316</v>
      </c>
      <c r="F7" t="s">
        <v>415</v>
      </c>
      <c r="G7" s="77">
        <v>45596</v>
      </c>
      <c r="H7" s="3">
        <v>1563777.3510578</v>
      </c>
      <c r="I7" s="3">
        <v>16301608.2033424</v>
      </c>
      <c r="J7" s="3">
        <v>10.424507166774999</v>
      </c>
    </row>
    <row r="8" spans="1:10" x14ac:dyDescent="0.3">
      <c r="A8" t="s">
        <v>2319</v>
      </c>
      <c r="B8">
        <v>2025</v>
      </c>
      <c r="C8">
        <v>4</v>
      </c>
      <c r="D8" t="s">
        <v>2317</v>
      </c>
      <c r="E8" t="s">
        <v>2316</v>
      </c>
      <c r="F8" t="s">
        <v>415</v>
      </c>
      <c r="G8" s="77">
        <v>45771</v>
      </c>
      <c r="H8" s="3">
        <v>542431.86577699997</v>
      </c>
      <c r="I8" s="3">
        <v>4625833.5163278095</v>
      </c>
      <c r="J8" s="3">
        <v>8.5279531092842191</v>
      </c>
    </row>
    <row r="9" spans="1:10" x14ac:dyDescent="0.3">
      <c r="A9" t="s">
        <v>2319</v>
      </c>
      <c r="B9">
        <v>2025</v>
      </c>
      <c r="C9">
        <v>7</v>
      </c>
      <c r="D9" t="s">
        <v>2317</v>
      </c>
      <c r="E9" t="s">
        <v>2316</v>
      </c>
      <c r="F9" t="s">
        <v>415</v>
      </c>
      <c r="G9" s="77">
        <v>45855</v>
      </c>
      <c r="H9" s="3">
        <v>6579607.6965875998</v>
      </c>
      <c r="I9" s="3">
        <v>52439473.341803201</v>
      </c>
      <c r="J9" s="3">
        <v>7.97</v>
      </c>
    </row>
    <row r="10" spans="1:10" x14ac:dyDescent="0.3">
      <c r="A10" t="s">
        <v>2319</v>
      </c>
      <c r="B10">
        <v>2025</v>
      </c>
      <c r="C10">
        <v>9</v>
      </c>
      <c r="D10" t="s">
        <v>2317</v>
      </c>
      <c r="E10" t="s">
        <v>2316</v>
      </c>
      <c r="F10" t="s">
        <v>415</v>
      </c>
      <c r="G10" s="77">
        <v>45918</v>
      </c>
      <c r="H10" s="3">
        <v>31832101.6852738</v>
      </c>
      <c r="I10" s="3">
        <v>230782737.21823499</v>
      </c>
      <c r="J10" s="3">
        <v>7.25</v>
      </c>
    </row>
    <row r="11" spans="1:10" x14ac:dyDescent="0.3">
      <c r="A11" t="s">
        <v>2913</v>
      </c>
      <c r="B11">
        <v>2025</v>
      </c>
      <c r="C11">
        <v>7</v>
      </c>
      <c r="D11" t="s">
        <v>2317</v>
      </c>
      <c r="E11" t="s">
        <v>2316</v>
      </c>
      <c r="F11" t="s">
        <v>415</v>
      </c>
      <c r="G11" s="77">
        <v>45862</v>
      </c>
      <c r="H11" s="3">
        <v>106720.9008358</v>
      </c>
      <c r="I11" s="3">
        <v>848431.16164460999</v>
      </c>
      <c r="J11" s="3">
        <v>7.95</v>
      </c>
    </row>
    <row r="12" spans="1:10" x14ac:dyDescent="0.3">
      <c r="A12" t="s">
        <v>2913</v>
      </c>
      <c r="B12">
        <v>2025</v>
      </c>
      <c r="C12">
        <v>9</v>
      </c>
      <c r="D12" t="s">
        <v>2317</v>
      </c>
      <c r="E12" t="s">
        <v>2316</v>
      </c>
      <c r="F12" t="s">
        <v>415</v>
      </c>
      <c r="G12" s="77">
        <v>45925</v>
      </c>
      <c r="H12" s="3">
        <v>295438.32792980003</v>
      </c>
      <c r="I12" s="3">
        <v>2127155.9610945601</v>
      </c>
      <c r="J12" s="3">
        <v>7.2</v>
      </c>
    </row>
    <row r="13" spans="1:10" x14ac:dyDescent="0.3">
      <c r="A13" t="s">
        <v>2320</v>
      </c>
      <c r="B13">
        <v>2023</v>
      </c>
      <c r="C13">
        <v>11</v>
      </c>
      <c r="D13" t="s">
        <v>2318</v>
      </c>
      <c r="E13" t="s">
        <v>2316</v>
      </c>
      <c r="F13" t="s">
        <v>415</v>
      </c>
      <c r="G13" s="77">
        <v>45253</v>
      </c>
      <c r="H13" s="3">
        <v>184285.82076829</v>
      </c>
      <c r="I13" s="3">
        <v>2036358.3194895999</v>
      </c>
      <c r="J13" s="3">
        <v>11.05</v>
      </c>
    </row>
    <row r="14" spans="1:10" x14ac:dyDescent="0.3">
      <c r="A14" t="s">
        <v>2320</v>
      </c>
      <c r="B14">
        <v>2023</v>
      </c>
      <c r="C14">
        <v>12</v>
      </c>
      <c r="D14" t="s">
        <v>2318</v>
      </c>
      <c r="E14" t="s">
        <v>2316</v>
      </c>
      <c r="F14" t="s">
        <v>415</v>
      </c>
      <c r="G14" s="77">
        <v>45281</v>
      </c>
      <c r="H14" s="3">
        <v>184415.0392728</v>
      </c>
      <c r="I14" s="3">
        <v>2021188.83042989</v>
      </c>
      <c r="J14" s="3">
        <v>10.96</v>
      </c>
    </row>
    <row r="15" spans="1:10" x14ac:dyDescent="0.3">
      <c r="A15" t="s">
        <v>2320</v>
      </c>
      <c r="B15">
        <v>2024</v>
      </c>
      <c r="C15">
        <v>7</v>
      </c>
      <c r="D15" t="s">
        <v>2315</v>
      </c>
      <c r="E15" t="s">
        <v>2316</v>
      </c>
      <c r="F15" t="s">
        <v>415</v>
      </c>
      <c r="G15" s="77">
        <v>45492</v>
      </c>
      <c r="H15" s="3">
        <v>994043999.99926305</v>
      </c>
      <c r="I15" s="3">
        <v>11143233239.991699</v>
      </c>
      <c r="J15" s="3">
        <v>11.21</v>
      </c>
    </row>
    <row r="16" spans="1:10" x14ac:dyDescent="0.3">
      <c r="A16" t="s">
        <v>2320</v>
      </c>
      <c r="B16">
        <v>2024</v>
      </c>
      <c r="C16">
        <v>8</v>
      </c>
      <c r="D16" t="s">
        <v>2315</v>
      </c>
      <c r="E16" t="s">
        <v>2316</v>
      </c>
      <c r="F16" t="s">
        <v>415</v>
      </c>
      <c r="G16" s="77">
        <v>45530</v>
      </c>
      <c r="H16" s="3">
        <v>1988088000.0120699</v>
      </c>
      <c r="I16" s="3">
        <v>21141327792.1283</v>
      </c>
      <c r="J16" s="3">
        <v>10.634</v>
      </c>
    </row>
    <row r="17" spans="1:10" x14ac:dyDescent="0.3">
      <c r="A17" t="s">
        <v>2320</v>
      </c>
      <c r="B17">
        <v>2025</v>
      </c>
      <c r="C17">
        <v>4</v>
      </c>
      <c r="D17" t="s">
        <v>2317</v>
      </c>
      <c r="E17" t="s">
        <v>2316</v>
      </c>
      <c r="F17" t="s">
        <v>415</v>
      </c>
      <c r="G17" s="77">
        <v>45777</v>
      </c>
      <c r="H17" s="3">
        <v>112505.89953939999</v>
      </c>
      <c r="I17" s="3">
        <v>943924.49713556597</v>
      </c>
      <c r="J17" s="3">
        <v>8.39</v>
      </c>
    </row>
    <row r="18" spans="1:10" x14ac:dyDescent="0.3">
      <c r="A18" t="s">
        <v>2320</v>
      </c>
      <c r="B18">
        <v>2025</v>
      </c>
      <c r="C18">
        <v>5</v>
      </c>
      <c r="D18" t="s">
        <v>2317</v>
      </c>
      <c r="E18" t="s">
        <v>2316</v>
      </c>
      <c r="F18" t="s">
        <v>415</v>
      </c>
      <c r="G18" s="77">
        <v>45785</v>
      </c>
      <c r="H18" s="3">
        <v>122814.136594</v>
      </c>
      <c r="I18" s="3">
        <v>1020585.4750961401</v>
      </c>
      <c r="J18" s="3">
        <v>8.31</v>
      </c>
    </row>
    <row r="19" spans="1:10" x14ac:dyDescent="0.3">
      <c r="A19" t="s">
        <v>2320</v>
      </c>
      <c r="B19">
        <v>2025</v>
      </c>
      <c r="C19">
        <v>7</v>
      </c>
      <c r="D19" t="s">
        <v>2317</v>
      </c>
      <c r="E19" t="s">
        <v>2316</v>
      </c>
      <c r="F19" t="s">
        <v>415</v>
      </c>
      <c r="G19" s="77">
        <v>45869</v>
      </c>
      <c r="H19" s="3">
        <v>1155287.8799876</v>
      </c>
      <c r="I19" s="3">
        <v>9149880.0095017906</v>
      </c>
      <c r="J19" s="3">
        <v>7.92</v>
      </c>
    </row>
    <row r="20" spans="1:10" x14ac:dyDescent="0.3">
      <c r="A20" t="s">
        <v>2320</v>
      </c>
      <c r="B20">
        <v>2025</v>
      </c>
      <c r="C20">
        <v>9</v>
      </c>
      <c r="D20" t="s">
        <v>2318</v>
      </c>
      <c r="E20" t="s">
        <v>2316</v>
      </c>
      <c r="F20" t="s">
        <v>415</v>
      </c>
      <c r="G20" s="77">
        <v>45930</v>
      </c>
      <c r="H20" s="3">
        <v>612243466.00999999</v>
      </c>
      <c r="I20" s="3">
        <v>4402030520.6119003</v>
      </c>
      <c r="J20" s="3">
        <v>7.19</v>
      </c>
    </row>
    <row r="21" spans="1:10" x14ac:dyDescent="0.3">
      <c r="A21" t="s">
        <v>2321</v>
      </c>
      <c r="B21">
        <v>2024</v>
      </c>
      <c r="C21">
        <v>11</v>
      </c>
      <c r="D21" t="s">
        <v>2315</v>
      </c>
      <c r="E21" t="s">
        <v>2316</v>
      </c>
      <c r="F21" t="s">
        <v>415</v>
      </c>
      <c r="G21" s="77">
        <v>45610</v>
      </c>
      <c r="H21" s="3">
        <v>169274.18436390001</v>
      </c>
      <c r="I21" s="3">
        <v>1775686.1939773101</v>
      </c>
      <c r="J21" s="3">
        <v>10.49</v>
      </c>
    </row>
    <row r="22" spans="1:10" x14ac:dyDescent="0.3">
      <c r="A22" t="s">
        <v>2321</v>
      </c>
      <c r="B22">
        <v>2025</v>
      </c>
      <c r="C22">
        <v>5</v>
      </c>
      <c r="D22" t="s">
        <v>2317</v>
      </c>
      <c r="E22" t="s">
        <v>2316</v>
      </c>
      <c r="F22" t="s">
        <v>415</v>
      </c>
      <c r="G22" s="77">
        <v>45799</v>
      </c>
      <c r="H22" s="3">
        <v>123762.4746384</v>
      </c>
      <c r="I22" s="3">
        <v>1018568.33739734</v>
      </c>
      <c r="J22" s="3">
        <v>8.2300256226559902</v>
      </c>
    </row>
    <row r="23" spans="1:10" x14ac:dyDescent="0.3">
      <c r="A23" t="s">
        <v>2321</v>
      </c>
      <c r="B23">
        <v>2025</v>
      </c>
      <c r="C23">
        <v>8</v>
      </c>
      <c r="D23" t="s">
        <v>2317</v>
      </c>
      <c r="E23" t="s">
        <v>2316</v>
      </c>
      <c r="F23" t="s">
        <v>415</v>
      </c>
      <c r="G23" s="77">
        <v>45883</v>
      </c>
      <c r="H23" s="3">
        <v>19168163.357569601</v>
      </c>
      <c r="I23" s="3">
        <v>147403176.21970999</v>
      </c>
      <c r="J23" s="3">
        <v>7.69</v>
      </c>
    </row>
    <row r="24" spans="1:10" x14ac:dyDescent="0.3">
      <c r="A24" t="s">
        <v>2914</v>
      </c>
      <c r="B24">
        <v>2025</v>
      </c>
      <c r="C24">
        <v>8</v>
      </c>
      <c r="D24" t="s">
        <v>2317</v>
      </c>
      <c r="E24" t="s">
        <v>2316</v>
      </c>
      <c r="F24" t="s">
        <v>415</v>
      </c>
      <c r="G24" s="77">
        <v>45890</v>
      </c>
      <c r="H24" s="3">
        <v>119518.4202519</v>
      </c>
      <c r="I24" s="3">
        <v>915511.099129554</v>
      </c>
      <c r="J24" s="3">
        <v>7.66</v>
      </c>
    </row>
    <row r="25" spans="1:10" x14ac:dyDescent="0.3">
      <c r="A25" t="s">
        <v>2914</v>
      </c>
      <c r="B25">
        <v>2025</v>
      </c>
      <c r="C25">
        <v>9</v>
      </c>
      <c r="D25" t="s">
        <v>2317</v>
      </c>
      <c r="E25" t="s">
        <v>2316</v>
      </c>
      <c r="F25" t="s">
        <v>415</v>
      </c>
      <c r="G25" s="77">
        <v>45904</v>
      </c>
      <c r="H25" s="3">
        <v>3419974.2076014802</v>
      </c>
      <c r="I25" s="3">
        <v>26504800.108911499</v>
      </c>
      <c r="J25" s="3">
        <v>7.75</v>
      </c>
    </row>
    <row r="26" spans="1:10" x14ac:dyDescent="0.3">
      <c r="A26" t="s">
        <v>2915</v>
      </c>
      <c r="B26">
        <v>2025</v>
      </c>
      <c r="C26">
        <v>5</v>
      </c>
      <c r="D26" t="s">
        <v>2317</v>
      </c>
      <c r="E26" t="s">
        <v>2316</v>
      </c>
      <c r="F26" t="s">
        <v>415</v>
      </c>
      <c r="G26" s="77">
        <v>45806</v>
      </c>
      <c r="H26" s="3">
        <v>74281.237749399996</v>
      </c>
      <c r="I26" s="3">
        <v>603163.650525128</v>
      </c>
      <c r="J26" s="3">
        <v>8.1199999999999992</v>
      </c>
    </row>
    <row r="27" spans="1:10" x14ac:dyDescent="0.3">
      <c r="A27" t="s">
        <v>2915</v>
      </c>
      <c r="B27">
        <v>2025</v>
      </c>
      <c r="C27">
        <v>6</v>
      </c>
      <c r="D27" t="s">
        <v>2317</v>
      </c>
      <c r="E27" t="s">
        <v>2316</v>
      </c>
      <c r="F27" t="s">
        <v>415</v>
      </c>
      <c r="G27" s="77">
        <v>45813</v>
      </c>
      <c r="H27" s="3">
        <v>3468.0437184100001</v>
      </c>
      <c r="I27" s="3">
        <v>27883.0714960164</v>
      </c>
      <c r="J27" s="3">
        <v>8.0399999999999991</v>
      </c>
    </row>
    <row r="28" spans="1:10" x14ac:dyDescent="0.3">
      <c r="A28" t="s">
        <v>2915</v>
      </c>
      <c r="B28">
        <v>2025</v>
      </c>
      <c r="C28">
        <v>8</v>
      </c>
      <c r="D28" t="s">
        <v>2317</v>
      </c>
      <c r="E28" t="s">
        <v>2316</v>
      </c>
      <c r="F28" t="s">
        <v>415</v>
      </c>
      <c r="G28" s="77">
        <v>45897</v>
      </c>
      <c r="H28" s="3">
        <v>318960.75075940002</v>
      </c>
      <c r="I28" s="3">
        <v>2449618.5658321902</v>
      </c>
      <c r="J28" s="3">
        <v>7.68</v>
      </c>
    </row>
    <row r="29" spans="1:10" x14ac:dyDescent="0.3">
      <c r="A29" t="s">
        <v>2916</v>
      </c>
      <c r="B29">
        <v>2025</v>
      </c>
      <c r="C29">
        <v>9</v>
      </c>
      <c r="D29" t="s">
        <v>2317</v>
      </c>
      <c r="E29" t="s">
        <v>2316</v>
      </c>
      <c r="F29" t="s">
        <v>415</v>
      </c>
      <c r="G29" s="77">
        <v>45904</v>
      </c>
      <c r="H29" s="3">
        <v>9871980.3648355994</v>
      </c>
      <c r="I29" s="3">
        <v>75224490.380047306</v>
      </c>
      <c r="J29" s="3">
        <v>7.62</v>
      </c>
    </row>
    <row r="30" spans="1:10" x14ac:dyDescent="0.3">
      <c r="A30" t="s">
        <v>2322</v>
      </c>
      <c r="B30">
        <v>2024</v>
      </c>
      <c r="C30">
        <v>12</v>
      </c>
      <c r="D30" t="s">
        <v>2315</v>
      </c>
      <c r="E30" t="s">
        <v>2316</v>
      </c>
      <c r="F30" t="s">
        <v>415</v>
      </c>
      <c r="G30" s="77">
        <v>45652</v>
      </c>
      <c r="H30" s="3">
        <v>1037334663.28694</v>
      </c>
      <c r="I30" s="3">
        <v>10208009485.8666</v>
      </c>
      <c r="J30" s="3">
        <v>9.8406134945120893</v>
      </c>
    </row>
    <row r="31" spans="1:10" x14ac:dyDescent="0.3">
      <c r="A31" t="s">
        <v>2322</v>
      </c>
      <c r="B31">
        <v>2025</v>
      </c>
      <c r="C31">
        <v>6</v>
      </c>
      <c r="D31" t="s">
        <v>2317</v>
      </c>
      <c r="E31" t="s">
        <v>2316</v>
      </c>
      <c r="F31" t="s">
        <v>415</v>
      </c>
      <c r="G31" s="77">
        <v>45827</v>
      </c>
      <c r="H31" s="3">
        <v>59219.335987699997</v>
      </c>
      <c r="I31" s="3">
        <v>482921.320632855</v>
      </c>
      <c r="J31" s="3">
        <v>8.1547912109848504</v>
      </c>
    </row>
    <row r="32" spans="1:10" x14ac:dyDescent="0.3">
      <c r="A32" t="s">
        <v>2322</v>
      </c>
      <c r="B32">
        <v>2025</v>
      </c>
      <c r="C32">
        <v>9</v>
      </c>
      <c r="D32" t="s">
        <v>2317</v>
      </c>
      <c r="E32" t="s">
        <v>2316</v>
      </c>
      <c r="F32" t="s">
        <v>415</v>
      </c>
      <c r="G32" s="77">
        <v>45911</v>
      </c>
      <c r="H32" s="3">
        <v>19591532.346908599</v>
      </c>
      <c r="I32" s="3">
        <v>148699730.51303601</v>
      </c>
      <c r="J32" s="3">
        <v>7.59</v>
      </c>
    </row>
    <row r="33" spans="1:10" x14ac:dyDescent="0.3">
      <c r="A33" t="s">
        <v>2917</v>
      </c>
      <c r="B33">
        <v>2025</v>
      </c>
      <c r="C33">
        <v>9</v>
      </c>
      <c r="D33" t="s">
        <v>2317</v>
      </c>
      <c r="E33" t="s">
        <v>2316</v>
      </c>
      <c r="F33" t="s">
        <v>415</v>
      </c>
      <c r="G33" s="77">
        <v>45918</v>
      </c>
      <c r="H33" s="3">
        <v>2733609.4276415999</v>
      </c>
      <c r="I33" s="3">
        <v>20584078.990141299</v>
      </c>
      <c r="J33" s="3">
        <v>7.53</v>
      </c>
    </row>
    <row r="34" spans="1:10" x14ac:dyDescent="0.3">
      <c r="A34" t="s">
        <v>2323</v>
      </c>
      <c r="B34">
        <v>2024</v>
      </c>
      <c r="C34">
        <v>1</v>
      </c>
      <c r="D34" t="s">
        <v>2318</v>
      </c>
      <c r="E34" t="s">
        <v>2316</v>
      </c>
      <c r="F34" t="s">
        <v>415</v>
      </c>
      <c r="G34" s="77">
        <v>45295</v>
      </c>
      <c r="H34" s="3">
        <v>173568.2</v>
      </c>
      <c r="I34" s="3">
        <v>1902307.4720000001</v>
      </c>
      <c r="J34" s="3">
        <v>10.96</v>
      </c>
    </row>
    <row r="35" spans="1:10" x14ac:dyDescent="0.3">
      <c r="A35" t="s">
        <v>2323</v>
      </c>
      <c r="B35">
        <v>2024</v>
      </c>
      <c r="C35">
        <v>2</v>
      </c>
      <c r="D35" t="s">
        <v>2318</v>
      </c>
      <c r="E35" t="s">
        <v>2316</v>
      </c>
      <c r="F35" t="s">
        <v>415</v>
      </c>
      <c r="G35" s="77">
        <v>45337</v>
      </c>
      <c r="H35" s="3">
        <v>214511.24192890001</v>
      </c>
      <c r="I35" s="3">
        <v>2354359.1352178999</v>
      </c>
      <c r="J35" s="3">
        <v>10.975458041487</v>
      </c>
    </row>
    <row r="36" spans="1:10" x14ac:dyDescent="0.3">
      <c r="A36" t="s">
        <v>2323</v>
      </c>
      <c r="B36">
        <v>2024</v>
      </c>
      <c r="C36">
        <v>7</v>
      </c>
      <c r="D36" t="s">
        <v>2315</v>
      </c>
      <c r="E36" t="s">
        <v>2316</v>
      </c>
      <c r="F36" t="s">
        <v>415</v>
      </c>
      <c r="G36" s="77">
        <v>45477</v>
      </c>
      <c r="H36" s="3">
        <v>491277100</v>
      </c>
      <c r="I36" s="3">
        <v>5580907856</v>
      </c>
      <c r="J36" s="3">
        <v>11.36</v>
      </c>
    </row>
    <row r="37" spans="1:10" x14ac:dyDescent="0.3">
      <c r="A37" t="s">
        <v>2323</v>
      </c>
      <c r="B37">
        <v>2024</v>
      </c>
      <c r="C37">
        <v>9</v>
      </c>
      <c r="D37" t="s">
        <v>2315</v>
      </c>
      <c r="E37" t="s">
        <v>2316</v>
      </c>
      <c r="F37" t="s">
        <v>415</v>
      </c>
      <c r="G37" s="77">
        <v>45541</v>
      </c>
      <c r="H37" s="3">
        <v>786043360.000983</v>
      </c>
      <c r="I37" s="3">
        <v>8362518796.2102299</v>
      </c>
      <c r="J37" s="3">
        <v>10.6387499999997</v>
      </c>
    </row>
    <row r="38" spans="1:10" x14ac:dyDescent="0.3">
      <c r="A38" t="s">
        <v>2323</v>
      </c>
      <c r="B38">
        <v>2025</v>
      </c>
      <c r="C38">
        <v>6</v>
      </c>
      <c r="D38" t="s">
        <v>2317</v>
      </c>
      <c r="E38" t="s">
        <v>2316</v>
      </c>
      <c r="F38" t="s">
        <v>415</v>
      </c>
      <c r="G38" s="77">
        <v>45834</v>
      </c>
      <c r="H38" s="3">
        <v>115047.2680347</v>
      </c>
      <c r="I38" s="3">
        <v>930732.398400723</v>
      </c>
      <c r="J38" s="3">
        <v>8.09</v>
      </c>
    </row>
    <row r="39" spans="1:10" x14ac:dyDescent="0.3">
      <c r="A39" t="s">
        <v>2323</v>
      </c>
      <c r="B39">
        <v>2025</v>
      </c>
      <c r="C39">
        <v>7</v>
      </c>
      <c r="D39" t="s">
        <v>2317</v>
      </c>
      <c r="E39" t="s">
        <v>2316</v>
      </c>
      <c r="F39" t="s">
        <v>415</v>
      </c>
      <c r="G39" s="77">
        <v>45841</v>
      </c>
      <c r="H39" s="3">
        <v>9982.7494226399995</v>
      </c>
      <c r="I39" s="3">
        <v>81658.890277195198</v>
      </c>
      <c r="J39" s="3">
        <v>8.18</v>
      </c>
    </row>
    <row r="40" spans="1:10" x14ac:dyDescent="0.3">
      <c r="A40" t="s">
        <v>2323</v>
      </c>
      <c r="B40">
        <v>2025</v>
      </c>
      <c r="C40">
        <v>9</v>
      </c>
      <c r="D40" t="s">
        <v>2317</v>
      </c>
      <c r="E40" t="s">
        <v>2316</v>
      </c>
      <c r="F40" t="s">
        <v>415</v>
      </c>
      <c r="G40" s="77">
        <v>45925</v>
      </c>
      <c r="H40" s="3">
        <v>1811417.2720000001</v>
      </c>
      <c r="I40" s="3">
        <v>13585629.539999999</v>
      </c>
      <c r="J40" s="3">
        <v>7.5</v>
      </c>
    </row>
    <row r="41" spans="1:10" x14ac:dyDescent="0.3">
      <c r="A41" t="s">
        <v>2918</v>
      </c>
      <c r="B41">
        <v>2025</v>
      </c>
      <c r="C41">
        <v>9</v>
      </c>
      <c r="D41" t="s">
        <v>2318</v>
      </c>
      <c r="E41" t="s">
        <v>2316</v>
      </c>
      <c r="F41" t="s">
        <v>415</v>
      </c>
      <c r="G41" s="77">
        <v>45930</v>
      </c>
      <c r="H41" s="3">
        <v>184095614.44</v>
      </c>
      <c r="I41" s="3">
        <v>1375194239.8668001</v>
      </c>
      <c r="J41" s="3">
        <v>7.47</v>
      </c>
    </row>
    <row r="42" spans="1:10" x14ac:dyDescent="0.3">
      <c r="A42" t="s">
        <v>2324</v>
      </c>
      <c r="B42">
        <v>2025</v>
      </c>
      <c r="C42">
        <v>1</v>
      </c>
      <c r="D42" t="s">
        <v>2315</v>
      </c>
      <c r="E42" t="s">
        <v>2316</v>
      </c>
      <c r="F42" t="s">
        <v>415</v>
      </c>
      <c r="G42" s="77">
        <v>45680</v>
      </c>
      <c r="H42" s="3">
        <v>429835.08735413</v>
      </c>
      <c r="I42" s="3">
        <v>4219271.2679737099</v>
      </c>
      <c r="J42" s="3">
        <v>9.8160233822362706</v>
      </c>
    </row>
    <row r="43" spans="1:10" x14ac:dyDescent="0.3">
      <c r="A43" t="s">
        <v>2324</v>
      </c>
      <c r="B43">
        <v>2025</v>
      </c>
      <c r="C43">
        <v>7</v>
      </c>
      <c r="D43" t="s">
        <v>2317</v>
      </c>
      <c r="E43" t="s">
        <v>2316</v>
      </c>
      <c r="F43" t="s">
        <v>415</v>
      </c>
      <c r="G43" s="77">
        <v>45855</v>
      </c>
      <c r="H43" s="3">
        <v>257515.0909104</v>
      </c>
      <c r="I43" s="3">
        <v>2081344.17144085</v>
      </c>
      <c r="J43" s="3">
        <v>8.0824163123124801</v>
      </c>
    </row>
    <row r="44" spans="1:10" x14ac:dyDescent="0.3">
      <c r="A44" t="s">
        <v>2919</v>
      </c>
      <c r="B44">
        <v>2025</v>
      </c>
      <c r="C44">
        <v>7</v>
      </c>
      <c r="D44" t="s">
        <v>2317</v>
      </c>
      <c r="E44" t="s">
        <v>2316</v>
      </c>
      <c r="F44" t="s">
        <v>415</v>
      </c>
      <c r="G44" s="77">
        <v>45869</v>
      </c>
      <c r="H44" s="3">
        <v>2021622.5242816</v>
      </c>
      <c r="I44" s="3">
        <v>16179651.9296048</v>
      </c>
      <c r="J44" s="3">
        <v>8.0033001884733004</v>
      </c>
    </row>
    <row r="45" spans="1:10" x14ac:dyDescent="0.3">
      <c r="A45" t="s">
        <v>2325</v>
      </c>
      <c r="B45">
        <v>2025</v>
      </c>
      <c r="C45">
        <v>2</v>
      </c>
      <c r="D45" t="s">
        <v>2315</v>
      </c>
      <c r="E45" t="s">
        <v>2316</v>
      </c>
      <c r="F45" t="s">
        <v>415</v>
      </c>
      <c r="G45" s="77">
        <v>45708</v>
      </c>
      <c r="H45" s="3">
        <v>38747942.0917826</v>
      </c>
      <c r="I45" s="3">
        <v>368072320.59875202</v>
      </c>
      <c r="J45" s="3">
        <v>9.4991450056081792</v>
      </c>
    </row>
    <row r="46" spans="1:10" x14ac:dyDescent="0.3">
      <c r="A46" t="s">
        <v>2325</v>
      </c>
      <c r="B46">
        <v>2025</v>
      </c>
      <c r="C46">
        <v>8</v>
      </c>
      <c r="D46" t="s">
        <v>2317</v>
      </c>
      <c r="E46" t="s">
        <v>2316</v>
      </c>
      <c r="F46" t="s">
        <v>415</v>
      </c>
      <c r="G46" s="77">
        <v>45883</v>
      </c>
      <c r="H46" s="3">
        <v>243488.31155710001</v>
      </c>
      <c r="I46" s="3">
        <v>1930040.1635078499</v>
      </c>
      <c r="J46" s="3">
        <v>7.92662346362874</v>
      </c>
    </row>
    <row r="47" spans="1:10" x14ac:dyDescent="0.3">
      <c r="A47" t="s">
        <v>2326</v>
      </c>
      <c r="B47">
        <v>2024</v>
      </c>
      <c r="C47">
        <v>3</v>
      </c>
      <c r="D47" t="s">
        <v>2318</v>
      </c>
      <c r="E47" t="s">
        <v>2316</v>
      </c>
      <c r="F47" t="s">
        <v>415</v>
      </c>
      <c r="G47" s="77">
        <v>45378</v>
      </c>
      <c r="H47" s="3">
        <v>284288.59293008002</v>
      </c>
      <c r="I47" s="3">
        <v>3075098.7493344201</v>
      </c>
      <c r="J47" s="3">
        <v>10.8168207441609</v>
      </c>
    </row>
    <row r="48" spans="1:10" x14ac:dyDescent="0.3">
      <c r="A48" t="s">
        <v>2326</v>
      </c>
      <c r="B48">
        <v>2024</v>
      </c>
      <c r="C48">
        <v>4</v>
      </c>
      <c r="D48" t="s">
        <v>2318</v>
      </c>
      <c r="E48" t="s">
        <v>2316</v>
      </c>
      <c r="F48" t="s">
        <v>415</v>
      </c>
      <c r="G48" s="77">
        <v>45393</v>
      </c>
      <c r="H48" s="3">
        <v>6546.0840052399999</v>
      </c>
      <c r="I48" s="3">
        <v>72203.306577797193</v>
      </c>
      <c r="J48" s="3">
        <v>11.03</v>
      </c>
    </row>
    <row r="49" spans="1:10" x14ac:dyDescent="0.3">
      <c r="A49" t="s">
        <v>2326</v>
      </c>
      <c r="B49">
        <v>2024</v>
      </c>
      <c r="C49">
        <v>9</v>
      </c>
      <c r="D49" t="s">
        <v>2315</v>
      </c>
      <c r="E49" t="s">
        <v>2316</v>
      </c>
      <c r="F49" t="s">
        <v>415</v>
      </c>
      <c r="G49" s="77">
        <v>45541</v>
      </c>
      <c r="H49" s="3">
        <v>971229500.011235</v>
      </c>
      <c r="I49" s="3">
        <v>10314457290.119301</v>
      </c>
      <c r="J49" s="3">
        <v>10.62</v>
      </c>
    </row>
    <row r="50" spans="1:10" x14ac:dyDescent="0.3">
      <c r="A50" t="s">
        <v>2326</v>
      </c>
      <c r="B50">
        <v>2025</v>
      </c>
      <c r="C50">
        <v>8</v>
      </c>
      <c r="D50" t="s">
        <v>2317</v>
      </c>
      <c r="E50" t="s">
        <v>2316</v>
      </c>
      <c r="F50" t="s">
        <v>415</v>
      </c>
      <c r="G50" s="77">
        <v>45897</v>
      </c>
      <c r="H50" s="3">
        <v>590954.29997177003</v>
      </c>
      <c r="I50" s="3">
        <v>4599037.2046477497</v>
      </c>
      <c r="J50" s="3">
        <v>7.7823906262589899</v>
      </c>
    </row>
    <row r="51" spans="1:10" x14ac:dyDescent="0.3">
      <c r="A51" t="s">
        <v>2327</v>
      </c>
      <c r="B51">
        <v>2025</v>
      </c>
      <c r="C51">
        <v>3</v>
      </c>
      <c r="D51" t="s">
        <v>2315</v>
      </c>
      <c r="E51" t="s">
        <v>2316</v>
      </c>
      <c r="F51" t="s">
        <v>415</v>
      </c>
      <c r="G51" s="77">
        <v>45736</v>
      </c>
      <c r="H51" s="3">
        <v>778249.43119839998</v>
      </c>
      <c r="I51" s="3">
        <v>7012306.86705615</v>
      </c>
      <c r="J51" s="3">
        <v>9.0103591290238896</v>
      </c>
    </row>
    <row r="52" spans="1:10" x14ac:dyDescent="0.3">
      <c r="A52" t="s">
        <v>2327</v>
      </c>
      <c r="B52">
        <v>2025</v>
      </c>
      <c r="C52">
        <v>7</v>
      </c>
      <c r="D52" t="s">
        <v>2317</v>
      </c>
      <c r="E52" t="s">
        <v>2316</v>
      </c>
      <c r="F52" t="s">
        <v>415</v>
      </c>
      <c r="G52" s="77">
        <v>45863</v>
      </c>
      <c r="H52" s="3">
        <v>4325544.8507744996</v>
      </c>
      <c r="I52" s="3">
        <v>34604358.806195997</v>
      </c>
      <c r="J52" s="3">
        <v>8</v>
      </c>
    </row>
    <row r="53" spans="1:10" x14ac:dyDescent="0.3">
      <c r="A53" t="s">
        <v>2327</v>
      </c>
      <c r="B53">
        <v>2025</v>
      </c>
      <c r="C53">
        <v>9</v>
      </c>
      <c r="D53" t="s">
        <v>2317</v>
      </c>
      <c r="E53" t="s">
        <v>2316</v>
      </c>
      <c r="F53" t="s">
        <v>415</v>
      </c>
      <c r="G53" s="77">
        <v>45911</v>
      </c>
      <c r="H53" s="3">
        <v>8982964.9895372204</v>
      </c>
      <c r="I53" s="3">
        <v>69437913.398391202</v>
      </c>
      <c r="J53" s="3">
        <v>7.7299548065998298</v>
      </c>
    </row>
    <row r="54" spans="1:10" x14ac:dyDescent="0.3">
      <c r="A54" t="s">
        <v>2920</v>
      </c>
      <c r="B54">
        <v>2025</v>
      </c>
      <c r="C54">
        <v>9</v>
      </c>
      <c r="D54" t="s">
        <v>2317</v>
      </c>
      <c r="E54" t="s">
        <v>2316</v>
      </c>
      <c r="F54" t="s">
        <v>415</v>
      </c>
      <c r="G54" s="77">
        <v>45925</v>
      </c>
      <c r="H54" s="3">
        <v>554489.48442845</v>
      </c>
      <c r="I54" s="3">
        <v>4192204.81629297</v>
      </c>
      <c r="J54" s="3">
        <v>7.56047667993949</v>
      </c>
    </row>
    <row r="55" spans="1:10" x14ac:dyDescent="0.3">
      <c r="A55" t="s">
        <v>2921</v>
      </c>
      <c r="B55">
        <v>2025</v>
      </c>
      <c r="C55">
        <v>4</v>
      </c>
      <c r="D55" t="s">
        <v>2315</v>
      </c>
      <c r="E55" t="s">
        <v>2316</v>
      </c>
      <c r="F55" t="s">
        <v>415</v>
      </c>
      <c r="G55" s="77">
        <v>45771</v>
      </c>
      <c r="H55" s="3">
        <v>974793931.48666799</v>
      </c>
      <c r="I55" s="3">
        <v>8286647494.8492098</v>
      </c>
      <c r="J55" s="3">
        <v>8.5009223254100093</v>
      </c>
    </row>
    <row r="56" spans="1:10" x14ac:dyDescent="0.3">
      <c r="A56" t="s">
        <v>2921</v>
      </c>
      <c r="B56">
        <v>2025</v>
      </c>
      <c r="C56">
        <v>9</v>
      </c>
      <c r="D56" t="s">
        <v>2318</v>
      </c>
      <c r="E56" t="s">
        <v>2316</v>
      </c>
      <c r="F56" t="s">
        <v>415</v>
      </c>
      <c r="G56" s="77">
        <v>45930</v>
      </c>
      <c r="H56" s="3">
        <v>45647721.710000001</v>
      </c>
      <c r="I56" s="3">
        <v>344640298.91049999</v>
      </c>
      <c r="J56" s="3">
        <v>7.55</v>
      </c>
    </row>
    <row r="57" spans="1:10" x14ac:dyDescent="0.3">
      <c r="A57" t="s">
        <v>2328</v>
      </c>
      <c r="B57">
        <v>2024</v>
      </c>
      <c r="C57">
        <v>4</v>
      </c>
      <c r="D57" t="s">
        <v>2318</v>
      </c>
      <c r="E57" t="s">
        <v>2316</v>
      </c>
      <c r="F57" t="s">
        <v>415</v>
      </c>
      <c r="G57" s="77">
        <v>45407</v>
      </c>
      <c r="H57" s="3">
        <v>1008.1354903</v>
      </c>
      <c r="I57" s="3">
        <v>11522.988654129</v>
      </c>
      <c r="J57" s="3">
        <v>11.43</v>
      </c>
    </row>
    <row r="58" spans="1:10" x14ac:dyDescent="0.3">
      <c r="A58" t="s">
        <v>2328</v>
      </c>
      <c r="B58">
        <v>2024</v>
      </c>
      <c r="C58">
        <v>5</v>
      </c>
      <c r="D58" t="s">
        <v>2318</v>
      </c>
      <c r="E58" t="s">
        <v>2316</v>
      </c>
      <c r="F58" t="s">
        <v>415</v>
      </c>
      <c r="G58" s="77">
        <v>45434</v>
      </c>
      <c r="H58" s="3">
        <v>497325308.55884302</v>
      </c>
      <c r="I58" s="3">
        <v>5594909944.6133299</v>
      </c>
      <c r="J58" s="3">
        <v>11.2500004490548</v>
      </c>
    </row>
    <row r="59" spans="1:10" x14ac:dyDescent="0.3">
      <c r="A59" t="s">
        <v>2328</v>
      </c>
      <c r="B59">
        <v>2024</v>
      </c>
      <c r="C59">
        <v>10</v>
      </c>
      <c r="D59" t="s">
        <v>2318</v>
      </c>
      <c r="E59" t="s">
        <v>2316</v>
      </c>
      <c r="F59" t="s">
        <v>415</v>
      </c>
      <c r="G59" s="77">
        <v>45593</v>
      </c>
      <c r="H59" s="3">
        <v>1680228550.0054901</v>
      </c>
      <c r="I59" s="3">
        <v>17722810712.8078</v>
      </c>
      <c r="J59" s="3">
        <v>10.547857142857101</v>
      </c>
    </row>
    <row r="60" spans="1:10" x14ac:dyDescent="0.3">
      <c r="A60" t="s">
        <v>2328</v>
      </c>
      <c r="B60">
        <v>2025</v>
      </c>
      <c r="C60">
        <v>4</v>
      </c>
      <c r="D60" t="s">
        <v>2315</v>
      </c>
      <c r="E60" t="s">
        <v>2316</v>
      </c>
      <c r="F60" t="s">
        <v>415</v>
      </c>
      <c r="G60" s="77">
        <v>45776</v>
      </c>
      <c r="H60" s="3">
        <v>960130600</v>
      </c>
      <c r="I60" s="3">
        <v>8156309447</v>
      </c>
      <c r="J60" s="3">
        <v>8.4949999999999992</v>
      </c>
    </row>
    <row r="61" spans="1:10" x14ac:dyDescent="0.3">
      <c r="A61" t="s">
        <v>2922</v>
      </c>
      <c r="B61">
        <v>2025</v>
      </c>
      <c r="C61">
        <v>4</v>
      </c>
      <c r="D61" t="s">
        <v>2315</v>
      </c>
      <c r="E61" t="s">
        <v>2316</v>
      </c>
      <c r="F61" t="s">
        <v>415</v>
      </c>
      <c r="G61" s="77">
        <v>45777</v>
      </c>
      <c r="H61" s="3">
        <v>18325.236145399998</v>
      </c>
      <c r="I61" s="3">
        <v>155581.25487444599</v>
      </c>
      <c r="J61" s="3">
        <v>8.49</v>
      </c>
    </row>
    <row r="62" spans="1:10" x14ac:dyDescent="0.3">
      <c r="A62" t="s">
        <v>2922</v>
      </c>
      <c r="B62">
        <v>2025</v>
      </c>
      <c r="C62">
        <v>5</v>
      </c>
      <c r="D62" t="s">
        <v>2317</v>
      </c>
      <c r="E62" t="s">
        <v>2316</v>
      </c>
      <c r="F62" t="s">
        <v>415</v>
      </c>
      <c r="G62" s="77">
        <v>45792</v>
      </c>
      <c r="H62" s="3">
        <v>957582917.78750002</v>
      </c>
      <c r="I62" s="3">
        <v>8043691966.8813801</v>
      </c>
      <c r="J62" s="3">
        <v>8.3999952562503601</v>
      </c>
    </row>
    <row r="63" spans="1:10" x14ac:dyDescent="0.3">
      <c r="A63" t="s">
        <v>2923</v>
      </c>
      <c r="B63">
        <v>2025</v>
      </c>
      <c r="C63">
        <v>5</v>
      </c>
      <c r="D63" t="s">
        <v>2315</v>
      </c>
      <c r="E63" t="s">
        <v>2316</v>
      </c>
      <c r="F63" t="s">
        <v>415</v>
      </c>
      <c r="G63" s="77">
        <v>45806</v>
      </c>
      <c r="H63" s="3">
        <v>98790.712987499996</v>
      </c>
      <c r="I63" s="3">
        <v>822926.63918587496</v>
      </c>
      <c r="J63" s="3">
        <v>8.33</v>
      </c>
    </row>
    <row r="64" spans="1:10" x14ac:dyDescent="0.3">
      <c r="A64" t="s">
        <v>2923</v>
      </c>
      <c r="B64">
        <v>2025</v>
      </c>
      <c r="C64">
        <v>6</v>
      </c>
      <c r="D64" t="s">
        <v>2317</v>
      </c>
      <c r="E64" t="s">
        <v>2316</v>
      </c>
      <c r="F64" t="s">
        <v>415</v>
      </c>
      <c r="G64" s="77">
        <v>45820</v>
      </c>
      <c r="H64" s="3">
        <v>83355.550930600002</v>
      </c>
      <c r="I64" s="3">
        <v>692684.62823328597</v>
      </c>
      <c r="J64" s="3">
        <v>8.31</v>
      </c>
    </row>
    <row r="65" spans="1:10" x14ac:dyDescent="0.3">
      <c r="A65" t="s">
        <v>2329</v>
      </c>
      <c r="B65">
        <v>2024</v>
      </c>
      <c r="C65">
        <v>7</v>
      </c>
      <c r="D65" t="s">
        <v>2318</v>
      </c>
      <c r="E65" t="s">
        <v>2316</v>
      </c>
      <c r="F65" t="s">
        <v>415</v>
      </c>
      <c r="G65" s="77">
        <v>45491</v>
      </c>
      <c r="H65" s="3">
        <v>717689.12490248994</v>
      </c>
      <c r="I65" s="3">
        <v>8038201.8440134097</v>
      </c>
      <c r="J65" s="3">
        <v>11.200116547823599</v>
      </c>
    </row>
    <row r="66" spans="1:10" x14ac:dyDescent="0.3">
      <c r="A66" t="s">
        <v>2329</v>
      </c>
      <c r="B66">
        <v>2024</v>
      </c>
      <c r="C66">
        <v>8</v>
      </c>
      <c r="D66" t="s">
        <v>2318</v>
      </c>
      <c r="E66" t="s">
        <v>2316</v>
      </c>
      <c r="F66" t="s">
        <v>415</v>
      </c>
      <c r="G66" s="77">
        <v>45534</v>
      </c>
      <c r="H66" s="3">
        <v>664713623.02500105</v>
      </c>
      <c r="I66" s="3">
        <v>7112504402.8452101</v>
      </c>
      <c r="J66" s="3">
        <v>10.7001032572153</v>
      </c>
    </row>
    <row r="67" spans="1:10" x14ac:dyDescent="0.3">
      <c r="A67" t="s">
        <v>2329</v>
      </c>
      <c r="B67">
        <v>2024</v>
      </c>
      <c r="C67">
        <v>9</v>
      </c>
      <c r="D67" t="s">
        <v>2318</v>
      </c>
      <c r="E67" t="s">
        <v>2316</v>
      </c>
      <c r="F67" t="s">
        <v>415</v>
      </c>
      <c r="G67" s="77">
        <v>45537</v>
      </c>
      <c r="H67" s="3">
        <v>474712349.99506402</v>
      </c>
      <c r="I67" s="3">
        <v>5079422144.9471903</v>
      </c>
      <c r="J67" s="3">
        <v>10.7</v>
      </c>
    </row>
    <row r="68" spans="1:10" x14ac:dyDescent="0.3">
      <c r="A68" t="s">
        <v>2329</v>
      </c>
      <c r="B68">
        <v>2024</v>
      </c>
      <c r="C68">
        <v>11</v>
      </c>
      <c r="D68" t="s">
        <v>2318</v>
      </c>
      <c r="E68" t="s">
        <v>2316</v>
      </c>
      <c r="F68" t="s">
        <v>415</v>
      </c>
      <c r="G68" s="77">
        <v>45625</v>
      </c>
      <c r="H68" s="3">
        <v>474712350.01277798</v>
      </c>
      <c r="I68" s="3">
        <v>4865801587.63097</v>
      </c>
      <c r="J68" s="3">
        <v>10.25</v>
      </c>
    </row>
    <row r="69" spans="1:10" x14ac:dyDescent="0.3">
      <c r="A69" t="s">
        <v>2924</v>
      </c>
      <c r="B69">
        <v>2025</v>
      </c>
      <c r="C69">
        <v>7</v>
      </c>
      <c r="D69" t="s">
        <v>2317</v>
      </c>
      <c r="E69" t="s">
        <v>2316</v>
      </c>
      <c r="F69" t="s">
        <v>415</v>
      </c>
      <c r="G69" s="77">
        <v>45848</v>
      </c>
      <c r="H69" s="3">
        <v>372064.78118980001</v>
      </c>
      <c r="I69" s="3">
        <v>3099299.6273110299</v>
      </c>
      <c r="J69" s="3">
        <v>8.33</v>
      </c>
    </row>
    <row r="70" spans="1:10" x14ac:dyDescent="0.3">
      <c r="A70" t="s">
        <v>2925</v>
      </c>
      <c r="B70">
        <v>2025</v>
      </c>
      <c r="C70">
        <v>7</v>
      </c>
      <c r="D70" t="s">
        <v>2315</v>
      </c>
      <c r="E70" t="s">
        <v>2316</v>
      </c>
      <c r="F70" t="s">
        <v>415</v>
      </c>
      <c r="G70" s="77">
        <v>45862</v>
      </c>
      <c r="H70" s="3">
        <v>2394171.5313635999</v>
      </c>
      <c r="I70" s="3">
        <v>19704031.7031224</v>
      </c>
      <c r="J70" s="3">
        <v>8.23</v>
      </c>
    </row>
    <row r="71" spans="1:10" x14ac:dyDescent="0.3">
      <c r="A71" t="s">
        <v>2925</v>
      </c>
      <c r="B71">
        <v>2025</v>
      </c>
      <c r="C71">
        <v>8</v>
      </c>
      <c r="D71" t="s">
        <v>2317</v>
      </c>
      <c r="E71" t="s">
        <v>2316</v>
      </c>
      <c r="F71" t="s">
        <v>415</v>
      </c>
      <c r="G71" s="77">
        <v>45876</v>
      </c>
      <c r="H71" s="3">
        <v>272235.4734204</v>
      </c>
      <c r="I71" s="3">
        <v>2188773.2063000202</v>
      </c>
      <c r="J71" s="3">
        <v>8.0399999999999991</v>
      </c>
    </row>
    <row r="72" spans="1:10" x14ac:dyDescent="0.3">
      <c r="A72" t="s">
        <v>2330</v>
      </c>
      <c r="B72">
        <v>2024</v>
      </c>
      <c r="C72">
        <v>8</v>
      </c>
      <c r="D72" t="s">
        <v>2318</v>
      </c>
      <c r="E72" t="s">
        <v>2316</v>
      </c>
      <c r="F72" t="s">
        <v>415</v>
      </c>
      <c r="G72" s="77">
        <v>45533</v>
      </c>
      <c r="H72" s="3">
        <v>335243.54926439998</v>
      </c>
      <c r="I72" s="3">
        <v>3610573.0255775899</v>
      </c>
      <c r="J72" s="3">
        <v>10.77</v>
      </c>
    </row>
    <row r="73" spans="1:10" x14ac:dyDescent="0.3">
      <c r="A73" t="s">
        <v>2330</v>
      </c>
      <c r="B73">
        <v>2024</v>
      </c>
      <c r="C73">
        <v>9</v>
      </c>
      <c r="D73" t="s">
        <v>2318</v>
      </c>
      <c r="E73" t="s">
        <v>2316</v>
      </c>
      <c r="F73" t="s">
        <v>415</v>
      </c>
      <c r="G73" s="77">
        <v>45561</v>
      </c>
      <c r="H73" s="3">
        <v>714767.74499031994</v>
      </c>
      <c r="I73" s="3">
        <v>7344209.72488009</v>
      </c>
      <c r="J73" s="3">
        <v>10.2749596303895</v>
      </c>
    </row>
    <row r="74" spans="1:10" x14ac:dyDescent="0.3">
      <c r="A74" t="s">
        <v>2330</v>
      </c>
      <c r="B74">
        <v>2024</v>
      </c>
      <c r="C74">
        <v>10</v>
      </c>
      <c r="D74" t="s">
        <v>2318</v>
      </c>
      <c r="E74" t="s">
        <v>2316</v>
      </c>
      <c r="F74" t="s">
        <v>415</v>
      </c>
      <c r="G74" s="77">
        <v>45583</v>
      </c>
      <c r="H74" s="3">
        <v>1407521850.00611</v>
      </c>
      <c r="I74" s="3">
        <v>14427098962.562599</v>
      </c>
      <c r="J74" s="3">
        <v>10.25</v>
      </c>
    </row>
    <row r="75" spans="1:10" x14ac:dyDescent="0.3">
      <c r="A75" t="s">
        <v>2330</v>
      </c>
      <c r="B75">
        <v>2024</v>
      </c>
      <c r="C75">
        <v>11</v>
      </c>
      <c r="D75" t="s">
        <v>2318</v>
      </c>
      <c r="E75" t="s">
        <v>2316</v>
      </c>
      <c r="F75" t="s">
        <v>415</v>
      </c>
      <c r="G75" s="77">
        <v>45625</v>
      </c>
      <c r="H75" s="3">
        <v>1407521849.9616001</v>
      </c>
      <c r="I75" s="3">
        <v>14567851147.102501</v>
      </c>
      <c r="J75" s="3">
        <v>10.35</v>
      </c>
    </row>
    <row r="76" spans="1:10" x14ac:dyDescent="0.3">
      <c r="A76" t="s">
        <v>2330</v>
      </c>
      <c r="B76">
        <v>2024</v>
      </c>
      <c r="C76">
        <v>12</v>
      </c>
      <c r="D76" t="s">
        <v>2318</v>
      </c>
      <c r="E76" t="s">
        <v>2316</v>
      </c>
      <c r="F76" t="s">
        <v>415</v>
      </c>
      <c r="G76" s="77">
        <v>45636</v>
      </c>
      <c r="H76" s="3">
        <v>750678319.99353302</v>
      </c>
      <c r="I76" s="3">
        <v>7506783199.9353399</v>
      </c>
      <c r="J76" s="3">
        <v>10</v>
      </c>
    </row>
    <row r="77" spans="1:10" x14ac:dyDescent="0.3">
      <c r="A77" t="s">
        <v>2926</v>
      </c>
      <c r="B77">
        <v>2025</v>
      </c>
      <c r="C77">
        <v>8</v>
      </c>
      <c r="D77" t="s">
        <v>2315</v>
      </c>
      <c r="E77" t="s">
        <v>2316</v>
      </c>
      <c r="F77" t="s">
        <v>415</v>
      </c>
      <c r="G77" s="77">
        <v>45890</v>
      </c>
      <c r="H77" s="3">
        <v>1244238.2246344001</v>
      </c>
      <c r="I77" s="3">
        <v>9841924.3568581007</v>
      </c>
      <c r="J77" s="3">
        <v>7.91</v>
      </c>
    </row>
    <row r="78" spans="1:10" x14ac:dyDescent="0.3">
      <c r="A78" t="s">
        <v>2926</v>
      </c>
      <c r="B78">
        <v>2025</v>
      </c>
      <c r="C78">
        <v>9</v>
      </c>
      <c r="D78" t="s">
        <v>2317</v>
      </c>
      <c r="E78" t="s">
        <v>2316</v>
      </c>
      <c r="F78" t="s">
        <v>415</v>
      </c>
      <c r="G78" s="77">
        <v>45904</v>
      </c>
      <c r="H78" s="3">
        <v>273751.49953899998</v>
      </c>
      <c r="I78" s="3">
        <v>2143474.2413903698</v>
      </c>
      <c r="J78" s="3">
        <v>7.83</v>
      </c>
    </row>
    <row r="79" spans="1:10" x14ac:dyDescent="0.3">
      <c r="A79" t="s">
        <v>2927</v>
      </c>
      <c r="B79">
        <v>2025</v>
      </c>
      <c r="C79">
        <v>9</v>
      </c>
      <c r="D79" t="s">
        <v>2315</v>
      </c>
      <c r="E79" t="s">
        <v>2316</v>
      </c>
      <c r="F79" t="s">
        <v>415</v>
      </c>
      <c r="G79" s="77">
        <v>45918</v>
      </c>
      <c r="H79" s="3">
        <v>3819935.9341835999</v>
      </c>
      <c r="I79" s="3">
        <v>29413506.693213701</v>
      </c>
      <c r="J79" s="3">
        <v>7.7</v>
      </c>
    </row>
    <row r="80" spans="1:10" x14ac:dyDescent="0.3">
      <c r="A80" t="s">
        <v>2927</v>
      </c>
      <c r="B80">
        <v>2025</v>
      </c>
      <c r="C80">
        <v>9</v>
      </c>
      <c r="D80" t="s">
        <v>2318</v>
      </c>
      <c r="E80" t="s">
        <v>2316</v>
      </c>
      <c r="F80" t="s">
        <v>415</v>
      </c>
      <c r="G80" s="77">
        <v>45930</v>
      </c>
      <c r="H80" s="3">
        <v>10477324.16</v>
      </c>
      <c r="I80" s="3">
        <v>79941983.340800002</v>
      </c>
      <c r="J80" s="3">
        <v>7.63</v>
      </c>
    </row>
    <row r="81" spans="1:10" x14ac:dyDescent="0.3">
      <c r="A81" t="s">
        <v>2331</v>
      </c>
      <c r="B81">
        <v>2024</v>
      </c>
      <c r="C81">
        <v>11</v>
      </c>
      <c r="D81" t="s">
        <v>2318</v>
      </c>
      <c r="E81" t="s">
        <v>2316</v>
      </c>
      <c r="F81" t="s">
        <v>415</v>
      </c>
      <c r="G81" s="77">
        <v>45621</v>
      </c>
      <c r="H81" s="3">
        <v>1646715650.44807</v>
      </c>
      <c r="I81" s="3">
        <v>16961181236.349001</v>
      </c>
      <c r="J81" s="3">
        <v>10.300006095001301</v>
      </c>
    </row>
    <row r="82" spans="1:10" x14ac:dyDescent="0.3">
      <c r="A82" t="s">
        <v>2331</v>
      </c>
      <c r="B82">
        <v>2025</v>
      </c>
      <c r="C82">
        <v>3</v>
      </c>
      <c r="D82" t="s">
        <v>2318</v>
      </c>
      <c r="E82" t="s">
        <v>2316</v>
      </c>
      <c r="F82" t="s">
        <v>415</v>
      </c>
      <c r="G82" s="77">
        <v>45737</v>
      </c>
      <c r="H82" s="3">
        <v>928012500</v>
      </c>
      <c r="I82" s="3">
        <v>8379952875</v>
      </c>
      <c r="J82" s="3">
        <v>9.0299999999999994</v>
      </c>
    </row>
    <row r="83" spans="1:10" x14ac:dyDescent="0.3">
      <c r="A83" t="s">
        <v>2332</v>
      </c>
      <c r="B83">
        <v>2024</v>
      </c>
      <c r="C83">
        <v>12</v>
      </c>
      <c r="D83" t="s">
        <v>2318</v>
      </c>
      <c r="E83" t="s">
        <v>2316</v>
      </c>
      <c r="F83" t="s">
        <v>415</v>
      </c>
      <c r="G83" s="77">
        <v>45645</v>
      </c>
      <c r="H83" s="3">
        <v>919023754.51109397</v>
      </c>
      <c r="I83" s="3">
        <v>9107663996.3410206</v>
      </c>
      <c r="J83" s="3">
        <v>9.9101508003850896</v>
      </c>
    </row>
    <row r="84" spans="1:10" x14ac:dyDescent="0.3">
      <c r="A84" t="s">
        <v>2332</v>
      </c>
      <c r="B84">
        <v>2025</v>
      </c>
      <c r="C84">
        <v>1</v>
      </c>
      <c r="D84" t="s">
        <v>2318</v>
      </c>
      <c r="E84" t="s">
        <v>2316</v>
      </c>
      <c r="F84" t="s">
        <v>415</v>
      </c>
      <c r="G84" s="77">
        <v>45684</v>
      </c>
      <c r="H84" s="3">
        <v>2275042647.6792598</v>
      </c>
      <c r="I84" s="3">
        <v>23054810415.914501</v>
      </c>
      <c r="J84" s="3">
        <v>10.1337926299678</v>
      </c>
    </row>
    <row r="85" spans="1:10" x14ac:dyDescent="0.3">
      <c r="A85" t="s">
        <v>2332</v>
      </c>
      <c r="B85">
        <v>2025</v>
      </c>
      <c r="C85">
        <v>3</v>
      </c>
      <c r="D85" t="s">
        <v>2318</v>
      </c>
      <c r="E85" t="s">
        <v>2316</v>
      </c>
      <c r="F85" t="s">
        <v>415</v>
      </c>
      <c r="G85" s="77">
        <v>45730</v>
      </c>
      <c r="H85" s="3">
        <v>1651158180</v>
      </c>
      <c r="I85" s="3">
        <v>15087916524.799999</v>
      </c>
      <c r="J85" s="3">
        <v>9.13777777777781</v>
      </c>
    </row>
    <row r="86" spans="1:10" x14ac:dyDescent="0.3">
      <c r="A86" t="s">
        <v>2333</v>
      </c>
      <c r="B86">
        <v>2025</v>
      </c>
      <c r="C86">
        <v>1</v>
      </c>
      <c r="D86" t="s">
        <v>2318</v>
      </c>
      <c r="E86" t="s">
        <v>2316</v>
      </c>
      <c r="F86" t="s">
        <v>415</v>
      </c>
      <c r="G86" s="77">
        <v>45687</v>
      </c>
      <c r="H86" s="3">
        <v>2869348.0798795</v>
      </c>
      <c r="I86" s="3">
        <v>27976143.778825101</v>
      </c>
      <c r="J86" s="3">
        <v>9.75</v>
      </c>
    </row>
    <row r="87" spans="1:10" x14ac:dyDescent="0.3">
      <c r="A87" t="s">
        <v>2333</v>
      </c>
      <c r="B87">
        <v>2025</v>
      </c>
      <c r="C87">
        <v>2</v>
      </c>
      <c r="D87" t="s">
        <v>2318</v>
      </c>
      <c r="E87" t="s">
        <v>2316</v>
      </c>
      <c r="F87" t="s">
        <v>415</v>
      </c>
      <c r="G87" s="77">
        <v>45716</v>
      </c>
      <c r="H87" s="3">
        <v>3972430609.4211898</v>
      </c>
      <c r="I87" s="3">
        <v>37628011499.476601</v>
      </c>
      <c r="J87" s="3">
        <v>9.4722891849228095</v>
      </c>
    </row>
    <row r="88" spans="1:10" x14ac:dyDescent="0.3">
      <c r="A88" t="s">
        <v>2333</v>
      </c>
      <c r="B88">
        <v>2025</v>
      </c>
      <c r="C88">
        <v>3</v>
      </c>
      <c r="D88" t="s">
        <v>2318</v>
      </c>
      <c r="E88" t="s">
        <v>2316</v>
      </c>
      <c r="F88" t="s">
        <v>415</v>
      </c>
      <c r="G88" s="77">
        <v>45729</v>
      </c>
      <c r="H88" s="3">
        <v>725624497.66961205</v>
      </c>
      <c r="I88" s="3">
        <v>6748306003.974</v>
      </c>
      <c r="J88" s="3">
        <v>9.2999974858161494</v>
      </c>
    </row>
    <row r="89" spans="1:10" x14ac:dyDescent="0.3">
      <c r="A89" t="s">
        <v>2334</v>
      </c>
      <c r="B89">
        <v>2025</v>
      </c>
      <c r="C89">
        <v>3</v>
      </c>
      <c r="D89" t="s">
        <v>2318</v>
      </c>
      <c r="E89" t="s">
        <v>2316</v>
      </c>
      <c r="F89" t="s">
        <v>415</v>
      </c>
      <c r="G89" s="77">
        <v>45744</v>
      </c>
      <c r="H89" s="3">
        <v>986532742.12853396</v>
      </c>
      <c r="I89" s="3">
        <v>8859074586.9204903</v>
      </c>
      <c r="J89" s="3">
        <v>8.9800107067974508</v>
      </c>
    </row>
    <row r="90" spans="1:10" x14ac:dyDescent="0.3">
      <c r="A90" t="s">
        <v>2334</v>
      </c>
      <c r="B90">
        <v>2025</v>
      </c>
      <c r="C90">
        <v>4</v>
      </c>
      <c r="D90" t="s">
        <v>2318</v>
      </c>
      <c r="E90" t="s">
        <v>2316</v>
      </c>
      <c r="F90" t="s">
        <v>415</v>
      </c>
      <c r="G90" s="77">
        <v>45761</v>
      </c>
      <c r="H90" s="3">
        <v>3586638296.1948199</v>
      </c>
      <c r="I90" s="3">
        <v>31114088321.705601</v>
      </c>
      <c r="J90" s="3">
        <v>8.6750003073115902</v>
      </c>
    </row>
    <row r="91" spans="1:10" x14ac:dyDescent="0.3">
      <c r="A91" t="s">
        <v>2334</v>
      </c>
      <c r="B91">
        <v>2025</v>
      </c>
      <c r="C91">
        <v>5</v>
      </c>
      <c r="D91" t="s">
        <v>2318</v>
      </c>
      <c r="E91" t="s">
        <v>2316</v>
      </c>
      <c r="F91" t="s">
        <v>415</v>
      </c>
      <c r="G91" s="77">
        <v>45785</v>
      </c>
      <c r="H91" s="3">
        <v>5379.9433259999996</v>
      </c>
      <c r="I91" s="3">
        <v>46267.5126036</v>
      </c>
      <c r="J91" s="3">
        <v>8.6</v>
      </c>
    </row>
    <row r="92" spans="1:10" x14ac:dyDescent="0.3">
      <c r="A92" t="s">
        <v>2928</v>
      </c>
      <c r="B92">
        <v>2025</v>
      </c>
      <c r="C92">
        <v>5</v>
      </c>
      <c r="D92" t="s">
        <v>2318</v>
      </c>
      <c r="E92" t="s">
        <v>2316</v>
      </c>
      <c r="F92" t="s">
        <v>415</v>
      </c>
      <c r="G92" s="77">
        <v>45800</v>
      </c>
      <c r="H92" s="3">
        <v>1816588639.99</v>
      </c>
      <c r="I92" s="3">
        <v>15456732439.115</v>
      </c>
      <c r="J92" s="3">
        <v>8.50865853658539</v>
      </c>
    </row>
    <row r="93" spans="1:10" x14ac:dyDescent="0.3">
      <c r="A93" t="s">
        <v>2928</v>
      </c>
      <c r="B93">
        <v>2025</v>
      </c>
      <c r="C93">
        <v>6</v>
      </c>
      <c r="D93" t="s">
        <v>2318</v>
      </c>
      <c r="E93" t="s">
        <v>2316</v>
      </c>
      <c r="F93" t="s">
        <v>415</v>
      </c>
      <c r="G93" s="77">
        <v>45835</v>
      </c>
      <c r="H93" s="3">
        <v>2702944240.55618</v>
      </c>
      <c r="I93" s="3">
        <v>22916119161.581501</v>
      </c>
      <c r="J93" s="3">
        <v>8.4782064009082507</v>
      </c>
    </row>
    <row r="94" spans="1:10" x14ac:dyDescent="0.3">
      <c r="A94" t="s">
        <v>2928</v>
      </c>
      <c r="B94">
        <v>2025</v>
      </c>
      <c r="C94">
        <v>7</v>
      </c>
      <c r="D94" t="s">
        <v>2318</v>
      </c>
      <c r="E94" t="s">
        <v>2316</v>
      </c>
      <c r="F94" t="s">
        <v>415</v>
      </c>
      <c r="G94" s="77">
        <v>45841</v>
      </c>
      <c r="H94" s="3">
        <v>89801.509824719993</v>
      </c>
      <c r="I94" s="3">
        <v>772292.98449259205</v>
      </c>
      <c r="J94" s="3">
        <v>8.6</v>
      </c>
    </row>
    <row r="95" spans="1:10" x14ac:dyDescent="0.3">
      <c r="A95" t="s">
        <v>2929</v>
      </c>
      <c r="B95">
        <v>2025</v>
      </c>
      <c r="C95">
        <v>7</v>
      </c>
      <c r="D95" t="s">
        <v>2318</v>
      </c>
      <c r="E95" t="s">
        <v>2316</v>
      </c>
      <c r="F95" t="s">
        <v>415</v>
      </c>
      <c r="G95" s="77">
        <v>45869</v>
      </c>
      <c r="H95" s="3">
        <v>876314493.57907903</v>
      </c>
      <c r="I95" s="3">
        <v>7448691637.1237097</v>
      </c>
      <c r="J95" s="3">
        <v>8.5000210446154494</v>
      </c>
    </row>
    <row r="96" spans="1:10" x14ac:dyDescent="0.3">
      <c r="A96" t="s">
        <v>2929</v>
      </c>
      <c r="B96">
        <v>2025</v>
      </c>
      <c r="C96">
        <v>8</v>
      </c>
      <c r="D96" t="s">
        <v>2318</v>
      </c>
      <c r="E96" t="s">
        <v>2316</v>
      </c>
      <c r="F96" t="s">
        <v>415</v>
      </c>
      <c r="G96" s="77">
        <v>45897</v>
      </c>
      <c r="H96" s="3">
        <v>3504584600.8365202</v>
      </c>
      <c r="I96" s="3">
        <v>28904064473.687099</v>
      </c>
      <c r="J96" s="3">
        <v>8.2475008498262206</v>
      </c>
    </row>
    <row r="97" spans="1:10" x14ac:dyDescent="0.3">
      <c r="A97" t="s">
        <v>2930</v>
      </c>
      <c r="B97">
        <v>2025</v>
      </c>
      <c r="C97">
        <v>9</v>
      </c>
      <c r="D97" t="s">
        <v>2318</v>
      </c>
      <c r="E97" t="s">
        <v>2316</v>
      </c>
      <c r="F97" t="s">
        <v>415</v>
      </c>
      <c r="G97" s="77">
        <v>45925</v>
      </c>
      <c r="H97" s="3">
        <v>4334487072.84093</v>
      </c>
      <c r="I97" s="3">
        <v>34201914310.047001</v>
      </c>
      <c r="J97" s="3">
        <v>7.8906485900834102</v>
      </c>
    </row>
    <row r="98" spans="1:10" x14ac:dyDescent="0.3">
      <c r="A98" t="s">
        <v>2335</v>
      </c>
      <c r="B98">
        <v>2024</v>
      </c>
      <c r="C98">
        <v>12</v>
      </c>
      <c r="D98" t="s">
        <v>2315</v>
      </c>
      <c r="E98" t="s">
        <v>2284</v>
      </c>
      <c r="F98" t="s">
        <v>415</v>
      </c>
      <c r="G98" s="77">
        <v>45636</v>
      </c>
      <c r="H98" s="3">
        <v>502195.51829588402</v>
      </c>
      <c r="I98" s="3">
        <v>5142482.1073498502</v>
      </c>
      <c r="J98" s="3">
        <v>10.24</v>
      </c>
    </row>
    <row r="99" spans="1:10" x14ac:dyDescent="0.3">
      <c r="A99" t="s">
        <v>2336</v>
      </c>
      <c r="B99">
        <v>2024</v>
      </c>
      <c r="C99">
        <v>9</v>
      </c>
      <c r="D99" t="s">
        <v>2318</v>
      </c>
      <c r="E99" t="s">
        <v>2284</v>
      </c>
      <c r="F99" t="s">
        <v>415</v>
      </c>
      <c r="G99" s="77">
        <v>45561</v>
      </c>
      <c r="H99" s="3">
        <v>2001189439.98</v>
      </c>
      <c r="I99" s="3">
        <v>21873000578.9814</v>
      </c>
      <c r="J99" s="3">
        <v>10.93</v>
      </c>
    </row>
    <row r="100" spans="1:10" x14ac:dyDescent="0.3">
      <c r="A100" t="s">
        <v>2337</v>
      </c>
      <c r="B100">
        <v>2024</v>
      </c>
      <c r="C100">
        <v>10</v>
      </c>
      <c r="D100" t="s">
        <v>2318</v>
      </c>
      <c r="E100" t="s">
        <v>2284</v>
      </c>
      <c r="F100" t="s">
        <v>415</v>
      </c>
      <c r="G100" s="77">
        <v>45569</v>
      </c>
      <c r="H100" s="3">
        <v>2558269176.2509799</v>
      </c>
      <c r="I100" s="3">
        <v>27804484026.343601</v>
      </c>
      <c r="J100" s="3">
        <v>10.8684747814887</v>
      </c>
    </row>
    <row r="101" spans="1:10" x14ac:dyDescent="0.3">
      <c r="A101" t="s">
        <v>2339</v>
      </c>
      <c r="B101">
        <v>2025</v>
      </c>
      <c r="C101">
        <v>2</v>
      </c>
      <c r="D101" t="s">
        <v>2315</v>
      </c>
      <c r="E101" t="s">
        <v>2316</v>
      </c>
      <c r="F101" t="s">
        <v>2338</v>
      </c>
      <c r="G101" s="77">
        <v>45702</v>
      </c>
      <c r="H101" s="3">
        <v>181195908.08421201</v>
      </c>
      <c r="I101" s="3">
        <v>1735856799.4467499</v>
      </c>
      <c r="J101" s="3">
        <v>9.58</v>
      </c>
    </row>
    <row r="102" spans="1:10" x14ac:dyDescent="0.3">
      <c r="A102" t="s">
        <v>2340</v>
      </c>
      <c r="B102">
        <v>2025</v>
      </c>
      <c r="C102">
        <v>3</v>
      </c>
      <c r="D102" t="s">
        <v>2315</v>
      </c>
      <c r="E102" t="s">
        <v>2316</v>
      </c>
      <c r="F102" t="s">
        <v>2338</v>
      </c>
      <c r="G102" s="77">
        <v>45737</v>
      </c>
      <c r="H102" s="3">
        <v>138002891.89466101</v>
      </c>
      <c r="I102" s="3">
        <v>1248926171.6466801</v>
      </c>
      <c r="J102" s="3">
        <v>9.0500000000000007</v>
      </c>
    </row>
    <row r="103" spans="1:10" x14ac:dyDescent="0.3">
      <c r="A103" t="s">
        <v>2931</v>
      </c>
      <c r="B103">
        <v>2025</v>
      </c>
      <c r="C103">
        <v>5</v>
      </c>
      <c r="D103" t="s">
        <v>2315</v>
      </c>
      <c r="E103" t="s">
        <v>2316</v>
      </c>
      <c r="F103" t="s">
        <v>2338</v>
      </c>
      <c r="G103" s="77">
        <v>45785</v>
      </c>
      <c r="H103" s="3">
        <v>5189764.2702307301</v>
      </c>
      <c r="I103" s="3">
        <v>44372484.510472797</v>
      </c>
      <c r="J103" s="3">
        <v>8.5500000000000007</v>
      </c>
    </row>
    <row r="104" spans="1:10" x14ac:dyDescent="0.3">
      <c r="A104" t="s">
        <v>2932</v>
      </c>
      <c r="B104">
        <v>2025</v>
      </c>
      <c r="C104">
        <v>5</v>
      </c>
      <c r="D104" t="s">
        <v>2315</v>
      </c>
      <c r="E104" t="s">
        <v>2316</v>
      </c>
      <c r="F104" t="s">
        <v>2338</v>
      </c>
      <c r="G104" s="77">
        <v>45793</v>
      </c>
      <c r="H104" s="3">
        <v>171681300</v>
      </c>
      <c r="I104" s="3">
        <v>1467875115</v>
      </c>
      <c r="J104" s="3">
        <v>8.5500000000000007</v>
      </c>
    </row>
    <row r="105" spans="1:10" x14ac:dyDescent="0.3">
      <c r="A105" t="s">
        <v>2933</v>
      </c>
      <c r="B105">
        <v>2025</v>
      </c>
      <c r="C105">
        <v>9</v>
      </c>
      <c r="D105" t="s">
        <v>2317</v>
      </c>
      <c r="E105" t="s">
        <v>2316</v>
      </c>
      <c r="F105" t="s">
        <v>409</v>
      </c>
      <c r="G105" s="77">
        <v>45904</v>
      </c>
      <c r="H105" s="3">
        <v>167009678.17028901</v>
      </c>
      <c r="I105" s="3">
        <v>1244222102.36865</v>
      </c>
      <c r="J105" s="3">
        <v>7.45</v>
      </c>
    </row>
    <row r="106" spans="1:10" x14ac:dyDescent="0.3">
      <c r="A106" t="s">
        <v>2934</v>
      </c>
      <c r="B106">
        <v>2025</v>
      </c>
      <c r="C106">
        <v>9</v>
      </c>
      <c r="D106" t="s">
        <v>2317</v>
      </c>
      <c r="E106" t="s">
        <v>2316</v>
      </c>
      <c r="F106" t="s">
        <v>409</v>
      </c>
      <c r="G106" s="77">
        <v>45911</v>
      </c>
      <c r="H106" s="3">
        <v>53714189.1261255</v>
      </c>
      <c r="I106" s="3">
        <v>398559283.31585097</v>
      </c>
      <c r="J106" s="3">
        <v>7.42</v>
      </c>
    </row>
    <row r="107" spans="1:10" x14ac:dyDescent="0.3">
      <c r="A107" t="s">
        <v>2935</v>
      </c>
      <c r="B107">
        <v>2025</v>
      </c>
      <c r="C107">
        <v>9</v>
      </c>
      <c r="D107" t="s">
        <v>2317</v>
      </c>
      <c r="E107" t="s">
        <v>2316</v>
      </c>
      <c r="F107" t="s">
        <v>409</v>
      </c>
      <c r="G107" s="77">
        <v>45918</v>
      </c>
      <c r="H107" s="3">
        <v>147864644.76860401</v>
      </c>
      <c r="I107" s="3">
        <v>1082369199.7061801</v>
      </c>
      <c r="J107" s="3">
        <v>7.32</v>
      </c>
    </row>
    <row r="108" spans="1:10" x14ac:dyDescent="0.3">
      <c r="A108" t="s">
        <v>2936</v>
      </c>
      <c r="B108">
        <v>2025</v>
      </c>
      <c r="C108">
        <v>9</v>
      </c>
      <c r="D108" t="s">
        <v>2317</v>
      </c>
      <c r="E108" t="s">
        <v>2316</v>
      </c>
      <c r="F108" t="s">
        <v>409</v>
      </c>
      <c r="G108" s="77">
        <v>45925</v>
      </c>
      <c r="H108" s="3">
        <v>281767651.60429603</v>
      </c>
      <c r="I108" s="3">
        <v>2062539209.7434499</v>
      </c>
      <c r="J108" s="3">
        <v>7.32</v>
      </c>
    </row>
    <row r="109" spans="1:10" x14ac:dyDescent="0.3">
      <c r="A109" t="s">
        <v>2341</v>
      </c>
      <c r="B109">
        <v>2023</v>
      </c>
      <c r="C109">
        <v>8</v>
      </c>
      <c r="D109" t="s">
        <v>2318</v>
      </c>
      <c r="E109" t="s">
        <v>2284</v>
      </c>
      <c r="F109" t="s">
        <v>409</v>
      </c>
      <c r="G109" s="77">
        <v>45142</v>
      </c>
      <c r="H109" s="3">
        <v>500429015.04000002</v>
      </c>
      <c r="I109" s="3">
        <v>5629826419.1999998</v>
      </c>
      <c r="J109" s="3">
        <v>11.25</v>
      </c>
    </row>
    <row r="110" spans="1:10" x14ac:dyDescent="0.3">
      <c r="A110" t="s">
        <v>2342</v>
      </c>
      <c r="B110">
        <v>2023</v>
      </c>
      <c r="C110">
        <v>6</v>
      </c>
      <c r="D110" t="s">
        <v>2318</v>
      </c>
      <c r="E110" t="s">
        <v>2284</v>
      </c>
      <c r="F110" t="s">
        <v>409</v>
      </c>
      <c r="G110">
        <v>45086</v>
      </c>
      <c r="H110">
        <v>740060043.53038502</v>
      </c>
      <c r="I110">
        <v>8512641161.5128202</v>
      </c>
      <c r="J110">
        <v>11.502635814391599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19"/>
  <sheetViews>
    <sheetView workbookViewId="0">
      <pane xSplit="2" ySplit="2" topLeftCell="J3" activePane="bottomRight" state="frozen"/>
      <selection pane="topRight" activeCell="C1" sqref="C1"/>
      <selection pane="bottomLeft" activeCell="A3" sqref="A3"/>
      <selection pane="bottomRight" activeCell="Q8" sqref="Q8"/>
    </sheetView>
  </sheetViews>
  <sheetFormatPr baseColWidth="10" defaultColWidth="9.44140625" defaultRowHeight="14.4" x14ac:dyDescent="0.3"/>
  <cols>
    <col min="2" max="2" width="54.44140625" bestFit="1" customWidth="1"/>
    <col min="3" max="10" width="10.44140625" bestFit="1" customWidth="1"/>
  </cols>
  <sheetData>
    <row r="1" spans="1:15" x14ac:dyDescent="0.3">
      <c r="A1" s="11"/>
      <c r="B1" s="11"/>
      <c r="C1" s="12" t="s">
        <v>2013</v>
      </c>
      <c r="D1" s="12" t="s">
        <v>92</v>
      </c>
      <c r="E1" s="12" t="s">
        <v>92</v>
      </c>
      <c r="F1" s="12" t="s">
        <v>92</v>
      </c>
      <c r="G1" s="12" t="s">
        <v>92</v>
      </c>
      <c r="H1" s="12" t="s">
        <v>92</v>
      </c>
      <c r="I1" s="12" t="s">
        <v>92</v>
      </c>
      <c r="J1" s="12" t="s">
        <v>92</v>
      </c>
      <c r="K1" s="12" t="s">
        <v>92</v>
      </c>
      <c r="L1" s="12" t="s">
        <v>92</v>
      </c>
      <c r="M1" s="12" t="s">
        <v>92</v>
      </c>
      <c r="N1" s="12" t="s">
        <v>92</v>
      </c>
      <c r="O1" s="12" t="s">
        <v>92</v>
      </c>
    </row>
    <row r="2" spans="1:15" x14ac:dyDescent="0.3">
      <c r="A2" s="13" t="s">
        <v>206</v>
      </c>
      <c r="B2" s="13" t="s">
        <v>205</v>
      </c>
      <c r="C2" s="19">
        <v>45261</v>
      </c>
      <c r="D2" s="19">
        <v>45627</v>
      </c>
      <c r="E2" s="19">
        <v>45658</v>
      </c>
      <c r="F2" s="19">
        <v>45689</v>
      </c>
      <c r="G2" s="19">
        <v>45717</v>
      </c>
      <c r="H2" s="19">
        <v>45748</v>
      </c>
      <c r="I2" s="19">
        <v>45778</v>
      </c>
      <c r="J2" s="19">
        <v>45809</v>
      </c>
      <c r="K2" s="19">
        <v>45839</v>
      </c>
      <c r="L2" s="19">
        <v>45870</v>
      </c>
      <c r="M2" s="19">
        <v>45901</v>
      </c>
      <c r="N2" s="19">
        <v>45931</v>
      </c>
      <c r="O2" s="19">
        <v>45962</v>
      </c>
    </row>
    <row r="3" spans="1:15" x14ac:dyDescent="0.3">
      <c r="A3" s="11" t="s">
        <v>1766</v>
      </c>
      <c r="B3" s="11" t="s">
        <v>1765</v>
      </c>
      <c r="C3" s="12" t="s">
        <v>1732</v>
      </c>
      <c r="D3" s="12" t="s">
        <v>1732</v>
      </c>
      <c r="E3" s="12" t="s">
        <v>1732</v>
      </c>
      <c r="F3" s="12" t="s">
        <v>1732</v>
      </c>
      <c r="G3" s="12" t="s">
        <v>1732</v>
      </c>
      <c r="H3" s="12" t="s">
        <v>1732</v>
      </c>
      <c r="I3" s="12" t="s">
        <v>1732</v>
      </c>
      <c r="J3" s="12" t="s">
        <v>1732</v>
      </c>
      <c r="K3" s="12" t="s">
        <v>1732</v>
      </c>
      <c r="L3" s="12" t="s">
        <v>1732</v>
      </c>
      <c r="M3" t="s">
        <v>1732</v>
      </c>
      <c r="N3" t="s">
        <v>1732</v>
      </c>
      <c r="O3" t="s">
        <v>1732</v>
      </c>
    </row>
    <row r="4" spans="1:15" x14ac:dyDescent="0.3">
      <c r="A4" s="11" t="s">
        <v>1764</v>
      </c>
      <c r="B4" s="11" t="s">
        <v>1763</v>
      </c>
      <c r="C4" s="12" t="s">
        <v>1729</v>
      </c>
      <c r="D4" s="12" t="s">
        <v>1729</v>
      </c>
      <c r="E4" s="12" t="s">
        <v>1732</v>
      </c>
      <c r="F4" s="12" t="s">
        <v>1732</v>
      </c>
      <c r="G4" s="12" t="s">
        <v>1732</v>
      </c>
      <c r="H4" s="12" t="s">
        <v>1732</v>
      </c>
      <c r="I4" s="12" t="s">
        <v>1732</v>
      </c>
      <c r="J4" s="12" t="s">
        <v>1732</v>
      </c>
      <c r="K4" s="12" t="s">
        <v>1732</v>
      </c>
      <c r="L4" s="12" t="s">
        <v>1732</v>
      </c>
      <c r="M4" t="s">
        <v>1732</v>
      </c>
      <c r="N4" t="s">
        <v>1732</v>
      </c>
      <c r="O4" t="s">
        <v>1732</v>
      </c>
    </row>
    <row r="5" spans="1:15" x14ac:dyDescent="0.3">
      <c r="A5" s="11" t="s">
        <v>1762</v>
      </c>
      <c r="B5" s="11" t="s">
        <v>1761</v>
      </c>
      <c r="C5" s="12" t="s">
        <v>1732</v>
      </c>
      <c r="D5" s="12" t="s">
        <v>1732</v>
      </c>
      <c r="E5" s="12" t="s">
        <v>1732</v>
      </c>
      <c r="F5" s="12" t="s">
        <v>1732</v>
      </c>
      <c r="G5" s="12" t="s">
        <v>1732</v>
      </c>
      <c r="H5" s="12" t="s">
        <v>1732</v>
      </c>
      <c r="I5" s="12" t="s">
        <v>1732</v>
      </c>
      <c r="J5" s="12" t="s">
        <v>1732</v>
      </c>
      <c r="K5" s="12" t="s">
        <v>1732</v>
      </c>
      <c r="L5" s="12" t="s">
        <v>1732</v>
      </c>
      <c r="M5" t="s">
        <v>1732</v>
      </c>
      <c r="N5" t="s">
        <v>1732</v>
      </c>
      <c r="O5" t="s">
        <v>1732</v>
      </c>
    </row>
    <row r="6" spans="1:15" x14ac:dyDescent="0.3">
      <c r="A6" s="11" t="s">
        <v>1760</v>
      </c>
      <c r="B6" s="11" t="s">
        <v>1759</v>
      </c>
      <c r="C6" s="12" t="s">
        <v>1758</v>
      </c>
      <c r="D6" s="12" t="s">
        <v>1758</v>
      </c>
      <c r="E6" s="12" t="s">
        <v>1730</v>
      </c>
      <c r="F6" s="12" t="s">
        <v>1730</v>
      </c>
      <c r="G6" s="12" t="s">
        <v>1730</v>
      </c>
      <c r="H6" s="12" t="s">
        <v>1730</v>
      </c>
      <c r="I6" s="12" t="s">
        <v>1729</v>
      </c>
      <c r="J6" s="12" t="s">
        <v>1729</v>
      </c>
      <c r="K6" s="12" t="s">
        <v>1729</v>
      </c>
      <c r="L6" s="12" t="s">
        <v>1732</v>
      </c>
      <c r="M6" t="s">
        <v>1732</v>
      </c>
      <c r="N6" t="s">
        <v>1732</v>
      </c>
      <c r="O6" t="s">
        <v>1732</v>
      </c>
    </row>
    <row r="7" spans="1:15" x14ac:dyDescent="0.3">
      <c r="A7" s="11" t="s">
        <v>1757</v>
      </c>
      <c r="B7" s="11" t="s">
        <v>1756</v>
      </c>
      <c r="C7" s="12" t="s">
        <v>1732</v>
      </c>
      <c r="D7" s="12" t="s">
        <v>1732</v>
      </c>
      <c r="E7" s="12" t="s">
        <v>1732</v>
      </c>
      <c r="F7" s="12" t="s">
        <v>1732</v>
      </c>
      <c r="G7" s="12" t="s">
        <v>1732</v>
      </c>
      <c r="H7" s="12" t="s">
        <v>1732</v>
      </c>
      <c r="I7" s="12" t="s">
        <v>1732</v>
      </c>
      <c r="J7" s="12" t="s">
        <v>1729</v>
      </c>
      <c r="K7" s="12" t="s">
        <v>1732</v>
      </c>
      <c r="L7" s="12" t="s">
        <v>1732</v>
      </c>
      <c r="M7" t="s">
        <v>1732</v>
      </c>
      <c r="N7" t="s">
        <v>1732</v>
      </c>
      <c r="O7" t="s">
        <v>1732</v>
      </c>
    </row>
    <row r="8" spans="1:15" x14ac:dyDescent="0.3">
      <c r="A8" s="11" t="s">
        <v>1755</v>
      </c>
      <c r="B8" s="11" t="s">
        <v>1754</v>
      </c>
      <c r="C8" s="12" t="s">
        <v>1732</v>
      </c>
      <c r="D8" s="12" t="s">
        <v>1732</v>
      </c>
      <c r="E8" s="12" t="s">
        <v>1732</v>
      </c>
      <c r="F8" s="12" t="s">
        <v>1732</v>
      </c>
      <c r="G8" s="12" t="s">
        <v>1732</v>
      </c>
      <c r="H8" s="12" t="s">
        <v>1732</v>
      </c>
      <c r="I8" s="12" t="s">
        <v>1732</v>
      </c>
      <c r="J8" s="12" t="s">
        <v>1732</v>
      </c>
      <c r="K8" s="12" t="s">
        <v>1732</v>
      </c>
      <c r="L8" s="12" t="s">
        <v>1732</v>
      </c>
      <c r="M8" t="s">
        <v>1732</v>
      </c>
      <c r="N8" t="s">
        <v>1732</v>
      </c>
      <c r="O8" t="s">
        <v>1732</v>
      </c>
    </row>
    <row r="9" spans="1:15" x14ac:dyDescent="0.3">
      <c r="A9" s="11" t="s">
        <v>1753</v>
      </c>
      <c r="B9" s="11" t="s">
        <v>1752</v>
      </c>
      <c r="C9" s="12" t="s">
        <v>1732</v>
      </c>
      <c r="D9" s="12" t="s">
        <v>1732</v>
      </c>
      <c r="E9" s="12" t="s">
        <v>1732</v>
      </c>
      <c r="F9" s="12" t="s">
        <v>1732</v>
      </c>
      <c r="G9" s="12" t="s">
        <v>1732</v>
      </c>
      <c r="H9" s="12" t="s">
        <v>1732</v>
      </c>
      <c r="I9" s="12" t="s">
        <v>1732</v>
      </c>
      <c r="J9" s="12" t="s">
        <v>1732</v>
      </c>
      <c r="K9" s="12" t="s">
        <v>1732</v>
      </c>
      <c r="L9" s="12" t="s">
        <v>1732</v>
      </c>
      <c r="M9" t="s">
        <v>1732</v>
      </c>
      <c r="N9" t="s">
        <v>1732</v>
      </c>
      <c r="O9" t="s">
        <v>1732</v>
      </c>
    </row>
    <row r="10" spans="1:15" x14ac:dyDescent="0.3">
      <c r="A10" s="11" t="s">
        <v>1751</v>
      </c>
      <c r="B10" s="11" t="s">
        <v>1750</v>
      </c>
      <c r="C10" s="12" t="s">
        <v>1732</v>
      </c>
      <c r="D10" s="12" t="s">
        <v>1732</v>
      </c>
      <c r="E10" s="12" t="s">
        <v>1732</v>
      </c>
      <c r="F10" s="12" t="s">
        <v>1732</v>
      </c>
      <c r="G10" s="12" t="s">
        <v>1732</v>
      </c>
      <c r="H10" s="12" t="s">
        <v>1732</v>
      </c>
      <c r="I10" s="12" t="s">
        <v>1732</v>
      </c>
      <c r="J10" s="12" t="s">
        <v>1732</v>
      </c>
      <c r="K10" s="12" t="s">
        <v>1732</v>
      </c>
      <c r="L10" s="12" t="s">
        <v>1732</v>
      </c>
      <c r="M10" t="s">
        <v>1732</v>
      </c>
      <c r="N10" t="s">
        <v>1732</v>
      </c>
      <c r="O10" t="s">
        <v>1732</v>
      </c>
    </row>
    <row r="11" spans="1:15" x14ac:dyDescent="0.3">
      <c r="A11" s="11" t="s">
        <v>1749</v>
      </c>
      <c r="B11" s="11" t="s">
        <v>1748</v>
      </c>
      <c r="C11" s="12" t="s">
        <v>1732</v>
      </c>
      <c r="D11" s="12" t="s">
        <v>1732</v>
      </c>
      <c r="E11" s="12" t="s">
        <v>1732</v>
      </c>
      <c r="F11" s="12" t="s">
        <v>1732</v>
      </c>
      <c r="G11" s="12" t="s">
        <v>1732</v>
      </c>
      <c r="H11" s="12" t="s">
        <v>1732</v>
      </c>
      <c r="I11" s="12" t="s">
        <v>1732</v>
      </c>
      <c r="J11" s="12" t="s">
        <v>1732</v>
      </c>
      <c r="K11" s="12" t="s">
        <v>1732</v>
      </c>
      <c r="L11" s="12" t="s">
        <v>1732</v>
      </c>
      <c r="M11" t="s">
        <v>1732</v>
      </c>
      <c r="N11" t="s">
        <v>1732</v>
      </c>
      <c r="O11" t="s">
        <v>1732</v>
      </c>
    </row>
    <row r="12" spans="1:15" x14ac:dyDescent="0.3">
      <c r="A12" s="11" t="s">
        <v>1747</v>
      </c>
      <c r="B12" s="11" t="s">
        <v>1746</v>
      </c>
      <c r="C12" s="12" t="s">
        <v>1732</v>
      </c>
      <c r="D12" s="12" t="s">
        <v>1732</v>
      </c>
      <c r="E12" s="12" t="s">
        <v>1732</v>
      </c>
      <c r="F12" s="12" t="s">
        <v>1732</v>
      </c>
      <c r="G12" s="12" t="s">
        <v>1732</v>
      </c>
      <c r="H12" s="12" t="s">
        <v>1732</v>
      </c>
      <c r="I12" s="12" t="s">
        <v>1732</v>
      </c>
      <c r="J12" s="12" t="s">
        <v>1732</v>
      </c>
      <c r="K12" s="12" t="s">
        <v>1732</v>
      </c>
      <c r="L12" s="12" t="s">
        <v>1732</v>
      </c>
      <c r="M12" t="s">
        <v>1732</v>
      </c>
      <c r="N12" t="s">
        <v>1732</v>
      </c>
      <c r="O12" t="s">
        <v>1732</v>
      </c>
    </row>
    <row r="13" spans="1:15" x14ac:dyDescent="0.3">
      <c r="A13" s="11" t="s">
        <v>1745</v>
      </c>
      <c r="B13" s="11" t="s">
        <v>1744</v>
      </c>
      <c r="C13" s="12" t="s">
        <v>1732</v>
      </c>
      <c r="D13" s="12" t="s">
        <v>1732</v>
      </c>
      <c r="E13" s="12" t="s">
        <v>1732</v>
      </c>
      <c r="F13" s="12" t="s">
        <v>1732</v>
      </c>
      <c r="G13" s="12" t="s">
        <v>1732</v>
      </c>
      <c r="H13" s="12" t="s">
        <v>1732</v>
      </c>
      <c r="I13" s="12" t="s">
        <v>1732</v>
      </c>
      <c r="J13" s="12" t="s">
        <v>1732</v>
      </c>
      <c r="K13" s="12" t="s">
        <v>1732</v>
      </c>
      <c r="L13" s="12" t="s">
        <v>1732</v>
      </c>
      <c r="M13" t="s">
        <v>1732</v>
      </c>
      <c r="N13" t="s">
        <v>1732</v>
      </c>
      <c r="O13" t="s">
        <v>1732</v>
      </c>
    </row>
    <row r="14" spans="1:15" x14ac:dyDescent="0.3">
      <c r="A14" s="11" t="s">
        <v>1743</v>
      </c>
      <c r="B14" s="11" t="s">
        <v>1742</v>
      </c>
      <c r="C14" s="12" t="s">
        <v>1732</v>
      </c>
      <c r="D14" s="12" t="s">
        <v>1732</v>
      </c>
      <c r="E14" s="12" t="s">
        <v>1732</v>
      </c>
      <c r="F14" s="12" t="s">
        <v>1732</v>
      </c>
      <c r="G14" s="12" t="s">
        <v>1732</v>
      </c>
      <c r="H14" s="12" t="s">
        <v>1732</v>
      </c>
      <c r="I14" s="12" t="s">
        <v>1732</v>
      </c>
      <c r="J14" s="12" t="s">
        <v>1732</v>
      </c>
      <c r="K14" s="12" t="s">
        <v>1732</v>
      </c>
      <c r="L14" s="12" t="s">
        <v>1732</v>
      </c>
      <c r="M14" t="s">
        <v>1732</v>
      </c>
      <c r="N14" t="s">
        <v>1732</v>
      </c>
      <c r="O14" t="s">
        <v>1732</v>
      </c>
    </row>
    <row r="15" spans="1:15" x14ac:dyDescent="0.3">
      <c r="A15" s="11" t="s">
        <v>1741</v>
      </c>
      <c r="B15" s="11" t="s">
        <v>1740</v>
      </c>
      <c r="C15" s="12" t="s">
        <v>1732</v>
      </c>
      <c r="D15" s="12" t="s">
        <v>1732</v>
      </c>
      <c r="E15" s="12" t="s">
        <v>1732</v>
      </c>
      <c r="F15" s="12" t="s">
        <v>1732</v>
      </c>
      <c r="G15" s="12" t="s">
        <v>1732</v>
      </c>
      <c r="H15" s="12" t="s">
        <v>1732</v>
      </c>
      <c r="I15" s="12" t="s">
        <v>1732</v>
      </c>
      <c r="J15" s="12" t="s">
        <v>1732</v>
      </c>
      <c r="K15" s="12" t="s">
        <v>1732</v>
      </c>
      <c r="L15" s="12" t="s">
        <v>1732</v>
      </c>
      <c r="M15" t="s">
        <v>1732</v>
      </c>
      <c r="N15" t="s">
        <v>1732</v>
      </c>
      <c r="O15" t="s">
        <v>1732</v>
      </c>
    </row>
    <row r="16" spans="1:15" x14ac:dyDescent="0.3">
      <c r="A16" s="11" t="s">
        <v>1739</v>
      </c>
      <c r="B16" s="11" t="s">
        <v>1738</v>
      </c>
      <c r="C16" s="12" t="s">
        <v>1732</v>
      </c>
      <c r="D16" s="12" t="s">
        <v>1732</v>
      </c>
      <c r="E16" s="12" t="s">
        <v>1732</v>
      </c>
      <c r="F16" s="12" t="s">
        <v>1732</v>
      </c>
      <c r="G16" s="12" t="s">
        <v>1732</v>
      </c>
      <c r="H16" s="12" t="s">
        <v>1732</v>
      </c>
      <c r="I16" s="12" t="s">
        <v>1732</v>
      </c>
      <c r="J16" s="12" t="s">
        <v>1732</v>
      </c>
      <c r="K16" s="12" t="s">
        <v>1732</v>
      </c>
      <c r="L16" s="12" t="s">
        <v>1732</v>
      </c>
      <c r="M16" t="s">
        <v>1732</v>
      </c>
      <c r="N16" t="s">
        <v>1732</v>
      </c>
      <c r="O16" t="s">
        <v>1732</v>
      </c>
    </row>
    <row r="17" spans="1:15" x14ac:dyDescent="0.3">
      <c r="A17" s="11" t="s">
        <v>1737</v>
      </c>
      <c r="B17" s="11" t="s">
        <v>1736</v>
      </c>
      <c r="C17" s="12" t="s">
        <v>1732</v>
      </c>
      <c r="D17" s="12" t="s">
        <v>1732</v>
      </c>
      <c r="E17" s="12" t="s">
        <v>1732</v>
      </c>
      <c r="F17" s="12" t="s">
        <v>1732</v>
      </c>
      <c r="G17" s="12" t="s">
        <v>1732</v>
      </c>
      <c r="H17" s="12" t="s">
        <v>1732</v>
      </c>
      <c r="I17" s="12" t="s">
        <v>1732</v>
      </c>
      <c r="J17" s="12" t="s">
        <v>1732</v>
      </c>
      <c r="K17" s="12" t="s">
        <v>1732</v>
      </c>
      <c r="L17" s="12" t="s">
        <v>1732</v>
      </c>
      <c r="M17" t="s">
        <v>1732</v>
      </c>
      <c r="N17" t="s">
        <v>1732</v>
      </c>
      <c r="O17" t="s">
        <v>1732</v>
      </c>
    </row>
    <row r="18" spans="1:15" x14ac:dyDescent="0.3">
      <c r="A18" s="11" t="s">
        <v>1735</v>
      </c>
      <c r="B18" s="11" t="s">
        <v>1734</v>
      </c>
      <c r="C18" s="12" t="s">
        <v>1732</v>
      </c>
      <c r="D18" s="12" t="s">
        <v>1732</v>
      </c>
      <c r="E18" s="12" t="s">
        <v>1732</v>
      </c>
      <c r="F18" s="12" t="s">
        <v>1732</v>
      </c>
      <c r="G18" s="12" t="s">
        <v>1732</v>
      </c>
      <c r="H18" s="12" t="s">
        <v>1732</v>
      </c>
      <c r="I18" s="12" t="s">
        <v>1732</v>
      </c>
      <c r="J18" s="12" t="s">
        <v>1732</v>
      </c>
      <c r="K18" s="12" t="s">
        <v>1732</v>
      </c>
      <c r="L18" s="12" t="s">
        <v>1732</v>
      </c>
      <c r="M18" t="s">
        <v>1732</v>
      </c>
      <c r="N18" t="s">
        <v>1732</v>
      </c>
      <c r="O18" t="s">
        <v>1732</v>
      </c>
    </row>
    <row r="19" spans="1:15" x14ac:dyDescent="0.3">
      <c r="A19" s="11">
        <v>70016</v>
      </c>
      <c r="B19" s="11" t="s">
        <v>1733</v>
      </c>
      <c r="C19" s="12" t="s">
        <v>1732</v>
      </c>
      <c r="D19" s="12" t="s">
        <v>1732</v>
      </c>
      <c r="E19" s="12" t="s">
        <v>1731</v>
      </c>
      <c r="F19" s="12" t="s">
        <v>1731</v>
      </c>
      <c r="G19" s="12" t="s">
        <v>1730</v>
      </c>
      <c r="H19" s="12" t="s">
        <v>1729</v>
      </c>
      <c r="I19" s="12" t="s">
        <v>1729</v>
      </c>
      <c r="J19" s="12" t="s">
        <v>1729</v>
      </c>
      <c r="K19" s="12" t="s">
        <v>1732</v>
      </c>
      <c r="L19" s="12" t="s">
        <v>1732</v>
      </c>
      <c r="M19" t="s">
        <v>1732</v>
      </c>
      <c r="N19" t="s">
        <v>1732</v>
      </c>
      <c r="O19" t="s">
        <v>1732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balance_grupo_financiero</vt:lpstr>
      <vt:lpstr>balance_banco_consol</vt:lpstr>
      <vt:lpstr>balance_banco_individual</vt:lpstr>
      <vt:lpstr>balance_start</vt:lpstr>
      <vt:lpstr>otras_fuentes</vt:lpstr>
      <vt:lpstr>cnbv</vt:lpstr>
      <vt:lpstr>icap_grupo</vt:lpstr>
      <vt:lpstr>icap_banco</vt:lpstr>
      <vt:lpstr>icap_start</vt:lpstr>
      <vt:lpstr>ra_banco</vt:lpstr>
      <vt:lpstr>ra_start</vt:lpstr>
      <vt:lpstr>fuentes_de_financiamiento</vt:lpstr>
      <vt:lpstr>ccl_sin_ponderar</vt:lpstr>
      <vt:lpstr>ccl_ponderado</vt:lpstr>
      <vt:lpstr>ccl_sin_modelos</vt:lpstr>
      <vt:lpstr>ccl_captacion_grupo</vt:lpstr>
      <vt:lpstr>CFEN_Ponderado</vt:lpstr>
      <vt:lpstr>CFEN_Sin_Ponderar</vt:lpstr>
      <vt:lpstr>iif</vt:lpstr>
      <vt:lpstr>contrapartes_iif</vt:lpstr>
      <vt:lpstr>productos_iif</vt:lpstr>
      <vt:lpstr>derivados_actual</vt:lpstr>
      <vt:lpstr>Productos_Derivados</vt:lpstr>
      <vt:lpstr>derivados_contrapartes</vt:lpstr>
      <vt:lpstr>cambios</vt:lpstr>
      <vt:lpstr>Var_Promedio</vt:lpstr>
      <vt:lpstr>activos_productivos</vt:lpstr>
      <vt:lpstr>Sensibilidad</vt:lpstr>
      <vt:lpstr>Tasa_Compra_Emi_Tit</vt:lpstr>
      <vt:lpstr>riesgo_no_cuantificable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RIVERA RODRIGUEZ</dc:creator>
  <cp:lastModifiedBy>ANA TERESA ALCANTARA GARZA</cp:lastModifiedBy>
  <dcterms:created xsi:type="dcterms:W3CDTF">2025-06-26T18:52:39Z</dcterms:created>
  <dcterms:modified xsi:type="dcterms:W3CDTF">2026-01-16T00:40:48Z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